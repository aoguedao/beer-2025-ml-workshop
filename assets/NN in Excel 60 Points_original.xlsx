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ink/ink1.xml" ContentType="application/inkml+xml"/>
  <Override PartName="/xl/ink/ink2.xml" ContentType="application/inkml+xml"/>
  <Override PartName="/xl/ink/ink3.xml" ContentType="application/inkml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ink/ink4.xml" ContentType="application/inkml+xml"/>
  <Override PartName="/xl/ink/ink5.xml" ContentType="application/inkml+xml"/>
  <Override PartName="/xl/ink/ink6.xml" ContentType="application/inkml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5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6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11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12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drawings/drawing13.xml" ContentType="application/vnd.openxmlformats-officedocument.drawing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drawings/drawing14.xml" ContentType="application/vnd.openxmlformats-officedocument.drawing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drawings/drawing15.xml" ContentType="application/vnd.openxmlformats-officedocument.drawing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drawings/drawing16.xml" ContentType="application/vnd.openxmlformats-officedocument.drawing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drawings/drawing17.xml" ContentType="application/vnd.openxmlformats-officedocument.drawing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drawings/drawing18.xml" ContentType="application/vnd.openxmlformats-officedocument.drawing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drawings/drawing19.xml" ContentType="application/vnd.openxmlformats-officedocument.drawing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uiprbayamon-my.sharepoint.com/personal/ccaiseda_bayamon_inter_edu/Documents/Desktop/CURSOS/202610/COMP397M/Encuesta_NN_Excel/"/>
    </mc:Choice>
  </mc:AlternateContent>
  <xr:revisionPtr revIDLastSave="84" documentId="13_ncr:1_{5CCFF897-FD38-4883-BBD4-E831601F504F}" xr6:coauthVersionLast="47" xr6:coauthVersionMax="47" xr10:uidLastSave="{7013CD16-2A8A-45AB-985E-2277661D3744}"/>
  <bookViews>
    <workbookView xWindow="-110" yWindow="-110" windowWidth="19420" windowHeight="10420" activeTab="10" xr2:uid="{F566FC3E-A65A-42C1-A9BC-BDF7111643FC}"/>
  </bookViews>
  <sheets>
    <sheet name="SIR_with 1 Neuron" sheetId="20" r:id="rId1"/>
    <sheet name="SIR_with 2 Neurons" sheetId="21" r:id="rId2"/>
    <sheet name="SIR_with 3 Neurons" sheetId="22" r:id="rId3"/>
    <sheet name="SIR Data (60 Days)" sheetId="12" r:id="rId4"/>
    <sheet name="SIR Data (14 Days)" sheetId="1" state="hidden" r:id="rId5"/>
    <sheet name="Estimation" sheetId="2" state="hidden" r:id="rId6"/>
    <sheet name="Param (No DINN)" sheetId="6" state="hidden" r:id="rId7"/>
    <sheet name="Estimation with Equations" sheetId="4" state="hidden" r:id="rId8"/>
    <sheet name="Param (DINN)" sheetId="3" state="hidden" r:id="rId9"/>
    <sheet name="SIR Predicted" sheetId="5" state="hidden" r:id="rId10"/>
    <sheet name="Estimation with 1 Neuron" sheetId="11" r:id="rId11"/>
    <sheet name="Estimation with 2 Neurons" sheetId="7" r:id="rId12"/>
    <sheet name="Estimation with 3 Neurons" sheetId="13" r:id="rId13"/>
    <sheet name="Estimation with 4 Neurons" sheetId="15" r:id="rId14"/>
    <sheet name="Estimation with 5 Neurons" sheetId="14" r:id="rId15"/>
    <sheet name="All Models" sheetId="19" r:id="rId16"/>
    <sheet name="Error magnitude error" sheetId="17" state="hidden" r:id="rId17"/>
    <sheet name="Parameter Comparisson" sheetId="18" r:id="rId18"/>
    <sheet name="Estimation with 5 Neurons Test" sheetId="16" state="hidden" r:id="rId19"/>
  </sheets>
  <externalReferences>
    <externalReference r:id="rId20"/>
  </externalReferences>
  <definedNames>
    <definedName name="a" localSheetId="0">'[1]Param (DINN)'!$B$10</definedName>
    <definedName name="a" localSheetId="1">'[1]Param (DINN)'!$B$10</definedName>
    <definedName name="a" localSheetId="2">'[1]Param (DINN)'!$B$10</definedName>
    <definedName name="a">'Param (DINN)'!$B$10</definedName>
    <definedName name="b" localSheetId="0">'[1]Param (DINN)'!$B$11</definedName>
    <definedName name="b" localSheetId="1">'[1]Param (DINN)'!$B$11</definedName>
    <definedName name="b" localSheetId="2">'[1]Param (DINN)'!$B$11</definedName>
    <definedName name="b">'Param (DINN)'!$B$11</definedName>
    <definedName name="b12I" localSheetId="0">'[1]Param (DINN)'!$B$7</definedName>
    <definedName name="b12I" localSheetId="1">'[1]Param (DINN)'!$B$7</definedName>
    <definedName name="b12I" localSheetId="2">'[1]Param (DINN)'!$B$7</definedName>
    <definedName name="b12I">'Param (DINN)'!$B$7</definedName>
    <definedName name="b12I1" localSheetId="0">'[1]Param (No DINN)'!$B$7</definedName>
    <definedName name="b12I1" localSheetId="1">'[1]Param (No DINN)'!$B$7</definedName>
    <definedName name="b12I1" localSheetId="2">'[1]Param (No DINN)'!$B$7</definedName>
    <definedName name="b12I1">'Param (No DINN)'!$B$7</definedName>
    <definedName name="b12R" localSheetId="0">'[1]Param (DINN)'!$B$9</definedName>
    <definedName name="b12R" localSheetId="1">'[1]Param (DINN)'!$B$9</definedName>
    <definedName name="b12R" localSheetId="2">'[1]Param (DINN)'!$B$9</definedName>
    <definedName name="b12R">'Param (DINN)'!$B$9</definedName>
    <definedName name="b12R1" localSheetId="0">'[1]Param (No DINN)'!$B$9</definedName>
    <definedName name="b12R1" localSheetId="1">'[1]Param (No DINN)'!$B$9</definedName>
    <definedName name="b12R1" localSheetId="2">'[1]Param (No DINN)'!$B$9</definedName>
    <definedName name="b12R1">'Param (No DINN)'!$B$9</definedName>
    <definedName name="b12S" localSheetId="0">'[1]Param (DINN)'!$B$5</definedName>
    <definedName name="b12S" localSheetId="1">'[1]Param (DINN)'!$B$5</definedName>
    <definedName name="b12S" localSheetId="2">'[1]Param (DINN)'!$B$5</definedName>
    <definedName name="b12S">'Param (DINN)'!$B$5</definedName>
    <definedName name="b12S1" localSheetId="0">'[1]Param (No DINN)'!$B$5</definedName>
    <definedName name="b12S1" localSheetId="1">'[1]Param (No DINN)'!$B$5</definedName>
    <definedName name="b12S1" localSheetId="2">'[1]Param (No DINN)'!$B$5</definedName>
    <definedName name="b12S1">'Param (No DINN)'!$B$5</definedName>
    <definedName name="N" localSheetId="3">'SIR Data (60 Days)'!$J$1</definedName>
    <definedName name="N" localSheetId="0">'[1]SIR Data (14 Days)'!$I$1</definedName>
    <definedName name="N" localSheetId="1">'[1]SIR Data (14 Days)'!$I$1</definedName>
    <definedName name="N" localSheetId="2">'[1]SIR Data (14 Days)'!$I$1</definedName>
    <definedName name="N">'SIR Data (14 Days)'!$I$1</definedName>
    <definedName name="solver_adj" localSheetId="10" hidden="1">'Estimation with 1 Neuron'!$T$4:$T$13</definedName>
    <definedName name="solver_adj" localSheetId="11" hidden="1">'Estimation with 2 Neurons'!$AB$2:$AB$19</definedName>
    <definedName name="solver_adj" localSheetId="12" hidden="1">'Estimation with 3 Neurons'!$AG$2:$AG$27</definedName>
    <definedName name="solver_adj" localSheetId="13" hidden="1">'Estimation with 4 Neurons'!$AL$2:$AL$35</definedName>
    <definedName name="solver_adj" localSheetId="14" hidden="1">'Estimation with 5 Neurons'!$AQ$4:$AQ$45</definedName>
    <definedName name="solver_adj" localSheetId="18" hidden="1">'Estimation with 5 Neurons Test'!$AQ$2:$AQ$43</definedName>
    <definedName name="solver_adj" localSheetId="8" hidden="1">'Param (DINN)'!$B$2:$B$11</definedName>
    <definedName name="solver_adj" localSheetId="6" hidden="1">'Param (No DINN)'!$B$2:$B$9</definedName>
    <definedName name="solver_adj" localSheetId="0" hidden="1">'SIR_with 1 Neuron'!$O$4:$O$11</definedName>
    <definedName name="solver_adj" localSheetId="1" hidden="1">'SIR_with 2 Neurons'!$U$2:$U$17</definedName>
    <definedName name="solver_adj" localSheetId="2" hidden="1">'SIR_with 3 Neurons'!$Z$2:$Z$25</definedName>
    <definedName name="solver_cvg" localSheetId="10" hidden="1">0.0000001</definedName>
    <definedName name="solver_cvg" localSheetId="11" hidden="1">0.000000001</definedName>
    <definedName name="solver_cvg" localSheetId="12" hidden="1">0.000000001</definedName>
    <definedName name="solver_cvg" localSheetId="13" hidden="1">0.000000001</definedName>
    <definedName name="solver_cvg" localSheetId="14" hidden="1">0.000000001</definedName>
    <definedName name="solver_cvg" localSheetId="18" hidden="1">0.000001</definedName>
    <definedName name="solver_cvg" localSheetId="8" hidden="1">1E-100</definedName>
    <definedName name="solver_cvg" localSheetId="6" hidden="1">0.0001</definedName>
    <definedName name="solver_cvg" localSheetId="0" hidden="1">0.0000001</definedName>
    <definedName name="solver_cvg" localSheetId="1" hidden="1">0.0001</definedName>
    <definedName name="solver_cvg" localSheetId="2" hidden="1">0.000000001</definedName>
    <definedName name="solver_drv" localSheetId="10" hidden="1">1</definedName>
    <definedName name="solver_drv" localSheetId="11" hidden="1">2</definedName>
    <definedName name="solver_drv" localSheetId="12" hidden="1">1</definedName>
    <definedName name="solver_drv" localSheetId="13" hidden="1">1</definedName>
    <definedName name="solver_drv" localSheetId="14" hidden="1">1</definedName>
    <definedName name="solver_drv" localSheetId="18" hidden="1">1</definedName>
    <definedName name="solver_drv" localSheetId="8" hidden="1">2</definedName>
    <definedName name="solver_drv" localSheetId="6" hidden="1">1</definedName>
    <definedName name="solver_drv" localSheetId="0" hidden="1">1</definedName>
    <definedName name="solver_drv" localSheetId="1" hidden="1">1</definedName>
    <definedName name="solver_drv" localSheetId="2" hidden="1">1</definedName>
    <definedName name="solver_eng" localSheetId="10" hidden="1">1</definedName>
    <definedName name="solver_eng" localSheetId="11" hidden="1">1</definedName>
    <definedName name="solver_eng" localSheetId="12" hidden="1">1</definedName>
    <definedName name="solver_eng" localSheetId="13" hidden="1">1</definedName>
    <definedName name="solver_eng" localSheetId="14" hidden="1">1</definedName>
    <definedName name="solver_eng" localSheetId="18" hidden="1">1</definedName>
    <definedName name="solver_eng" localSheetId="8" hidden="1">1</definedName>
    <definedName name="solver_eng" localSheetId="6" hidden="1">1</definedName>
    <definedName name="solver_eng" localSheetId="4" hidden="1">1</definedName>
    <definedName name="solver_eng" localSheetId="3" hidden="1">1</definedName>
    <definedName name="solver_eng" localSheetId="0" hidden="1">1</definedName>
    <definedName name="solver_eng" localSheetId="1" hidden="1">1</definedName>
    <definedName name="solver_eng" localSheetId="2" hidden="1">1</definedName>
    <definedName name="solver_est" localSheetId="10" hidden="1">1</definedName>
    <definedName name="solver_est" localSheetId="11" hidden="1">1</definedName>
    <definedName name="solver_est" localSheetId="12" hidden="1">1</definedName>
    <definedName name="solver_est" localSheetId="13" hidden="1">1</definedName>
    <definedName name="solver_est" localSheetId="14" hidden="1">1</definedName>
    <definedName name="solver_est" localSheetId="18" hidden="1">1</definedName>
    <definedName name="solver_est" localSheetId="8" hidden="1">1</definedName>
    <definedName name="solver_est" localSheetId="6" hidden="1">1</definedName>
    <definedName name="solver_est" localSheetId="0" hidden="1">1</definedName>
    <definedName name="solver_est" localSheetId="1" hidden="1">1</definedName>
    <definedName name="solver_est" localSheetId="2" hidden="1">1</definedName>
    <definedName name="solver_itr" localSheetId="10" hidden="1">2147483647</definedName>
    <definedName name="solver_itr" localSheetId="11" hidden="1">2147483647</definedName>
    <definedName name="solver_itr" localSheetId="12" hidden="1">2147483647</definedName>
    <definedName name="solver_itr" localSheetId="13" hidden="1">2147483647</definedName>
    <definedName name="solver_itr" localSheetId="14" hidden="1">2147483647</definedName>
    <definedName name="solver_itr" localSheetId="18" hidden="1">2147483647</definedName>
    <definedName name="solver_itr" localSheetId="8" hidden="1">2147483647</definedName>
    <definedName name="solver_itr" localSheetId="6" hidden="1">2147483647</definedName>
    <definedName name="solver_itr" localSheetId="0" hidden="1">2147483647</definedName>
    <definedName name="solver_itr" localSheetId="1" hidden="1">2147483647</definedName>
    <definedName name="solver_itr" localSheetId="2" hidden="1">2147483647</definedName>
    <definedName name="solver_lhs0" localSheetId="0" hidden="1">'SIR_with 1 Neuron'!$O$4:$O$11</definedName>
    <definedName name="solver_lhs0" localSheetId="1" hidden="1">'SIR_with 2 Neurons'!$U$2:$U$17</definedName>
    <definedName name="solver_lhs1" localSheetId="10" hidden="1">'Estimation with 1 Neuron'!$T$12:$T$13</definedName>
    <definedName name="solver_lhs1" localSheetId="11" hidden="1">'Estimation with 2 Neurons'!$AB$18:$AB$19</definedName>
    <definedName name="solver_lhs1" localSheetId="12" hidden="1">'Estimation with 3 Neurons'!$AG$26:$AG$27</definedName>
    <definedName name="solver_lhs1" localSheetId="13" hidden="1">'Estimation with 4 Neurons'!$AL$2:$AL$33</definedName>
    <definedName name="solver_lhs1" localSheetId="14" hidden="1">'Estimation with 5 Neurons'!$AQ$4:$AQ$43</definedName>
    <definedName name="solver_lhs1" localSheetId="18" hidden="1">'Estimation with 5 Neurons Test'!$AQ$2:$AQ$41</definedName>
    <definedName name="solver_lhs1" localSheetId="8" hidden="1">'Param (DINN)'!$B$10:$B$11</definedName>
    <definedName name="solver_lhs1" localSheetId="0" hidden="1">'SIR_with 1 Neuron'!$O$4:$O$11</definedName>
    <definedName name="solver_lhs1" localSheetId="1" hidden="1">'SIR_with 2 Neurons'!$U$2:$U$17</definedName>
    <definedName name="solver_lhs1" localSheetId="2" hidden="1">'SIR_with 3 Neurons'!#REF!</definedName>
    <definedName name="solver_lhs2" localSheetId="10" hidden="1">'Estimation with 1 Neuron'!$T$12:$T$13</definedName>
    <definedName name="solver_lhs2" localSheetId="11" hidden="1">'Estimation with 2 Neurons'!$AB$18:$AB$19</definedName>
    <definedName name="solver_lhs2" localSheetId="12" hidden="1">'Estimation with 3 Neurons'!$AG$26:$AG$27</definedName>
    <definedName name="solver_lhs2" localSheetId="13" hidden="1">'Estimation with 4 Neurons'!$AL$2:$AL$33</definedName>
    <definedName name="solver_lhs2" localSheetId="14" hidden="1">'Estimation with 5 Neurons'!$AQ$4:$AQ$43</definedName>
    <definedName name="solver_lhs2" localSheetId="18" hidden="1">'Estimation with 5 Neurons Test'!$AQ$2:$AQ$41</definedName>
    <definedName name="solver_lhs2" localSheetId="8" hidden="1">'Param (DINN)'!$B$10:$B$11</definedName>
    <definedName name="solver_lhs2" localSheetId="0" hidden="1">'SIR_with 1 Neuron'!$O$4:$O$11</definedName>
    <definedName name="solver_lhs2" localSheetId="1" hidden="1">'SIR_with 2 Neurons'!$U$2:$U$17</definedName>
    <definedName name="solver_lhs2" localSheetId="2" hidden="1">'SIR_with 3 Neurons'!#REF!</definedName>
    <definedName name="solver_lhs3" localSheetId="10" hidden="1">'Estimation with 1 Neuron'!$T$4:$T$11</definedName>
    <definedName name="solver_lhs3" localSheetId="11" hidden="1">'Estimation with 2 Neurons'!$AB$2:$AB$17</definedName>
    <definedName name="solver_lhs3" localSheetId="12" hidden="1">'Estimation with 3 Neurons'!$AG$2:$AG$25</definedName>
    <definedName name="solver_lhs3" localSheetId="13" hidden="1">'Estimation with 4 Neurons'!$AL$34:$AL$35</definedName>
    <definedName name="solver_lhs3" localSheetId="14" hidden="1">'Estimation with 5 Neurons'!$AQ$44:$AQ$45</definedName>
    <definedName name="solver_lhs3" localSheetId="18" hidden="1">'Estimation with 5 Neurons Test'!$AQ$42:$AQ$43</definedName>
    <definedName name="solver_lhs3" localSheetId="0" hidden="1">'SIR_with 1 Neuron'!$O$4:$O$11</definedName>
    <definedName name="solver_lhs3" localSheetId="1" hidden="1">'SIR_with 2 Neurons'!$U$2:$U$17</definedName>
    <definedName name="solver_lhs3" localSheetId="2" hidden="1">'SIR_with 3 Neurons'!$Z$2:$Z$25</definedName>
    <definedName name="solver_lhs4" localSheetId="10" hidden="1">'Estimation with 1 Neuron'!$T$4:$T$11</definedName>
    <definedName name="solver_lhs4" localSheetId="11" hidden="1">'Estimation with 2 Neurons'!$AB$2:$AB$17</definedName>
    <definedName name="solver_lhs4" localSheetId="12" hidden="1">'Estimation with 3 Neurons'!$AG$2:$AG$25</definedName>
    <definedName name="solver_lhs4" localSheetId="13" hidden="1">'Estimation with 4 Neurons'!$AL$34:$AL$35</definedName>
    <definedName name="solver_lhs4" localSheetId="14" hidden="1">'Estimation with 5 Neurons'!$AQ$44:$AQ$45</definedName>
    <definedName name="solver_lhs4" localSheetId="18" hidden="1">'Estimation with 5 Neurons Test'!$AQ$42:$AQ$43</definedName>
    <definedName name="solver_lhs4" localSheetId="0" hidden="1">'SIR_with 1 Neuron'!$O$4:$O$11</definedName>
    <definedName name="solver_lhs4" localSheetId="1" hidden="1">'SIR_with 2 Neurons'!$U$2:$U$17</definedName>
    <definedName name="solver_lhs4" localSheetId="2" hidden="1">'SIR_with 3 Neurons'!$Z$2:$Z$25</definedName>
    <definedName name="solver_mip" localSheetId="10" hidden="1">2147483647</definedName>
    <definedName name="solver_mip" localSheetId="11" hidden="1">2147483647</definedName>
    <definedName name="solver_mip" localSheetId="12" hidden="1">2147483647</definedName>
    <definedName name="solver_mip" localSheetId="13" hidden="1">2147483647</definedName>
    <definedName name="solver_mip" localSheetId="14" hidden="1">2147483647</definedName>
    <definedName name="solver_mip" localSheetId="18" hidden="1">2147483647</definedName>
    <definedName name="solver_mip" localSheetId="8" hidden="1">2147483647</definedName>
    <definedName name="solver_mip" localSheetId="6" hidden="1">2147483647</definedName>
    <definedName name="solver_mip" localSheetId="0" hidden="1">2147483647</definedName>
    <definedName name="solver_mip" localSheetId="1" hidden="1">2147483647</definedName>
    <definedName name="solver_mip" localSheetId="2" hidden="1">2147483647</definedName>
    <definedName name="solver_mni" localSheetId="10" hidden="1">30</definedName>
    <definedName name="solver_mni" localSheetId="11" hidden="1">30</definedName>
    <definedName name="solver_mni" localSheetId="12" hidden="1">30</definedName>
    <definedName name="solver_mni" localSheetId="13" hidden="1">30</definedName>
    <definedName name="solver_mni" localSheetId="14" hidden="1">50</definedName>
    <definedName name="solver_mni" localSheetId="18" hidden="1">30</definedName>
    <definedName name="solver_mni" localSheetId="8" hidden="1">50</definedName>
    <definedName name="solver_mni" localSheetId="6" hidden="1">30</definedName>
    <definedName name="solver_mni" localSheetId="0" hidden="1">30</definedName>
    <definedName name="solver_mni" localSheetId="1" hidden="1">30</definedName>
    <definedName name="solver_mni" localSheetId="2" hidden="1">30</definedName>
    <definedName name="solver_mrt" localSheetId="10" hidden="1">0.075</definedName>
    <definedName name="solver_mrt" localSheetId="11" hidden="1">0.075</definedName>
    <definedName name="solver_mrt" localSheetId="12" hidden="1">0.075</definedName>
    <definedName name="solver_mrt" localSheetId="13" hidden="1">0.075</definedName>
    <definedName name="solver_mrt" localSheetId="14" hidden="1">0.0075</definedName>
    <definedName name="solver_mrt" localSheetId="18" hidden="1">0.075</definedName>
    <definedName name="solver_mrt" localSheetId="8" hidden="1">0.075</definedName>
    <definedName name="solver_mrt" localSheetId="6" hidden="1">0.075</definedName>
    <definedName name="solver_mrt" localSheetId="0" hidden="1">0.075</definedName>
    <definedName name="solver_mrt" localSheetId="1" hidden="1">0.075</definedName>
    <definedName name="solver_mrt" localSheetId="2" hidden="1">0.075</definedName>
    <definedName name="solver_msl" localSheetId="10" hidden="1">2</definedName>
    <definedName name="solver_msl" localSheetId="11" hidden="1">1</definedName>
    <definedName name="solver_msl" localSheetId="12" hidden="1">1</definedName>
    <definedName name="solver_msl" localSheetId="13" hidden="1">1</definedName>
    <definedName name="solver_msl" localSheetId="14" hidden="1">1</definedName>
    <definedName name="solver_msl" localSheetId="18" hidden="1">1</definedName>
    <definedName name="solver_msl" localSheetId="8" hidden="1">2</definedName>
    <definedName name="solver_msl" localSheetId="6" hidden="1">2</definedName>
    <definedName name="solver_msl" localSheetId="0" hidden="1">2</definedName>
    <definedName name="solver_msl" localSheetId="1" hidden="1">1</definedName>
    <definedName name="solver_msl" localSheetId="2" hidden="1">1</definedName>
    <definedName name="solver_neg" localSheetId="10" hidden="1">2</definedName>
    <definedName name="solver_neg" localSheetId="11" hidden="1">2</definedName>
    <definedName name="solver_neg" localSheetId="12" hidden="1">2</definedName>
    <definedName name="solver_neg" localSheetId="13" hidden="1">2</definedName>
    <definedName name="solver_neg" localSheetId="14" hidden="1">2</definedName>
    <definedName name="solver_neg" localSheetId="18" hidden="1">2</definedName>
    <definedName name="solver_neg" localSheetId="8" hidden="1">2</definedName>
    <definedName name="solver_neg" localSheetId="6" hidden="1">2</definedName>
    <definedName name="solver_neg" localSheetId="4" hidden="1">1</definedName>
    <definedName name="solver_neg" localSheetId="3" hidden="1">1</definedName>
    <definedName name="solver_neg" localSheetId="0" hidden="1">2</definedName>
    <definedName name="solver_neg" localSheetId="1" hidden="1">1</definedName>
    <definedName name="solver_neg" localSheetId="2" hidden="1">2</definedName>
    <definedName name="solver_nod" localSheetId="10" hidden="1">2147483647</definedName>
    <definedName name="solver_nod" localSheetId="11" hidden="1">2147483647</definedName>
    <definedName name="solver_nod" localSheetId="12" hidden="1">2147483647</definedName>
    <definedName name="solver_nod" localSheetId="13" hidden="1">2147483647</definedName>
    <definedName name="solver_nod" localSheetId="14" hidden="1">2147483647</definedName>
    <definedName name="solver_nod" localSheetId="18" hidden="1">2147483647</definedName>
    <definedName name="solver_nod" localSheetId="8" hidden="1">2147483647</definedName>
    <definedName name="solver_nod" localSheetId="6" hidden="1">2147483647</definedName>
    <definedName name="solver_nod" localSheetId="0" hidden="1">2147483647</definedName>
    <definedName name="solver_nod" localSheetId="1" hidden="1">2147483647</definedName>
    <definedName name="solver_nod" localSheetId="2" hidden="1">2147483647</definedName>
    <definedName name="solver_num" localSheetId="10" hidden="1">4</definedName>
    <definedName name="solver_num" localSheetId="11" hidden="1">4</definedName>
    <definedName name="solver_num" localSheetId="12" hidden="1">4</definedName>
    <definedName name="solver_num" localSheetId="13" hidden="1">4</definedName>
    <definedName name="solver_num" localSheetId="14" hidden="1">4</definedName>
    <definedName name="solver_num" localSheetId="18" hidden="1">4</definedName>
    <definedName name="solver_num" localSheetId="8" hidden="1">0</definedName>
    <definedName name="solver_num" localSheetId="6" hidden="1">0</definedName>
    <definedName name="solver_num" localSheetId="4" hidden="1">0</definedName>
    <definedName name="solver_num" localSheetId="3" hidden="1">0</definedName>
    <definedName name="solver_num" localSheetId="0" hidden="1">0</definedName>
    <definedName name="solver_num" localSheetId="1" hidden="1">0</definedName>
    <definedName name="solver_num" localSheetId="2" hidden="1">4</definedName>
    <definedName name="solver_nwt" localSheetId="10" hidden="1">1</definedName>
    <definedName name="solver_nwt" localSheetId="11" hidden="1">1</definedName>
    <definedName name="solver_nwt" localSheetId="12" hidden="1">1</definedName>
    <definedName name="solver_nwt" localSheetId="13" hidden="1">1</definedName>
    <definedName name="solver_nwt" localSheetId="14" hidden="1">1</definedName>
    <definedName name="solver_nwt" localSheetId="18" hidden="1">1</definedName>
    <definedName name="solver_nwt" localSheetId="8" hidden="1">1</definedName>
    <definedName name="solver_nwt" localSheetId="6" hidden="1">1</definedName>
    <definedName name="solver_nwt" localSheetId="0" hidden="1">1</definedName>
    <definedName name="solver_nwt" localSheetId="1" hidden="1">1</definedName>
    <definedName name="solver_nwt" localSheetId="2" hidden="1">1</definedName>
    <definedName name="solver_opt" localSheetId="10" hidden="1">'Estimation with 1 Neuron'!$W$5</definedName>
    <definedName name="solver_opt" localSheetId="11" hidden="1">'Estimation with 2 Neurons'!$AE$3</definedName>
    <definedName name="solver_opt" localSheetId="12" hidden="1">'Estimation with 3 Neurons'!$AJ$3</definedName>
    <definedName name="solver_opt" localSheetId="13" hidden="1">'Estimation with 4 Neurons'!$AO$3</definedName>
    <definedName name="solver_opt" localSheetId="14" hidden="1">'Estimation with 5 Neurons'!$AT$5</definedName>
    <definedName name="solver_opt" localSheetId="18" hidden="1">'Estimation with 5 Neurons Test'!$AT$3</definedName>
    <definedName name="solver_opt" localSheetId="8" hidden="1">'Param (DINN)'!$E$3</definedName>
    <definedName name="solver_opt" localSheetId="6" hidden="1">'Param (No DINN)'!$E$1</definedName>
    <definedName name="solver_opt" localSheetId="4" hidden="1">'SIR Data (14 Days)'!$C$16</definedName>
    <definedName name="solver_opt" localSheetId="3" hidden="1">'SIR Data (60 Days)'!$C$16</definedName>
    <definedName name="solver_opt" localSheetId="0" hidden="1">'SIR_with 1 Neuron'!$Q$3</definedName>
    <definedName name="solver_opt" localSheetId="1" hidden="1">'SIR_with 2 Neurons'!$X$1</definedName>
    <definedName name="solver_opt" localSheetId="2" hidden="1">'SIR_with 3 Neurons'!#REF!</definedName>
    <definedName name="solver_pre" localSheetId="10" hidden="1">0.000001</definedName>
    <definedName name="solver_pre" localSheetId="11" hidden="1">0.000001</definedName>
    <definedName name="solver_pre" localSheetId="12" hidden="1">0.000001</definedName>
    <definedName name="solver_pre" localSheetId="13" hidden="1">0.000001</definedName>
    <definedName name="solver_pre" localSheetId="14" hidden="1">0.000001</definedName>
    <definedName name="solver_pre" localSheetId="18" hidden="1">0.000001</definedName>
    <definedName name="solver_pre" localSheetId="8" hidden="1">0.000001</definedName>
    <definedName name="solver_pre" localSheetId="6" hidden="1">0.000001</definedName>
    <definedName name="solver_pre" localSheetId="0" hidden="1">0.000001</definedName>
    <definedName name="solver_pre" localSheetId="1" hidden="1">0.000001</definedName>
    <definedName name="solver_pre" localSheetId="2" hidden="1">0.000001</definedName>
    <definedName name="solver_rbv" localSheetId="10" hidden="1">1</definedName>
    <definedName name="solver_rbv" localSheetId="11" hidden="1">1</definedName>
    <definedName name="solver_rbv" localSheetId="12" hidden="1">1</definedName>
    <definedName name="solver_rbv" localSheetId="13" hidden="1">1</definedName>
    <definedName name="solver_rbv" localSheetId="14" hidden="1">1</definedName>
    <definedName name="solver_rbv" localSheetId="18" hidden="1">2</definedName>
    <definedName name="solver_rbv" localSheetId="8" hidden="1">1</definedName>
    <definedName name="solver_rbv" localSheetId="6" hidden="1">1</definedName>
    <definedName name="solver_rbv" localSheetId="0" hidden="1">1</definedName>
    <definedName name="solver_rbv" localSheetId="1" hidden="1">2</definedName>
    <definedName name="solver_rbv" localSheetId="2" hidden="1">1</definedName>
    <definedName name="solver_rel0" localSheetId="0" hidden="1">1</definedName>
    <definedName name="solver_rel0" localSheetId="1" hidden="1">1</definedName>
    <definedName name="solver_rel1" localSheetId="10" hidden="1">1</definedName>
    <definedName name="solver_rel1" localSheetId="11" hidden="1">1</definedName>
    <definedName name="solver_rel1" localSheetId="12" hidden="1">1</definedName>
    <definedName name="solver_rel1" localSheetId="13" hidden="1">1</definedName>
    <definedName name="solver_rel1" localSheetId="14" hidden="1">1</definedName>
    <definedName name="solver_rel1" localSheetId="18" hidden="1">1</definedName>
    <definedName name="solver_rel1" localSheetId="8" hidden="1">3</definedName>
    <definedName name="solver_rel1" localSheetId="0" hidden="1">1</definedName>
    <definedName name="solver_rel1" localSheetId="1" hidden="1">1</definedName>
    <definedName name="solver_rel1" localSheetId="2" hidden="1">1</definedName>
    <definedName name="solver_rel2" localSheetId="10" hidden="1">3</definedName>
    <definedName name="solver_rel2" localSheetId="11" hidden="1">3</definedName>
    <definedName name="solver_rel2" localSheetId="12" hidden="1">3</definedName>
    <definedName name="solver_rel2" localSheetId="13" hidden="1">3</definedName>
    <definedName name="solver_rel2" localSheetId="14" hidden="1">3</definedName>
    <definedName name="solver_rel2" localSheetId="18" hidden="1">3</definedName>
    <definedName name="solver_rel2" localSheetId="8" hidden="1">3</definedName>
    <definedName name="solver_rel2" localSheetId="0" hidden="1">1</definedName>
    <definedName name="solver_rel2" localSheetId="1" hidden="1">1</definedName>
    <definedName name="solver_rel2" localSheetId="2" hidden="1">3</definedName>
    <definedName name="solver_rel3" localSheetId="10" hidden="1">1</definedName>
    <definedName name="solver_rel3" localSheetId="11" hidden="1">1</definedName>
    <definedName name="solver_rel3" localSheetId="12" hidden="1">1</definedName>
    <definedName name="solver_rel3" localSheetId="13" hidden="1">1</definedName>
    <definedName name="solver_rel3" localSheetId="14" hidden="1">1</definedName>
    <definedName name="solver_rel3" localSheetId="18" hidden="1">1</definedName>
    <definedName name="solver_rel3" localSheetId="0" hidden="1">1</definedName>
    <definedName name="solver_rel3" localSheetId="1" hidden="1">1</definedName>
    <definedName name="solver_rel3" localSheetId="2" hidden="1">1</definedName>
    <definedName name="solver_rel4" localSheetId="10" hidden="1">3</definedName>
    <definedName name="solver_rel4" localSheetId="11" hidden="1">3</definedName>
    <definedName name="solver_rel4" localSheetId="12" hidden="1">3</definedName>
    <definedName name="solver_rel4" localSheetId="13" hidden="1">3</definedName>
    <definedName name="solver_rel4" localSheetId="14" hidden="1">3</definedName>
    <definedName name="solver_rel4" localSheetId="18" hidden="1">3</definedName>
    <definedName name="solver_rel4" localSheetId="0" hidden="1">3</definedName>
    <definedName name="solver_rel4" localSheetId="1" hidden="1">3</definedName>
    <definedName name="solver_rel4" localSheetId="2" hidden="1">3</definedName>
    <definedName name="solver_rhs0" localSheetId="0" hidden="1">10</definedName>
    <definedName name="solver_rhs0" localSheetId="1" hidden="1">10</definedName>
    <definedName name="solver_rhs1" localSheetId="10" hidden="1">1</definedName>
    <definedName name="solver_rhs1" localSheetId="11" hidden="1">1</definedName>
    <definedName name="solver_rhs1" localSheetId="12" hidden="1">1</definedName>
    <definedName name="solver_rhs1" localSheetId="13" hidden="1">10</definedName>
    <definedName name="solver_rhs1" localSheetId="14" hidden="1">10</definedName>
    <definedName name="solver_rhs1" localSheetId="18" hidden="1">10</definedName>
    <definedName name="solver_rhs1" localSheetId="8" hidden="1">'Param (DINN)'!$N$2</definedName>
    <definedName name="solver_rhs1" localSheetId="0" hidden="1">10</definedName>
    <definedName name="solver_rhs1" localSheetId="1" hidden="1">10</definedName>
    <definedName name="solver_rhs1" localSheetId="2" hidden="1">1</definedName>
    <definedName name="solver_rhs2" localSheetId="10" hidden="1">0</definedName>
    <definedName name="solver_rhs2" localSheetId="11" hidden="1">-1</definedName>
    <definedName name="solver_rhs2" localSheetId="12" hidden="1">-1</definedName>
    <definedName name="solver_rhs2" localSheetId="13" hidden="1">-10</definedName>
    <definedName name="solver_rhs2" localSheetId="14" hidden="1">-10</definedName>
    <definedName name="solver_rhs2" localSheetId="18" hidden="1">-10</definedName>
    <definedName name="solver_rhs2" localSheetId="8" hidden="1">'Param (DINN)'!$N$2</definedName>
    <definedName name="solver_rhs2" localSheetId="0" hidden="1">10</definedName>
    <definedName name="solver_rhs2" localSheetId="1" hidden="1">10</definedName>
    <definedName name="solver_rhs2" localSheetId="2" hidden="1">-1</definedName>
    <definedName name="solver_rhs3" localSheetId="10" hidden="1">10</definedName>
    <definedName name="solver_rhs3" localSheetId="11" hidden="1">10</definedName>
    <definedName name="solver_rhs3" localSheetId="12" hidden="1">10</definedName>
    <definedName name="solver_rhs3" localSheetId="13" hidden="1">1</definedName>
    <definedName name="solver_rhs3" localSheetId="14" hidden="1">1</definedName>
    <definedName name="solver_rhs3" localSheetId="18" hidden="1">1</definedName>
    <definedName name="solver_rhs3" localSheetId="0" hidden="1">10</definedName>
    <definedName name="solver_rhs3" localSheetId="1" hidden="1">10</definedName>
    <definedName name="solver_rhs3" localSheetId="2" hidden="1">10</definedName>
    <definedName name="solver_rhs4" localSheetId="10" hidden="1">-10</definedName>
    <definedName name="solver_rhs4" localSheetId="11" hidden="1">-10</definedName>
    <definedName name="solver_rhs4" localSheetId="12" hidden="1">-10</definedName>
    <definedName name="solver_rhs4" localSheetId="13" hidden="1">-1</definedName>
    <definedName name="solver_rhs4" localSheetId="14" hidden="1">-1</definedName>
    <definedName name="solver_rhs4" localSheetId="18" hidden="1">-1</definedName>
    <definedName name="solver_rhs4" localSheetId="0" hidden="1">-10</definedName>
    <definedName name="solver_rhs4" localSheetId="1" hidden="1">-10</definedName>
    <definedName name="solver_rhs4" localSheetId="2" hidden="1">-10</definedName>
    <definedName name="solver_rlx" localSheetId="10" hidden="1">2</definedName>
    <definedName name="solver_rlx" localSheetId="11" hidden="1">2</definedName>
    <definedName name="solver_rlx" localSheetId="12" hidden="1">2</definedName>
    <definedName name="solver_rlx" localSheetId="13" hidden="1">2</definedName>
    <definedName name="solver_rlx" localSheetId="14" hidden="1">2</definedName>
    <definedName name="solver_rlx" localSheetId="18" hidden="1">2</definedName>
    <definedName name="solver_rlx" localSheetId="8" hidden="1">2</definedName>
    <definedName name="solver_rlx" localSheetId="6" hidden="1">2</definedName>
    <definedName name="solver_rlx" localSheetId="0" hidden="1">2</definedName>
    <definedName name="solver_rlx" localSheetId="1" hidden="1">2</definedName>
    <definedName name="solver_rlx" localSheetId="2" hidden="1">2</definedName>
    <definedName name="solver_rsd" localSheetId="10" hidden="1">0</definedName>
    <definedName name="solver_rsd" localSheetId="11" hidden="1">0</definedName>
    <definedName name="solver_rsd" localSheetId="12" hidden="1">0</definedName>
    <definedName name="solver_rsd" localSheetId="13" hidden="1">0</definedName>
    <definedName name="solver_rsd" localSheetId="14" hidden="1">0</definedName>
    <definedName name="solver_rsd" localSheetId="18" hidden="1">0</definedName>
    <definedName name="solver_rsd" localSheetId="8" hidden="1">0</definedName>
    <definedName name="solver_rsd" localSheetId="6" hidden="1">0</definedName>
    <definedName name="solver_rsd" localSheetId="0" hidden="1">0</definedName>
    <definedName name="solver_rsd" localSheetId="1" hidden="1">0</definedName>
    <definedName name="solver_rsd" localSheetId="2" hidden="1">0</definedName>
    <definedName name="solver_scl" localSheetId="10" hidden="1">1</definedName>
    <definedName name="solver_scl" localSheetId="11" hidden="1">2</definedName>
    <definedName name="solver_scl" localSheetId="12" hidden="1">2</definedName>
    <definedName name="solver_scl" localSheetId="13" hidden="1">2</definedName>
    <definedName name="solver_scl" localSheetId="14" hidden="1">1</definedName>
    <definedName name="solver_scl" localSheetId="18" hidden="1">2</definedName>
    <definedName name="solver_scl" localSheetId="8" hidden="1">1</definedName>
    <definedName name="solver_scl" localSheetId="6" hidden="1">1</definedName>
    <definedName name="solver_scl" localSheetId="0" hidden="1">1</definedName>
    <definedName name="solver_scl" localSheetId="1" hidden="1">1</definedName>
    <definedName name="solver_scl" localSheetId="2" hidden="1">2</definedName>
    <definedName name="solver_sho" localSheetId="10" hidden="1">2</definedName>
    <definedName name="solver_sho" localSheetId="11" hidden="1">2</definedName>
    <definedName name="solver_sho" localSheetId="12" hidden="1">2</definedName>
    <definedName name="solver_sho" localSheetId="13" hidden="1">2</definedName>
    <definedName name="solver_sho" localSheetId="14" hidden="1">2</definedName>
    <definedName name="solver_sho" localSheetId="18" hidden="1">2</definedName>
    <definedName name="solver_sho" localSheetId="8" hidden="1">2</definedName>
    <definedName name="solver_sho" localSheetId="6" hidden="1">2</definedName>
    <definedName name="solver_sho" localSheetId="0" hidden="1">2</definedName>
    <definedName name="solver_sho" localSheetId="1" hidden="1">2</definedName>
    <definedName name="solver_sho" localSheetId="2" hidden="1">2</definedName>
    <definedName name="solver_ssz" localSheetId="10" hidden="1">0</definedName>
    <definedName name="solver_ssz" localSheetId="11" hidden="1">0</definedName>
    <definedName name="solver_ssz" localSheetId="12" hidden="1">0</definedName>
    <definedName name="solver_ssz" localSheetId="13" hidden="1">0</definedName>
    <definedName name="solver_ssz" localSheetId="14" hidden="1">0</definedName>
    <definedName name="solver_ssz" localSheetId="18" hidden="1">0</definedName>
    <definedName name="solver_ssz" localSheetId="8" hidden="1">100</definedName>
    <definedName name="solver_ssz" localSheetId="6" hidden="1">100</definedName>
    <definedName name="solver_ssz" localSheetId="0" hidden="1">0</definedName>
    <definedName name="solver_ssz" localSheetId="1" hidden="1">100</definedName>
    <definedName name="solver_ssz" localSheetId="2" hidden="1">0</definedName>
    <definedName name="solver_tim" localSheetId="10" hidden="1">2147483647</definedName>
    <definedName name="solver_tim" localSheetId="11" hidden="1">2147483647</definedName>
    <definedName name="solver_tim" localSheetId="12" hidden="1">2147483647</definedName>
    <definedName name="solver_tim" localSheetId="13" hidden="1">2147483647</definedName>
    <definedName name="solver_tim" localSheetId="14" hidden="1">2147483647</definedName>
    <definedName name="solver_tim" localSheetId="18" hidden="1">2147483647</definedName>
    <definedName name="solver_tim" localSheetId="8" hidden="1">2147483647</definedName>
    <definedName name="solver_tim" localSheetId="6" hidden="1">2147483647</definedName>
    <definedName name="solver_tim" localSheetId="0" hidden="1">2147483647</definedName>
    <definedName name="solver_tim" localSheetId="1" hidden="1">2147483647</definedName>
    <definedName name="solver_tim" localSheetId="2" hidden="1">2147483647</definedName>
    <definedName name="solver_tol" localSheetId="10" hidden="1">0.01</definedName>
    <definedName name="solver_tol" localSheetId="11" hidden="1">0.01</definedName>
    <definedName name="solver_tol" localSheetId="12" hidden="1">0.01</definedName>
    <definedName name="solver_tol" localSheetId="13" hidden="1">0.01</definedName>
    <definedName name="solver_tol" localSheetId="14" hidden="1">0.01</definedName>
    <definedName name="solver_tol" localSheetId="18" hidden="1">0.01</definedName>
    <definedName name="solver_tol" localSheetId="8" hidden="1">0.01</definedName>
    <definedName name="solver_tol" localSheetId="6" hidden="1">0.01</definedName>
    <definedName name="solver_tol" localSheetId="0" hidden="1">0.01</definedName>
    <definedName name="solver_tol" localSheetId="1" hidden="1">0.01</definedName>
    <definedName name="solver_tol" localSheetId="2" hidden="1">0.01</definedName>
    <definedName name="solver_typ" localSheetId="10" hidden="1">2</definedName>
    <definedName name="solver_typ" localSheetId="11" hidden="1">2</definedName>
    <definedName name="solver_typ" localSheetId="12" hidden="1">2</definedName>
    <definedName name="solver_typ" localSheetId="13" hidden="1">2</definedName>
    <definedName name="solver_typ" localSheetId="14" hidden="1">2</definedName>
    <definedName name="solver_typ" localSheetId="18" hidden="1">2</definedName>
    <definedName name="solver_typ" localSheetId="8" hidden="1">2</definedName>
    <definedName name="solver_typ" localSheetId="6" hidden="1">2</definedName>
    <definedName name="solver_typ" localSheetId="4" hidden="1">2</definedName>
    <definedName name="solver_typ" localSheetId="3" hidden="1">2</definedName>
    <definedName name="solver_typ" localSheetId="0" hidden="1">2</definedName>
    <definedName name="solver_typ" localSheetId="1" hidden="1">2</definedName>
    <definedName name="solver_typ" localSheetId="2" hidden="1">2</definedName>
    <definedName name="solver_val" localSheetId="10" hidden="1">0</definedName>
    <definedName name="solver_val" localSheetId="11" hidden="1">0</definedName>
    <definedName name="solver_val" localSheetId="12" hidden="1">0</definedName>
    <definedName name="solver_val" localSheetId="13" hidden="1">0</definedName>
    <definedName name="solver_val" localSheetId="14" hidden="1">0</definedName>
    <definedName name="solver_val" localSheetId="18" hidden="1">0</definedName>
    <definedName name="solver_val" localSheetId="8" hidden="1">0</definedName>
    <definedName name="solver_val" localSheetId="6" hidden="1">0</definedName>
    <definedName name="solver_val" localSheetId="4" hidden="1">0</definedName>
    <definedName name="solver_val" localSheetId="3" hidden="1">0</definedName>
    <definedName name="solver_val" localSheetId="0" hidden="1">0</definedName>
    <definedName name="solver_val" localSheetId="1" hidden="1">0</definedName>
    <definedName name="solver_val" localSheetId="2" hidden="1">0</definedName>
    <definedName name="solver_ver" localSheetId="10" hidden="1">3</definedName>
    <definedName name="solver_ver" localSheetId="11" hidden="1">3</definedName>
    <definedName name="solver_ver" localSheetId="12" hidden="1">3</definedName>
    <definedName name="solver_ver" localSheetId="13" hidden="1">3</definedName>
    <definedName name="solver_ver" localSheetId="14" hidden="1">3</definedName>
    <definedName name="solver_ver" localSheetId="18" hidden="1">3</definedName>
    <definedName name="solver_ver" localSheetId="8" hidden="1">3</definedName>
    <definedName name="solver_ver" localSheetId="6" hidden="1">3</definedName>
    <definedName name="solver_ver" localSheetId="4" hidden="1">3</definedName>
    <definedName name="solver_ver" localSheetId="3" hidden="1">3</definedName>
    <definedName name="solver_ver" localSheetId="0" hidden="1">3</definedName>
    <definedName name="solver_ver" localSheetId="1" hidden="1">3</definedName>
    <definedName name="solver_ver" localSheetId="2" hidden="1">3</definedName>
    <definedName name="w12I" localSheetId="0">'[1]Param (DINN)'!$B$6</definedName>
    <definedName name="w12I" localSheetId="1">'[1]Param (DINN)'!$B$6</definedName>
    <definedName name="w12I" localSheetId="2">'[1]Param (DINN)'!$B$6</definedName>
    <definedName name="w12I">'Param (DINN)'!$B$6</definedName>
    <definedName name="w12I1" localSheetId="0">'[1]Param (No DINN)'!$B$6</definedName>
    <definedName name="w12I1" localSheetId="1">'[1]Param (No DINN)'!$B$6</definedName>
    <definedName name="w12I1" localSheetId="2">'[1]Param (No DINN)'!$B$6</definedName>
    <definedName name="w12I1">'Param (No DINN)'!$B$6</definedName>
    <definedName name="w12R" localSheetId="0">'[1]Param (DINN)'!$B$8</definedName>
    <definedName name="w12R" localSheetId="1">'[1]Param (DINN)'!$B$8</definedName>
    <definedName name="w12R" localSheetId="2">'[1]Param (DINN)'!$B$8</definedName>
    <definedName name="w12R">'Param (DINN)'!$B$8</definedName>
    <definedName name="w12R1" localSheetId="0">'[1]Param (No DINN)'!$B$8</definedName>
    <definedName name="w12R1" localSheetId="1">'[1]Param (No DINN)'!$B$8</definedName>
    <definedName name="w12R1" localSheetId="2">'[1]Param (No DINN)'!$B$8</definedName>
    <definedName name="w12R1">'Param (No DINN)'!$B$8</definedName>
    <definedName name="w12S" localSheetId="0">'[1]Param (DINN)'!$B$4</definedName>
    <definedName name="w12S" localSheetId="1">'[1]Param (DINN)'!$B$4</definedName>
    <definedName name="w12S" localSheetId="2">'[1]Param (DINN)'!$B$4</definedName>
    <definedName name="w12S">'Param (DINN)'!$B$4</definedName>
    <definedName name="w12S1" localSheetId="0">'[1]Param (No DINN)'!$B$4</definedName>
    <definedName name="w12S1" localSheetId="1">'[1]Param (No DINN)'!$B$4</definedName>
    <definedName name="w12S1" localSheetId="2">'[1]Param (No DINN)'!$B$4</definedName>
    <definedName name="w12S1">'Param (No DINN)'!$B$4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2" l="1"/>
  <c r="C2" i="22" s="1"/>
  <c r="G2" i="22"/>
  <c r="H2" i="22" s="1"/>
  <c r="L2" i="22"/>
  <c r="M2" i="22" s="1"/>
  <c r="B3" i="22"/>
  <c r="C3" i="22" s="1"/>
  <c r="G3" i="22"/>
  <c r="H3" i="22" s="1"/>
  <c r="L3" i="22"/>
  <c r="M3" i="22"/>
  <c r="N3" i="22" s="1"/>
  <c r="O3" i="22"/>
  <c r="B4" i="22"/>
  <c r="C4" i="22" s="1"/>
  <c r="G4" i="22"/>
  <c r="H4" i="22" s="1"/>
  <c r="L4" i="22"/>
  <c r="M4" i="22" s="1"/>
  <c r="B5" i="22"/>
  <c r="C5" i="22"/>
  <c r="E5" i="22" s="1"/>
  <c r="D5" i="22"/>
  <c r="F5" i="22"/>
  <c r="G5" i="22"/>
  <c r="H5" i="22" s="1"/>
  <c r="L5" i="22"/>
  <c r="M5" i="22" s="1"/>
  <c r="B6" i="22"/>
  <c r="C6" i="22"/>
  <c r="E6" i="22" s="1"/>
  <c r="D6" i="22"/>
  <c r="F6" i="22"/>
  <c r="G6" i="22"/>
  <c r="H6" i="22" s="1"/>
  <c r="L6" i="22"/>
  <c r="M6" i="22" s="1"/>
  <c r="P6" i="22" s="1"/>
  <c r="N6" i="22"/>
  <c r="O6" i="22"/>
  <c r="B7" i="22"/>
  <c r="C7" i="22"/>
  <c r="D7" i="22"/>
  <c r="G7" i="22"/>
  <c r="H7" i="22"/>
  <c r="J7" i="22" s="1"/>
  <c r="K7" i="22"/>
  <c r="L7" i="22"/>
  <c r="M7" i="22" s="1"/>
  <c r="P7" i="22" s="1"/>
  <c r="B8" i="22"/>
  <c r="C8" i="22"/>
  <c r="D8" i="22" s="1"/>
  <c r="E8" i="22"/>
  <c r="F8" i="22"/>
  <c r="G8" i="22"/>
  <c r="H8" i="22"/>
  <c r="I8" i="22" s="1"/>
  <c r="L8" i="22"/>
  <c r="M8" i="22"/>
  <c r="P8" i="22" s="1"/>
  <c r="B9" i="22"/>
  <c r="C9" i="22" s="1"/>
  <c r="D9" i="22" s="1"/>
  <c r="G9" i="22"/>
  <c r="H9" i="22"/>
  <c r="I9" i="22" s="1"/>
  <c r="J9" i="22"/>
  <c r="K9" i="22"/>
  <c r="L9" i="22"/>
  <c r="M9" i="22"/>
  <c r="B10" i="22"/>
  <c r="C10" i="22"/>
  <c r="G10" i="22"/>
  <c r="H10" i="22" s="1"/>
  <c r="I10" i="22" s="1"/>
  <c r="K10" i="22"/>
  <c r="L10" i="22"/>
  <c r="M10" i="22"/>
  <c r="N10" i="22" s="1"/>
  <c r="O10" i="22"/>
  <c r="B11" i="22"/>
  <c r="C11" i="22" s="1"/>
  <c r="D11" i="22" s="1"/>
  <c r="G11" i="22"/>
  <c r="H11" i="22" s="1"/>
  <c r="L11" i="22"/>
  <c r="M11" i="22" s="1"/>
  <c r="N11" i="22" s="1"/>
  <c r="B12" i="22"/>
  <c r="C12" i="22" s="1"/>
  <c r="G12" i="22"/>
  <c r="H12" i="22" s="1"/>
  <c r="K12" i="22" s="1"/>
  <c r="L12" i="22"/>
  <c r="M12" i="22" s="1"/>
  <c r="O12" i="22"/>
  <c r="B13" i="22"/>
  <c r="C13" i="22" s="1"/>
  <c r="E13" i="22" s="1"/>
  <c r="D13" i="22"/>
  <c r="F13" i="22"/>
  <c r="S13" i="22" s="1"/>
  <c r="G13" i="22"/>
  <c r="H13" i="22" s="1"/>
  <c r="K13" i="22" s="1"/>
  <c r="I13" i="22"/>
  <c r="J13" i="22"/>
  <c r="L13" i="22"/>
  <c r="M13" i="22" s="1"/>
  <c r="P13" i="22" s="1"/>
  <c r="B14" i="22"/>
  <c r="C14" i="22"/>
  <c r="E14" i="22" s="1"/>
  <c r="D14" i="22"/>
  <c r="G14" i="22"/>
  <c r="H14" i="22" s="1"/>
  <c r="J14" i="22" s="1"/>
  <c r="I14" i="22"/>
  <c r="K14" i="22"/>
  <c r="L14" i="22"/>
  <c r="M14" i="22" s="1"/>
  <c r="P14" i="22" s="1"/>
  <c r="N14" i="22"/>
  <c r="Q14" i="22" s="1"/>
  <c r="O14" i="22"/>
  <c r="B15" i="22"/>
  <c r="C15" i="22"/>
  <c r="E15" i="22" s="1"/>
  <c r="R15" i="22" s="1"/>
  <c r="F15" i="22"/>
  <c r="G15" i="22"/>
  <c r="H15" i="22"/>
  <c r="J15" i="22" s="1"/>
  <c r="L15" i="22"/>
  <c r="M15" i="22" s="1"/>
  <c r="O15" i="22" s="1"/>
  <c r="N15" i="22"/>
  <c r="B16" i="22"/>
  <c r="C16" i="22"/>
  <c r="D16" i="22" s="1"/>
  <c r="E16" i="22"/>
  <c r="F16" i="22"/>
  <c r="G16" i="22"/>
  <c r="H16" i="22"/>
  <c r="L16" i="22"/>
  <c r="M16" i="22"/>
  <c r="O16" i="22" s="1"/>
  <c r="N16" i="22"/>
  <c r="P16" i="22"/>
  <c r="B17" i="22"/>
  <c r="C17" i="22"/>
  <c r="D17" i="22" s="1"/>
  <c r="G17" i="22"/>
  <c r="H17" i="22"/>
  <c r="I17" i="22" s="1"/>
  <c r="K17" i="22"/>
  <c r="L17" i="22"/>
  <c r="M17" i="22"/>
  <c r="O17" i="22" s="1"/>
  <c r="B18" i="22"/>
  <c r="C18" i="22"/>
  <c r="G18" i="22"/>
  <c r="H18" i="22" s="1"/>
  <c r="L18" i="22"/>
  <c r="M18" i="22"/>
  <c r="N18" i="22" s="1"/>
  <c r="O18" i="22"/>
  <c r="P18" i="22"/>
  <c r="B19" i="22"/>
  <c r="C19" i="22" s="1"/>
  <c r="F19" i="22" s="1"/>
  <c r="D19" i="22"/>
  <c r="E19" i="22"/>
  <c r="G19" i="22"/>
  <c r="H19" i="22"/>
  <c r="L19" i="22"/>
  <c r="M19" i="22" s="1"/>
  <c r="B20" i="22"/>
  <c r="C20" i="22" s="1"/>
  <c r="G20" i="22"/>
  <c r="H20" i="22" s="1"/>
  <c r="K20" i="22" s="1"/>
  <c r="L20" i="22"/>
  <c r="M20" i="22" s="1"/>
  <c r="B21" i="22"/>
  <c r="C21" i="22" s="1"/>
  <c r="E21" i="22" s="1"/>
  <c r="D21" i="22"/>
  <c r="F21" i="22"/>
  <c r="G21" i="22"/>
  <c r="H21" i="22" s="1"/>
  <c r="K21" i="22" s="1"/>
  <c r="I21" i="22"/>
  <c r="J21" i="22"/>
  <c r="L21" i="22"/>
  <c r="M21" i="22" s="1"/>
  <c r="P21" i="22" s="1"/>
  <c r="B22" i="22"/>
  <c r="C22" i="22"/>
  <c r="E22" i="22" s="1"/>
  <c r="D22" i="22"/>
  <c r="G22" i="22"/>
  <c r="H22" i="22" s="1"/>
  <c r="J22" i="22" s="1"/>
  <c r="I22" i="22"/>
  <c r="K22" i="22"/>
  <c r="L22" i="22"/>
  <c r="M22" i="22" s="1"/>
  <c r="P22" i="22" s="1"/>
  <c r="N22" i="22"/>
  <c r="Q22" i="22" s="1"/>
  <c r="O22" i="22"/>
  <c r="B23" i="22"/>
  <c r="C23" i="22"/>
  <c r="E23" i="22" s="1"/>
  <c r="F23" i="22"/>
  <c r="G23" i="22"/>
  <c r="H23" i="22"/>
  <c r="J23" i="22" s="1"/>
  <c r="L23" i="22"/>
  <c r="M23" i="22" s="1"/>
  <c r="O23" i="22" s="1"/>
  <c r="N23" i="22"/>
  <c r="B24" i="22"/>
  <c r="C24" i="22"/>
  <c r="D24" i="22" s="1"/>
  <c r="E24" i="22"/>
  <c r="F24" i="22"/>
  <c r="G24" i="22"/>
  <c r="H24" i="22"/>
  <c r="L24" i="22"/>
  <c r="M24" i="22"/>
  <c r="O24" i="22" s="1"/>
  <c r="N24" i="22"/>
  <c r="P24" i="22"/>
  <c r="B25" i="22"/>
  <c r="C25" i="22"/>
  <c r="D25" i="22" s="1"/>
  <c r="G25" i="22"/>
  <c r="H25" i="22"/>
  <c r="I25" i="22" s="1"/>
  <c r="K25" i="22"/>
  <c r="L25" i="22"/>
  <c r="M25" i="22"/>
  <c r="O25" i="22" s="1"/>
  <c r="B26" i="22"/>
  <c r="C26" i="22"/>
  <c r="G26" i="22"/>
  <c r="H26" i="22" s="1"/>
  <c r="L26" i="22"/>
  <c r="M26" i="22"/>
  <c r="N26" i="22" s="1"/>
  <c r="O26" i="22"/>
  <c r="P26" i="22"/>
  <c r="B27" i="22"/>
  <c r="C27" i="22" s="1"/>
  <c r="F27" i="22" s="1"/>
  <c r="D27" i="22"/>
  <c r="E27" i="22"/>
  <c r="G27" i="22"/>
  <c r="H27" i="22"/>
  <c r="L27" i="22"/>
  <c r="M27" i="22" s="1"/>
  <c r="B28" i="22"/>
  <c r="C28" i="22" s="1"/>
  <c r="G28" i="22"/>
  <c r="H28" i="22" s="1"/>
  <c r="K28" i="22" s="1"/>
  <c r="I28" i="22"/>
  <c r="J28" i="22"/>
  <c r="L28" i="22"/>
  <c r="M28" i="22" s="1"/>
  <c r="O28" i="22"/>
  <c r="B29" i="22"/>
  <c r="C29" i="22" s="1"/>
  <c r="E29" i="22" s="1"/>
  <c r="F29" i="22"/>
  <c r="G29" i="22"/>
  <c r="H29" i="22" s="1"/>
  <c r="K29" i="22" s="1"/>
  <c r="I29" i="22"/>
  <c r="J29" i="22"/>
  <c r="L29" i="22"/>
  <c r="M29" i="22" s="1"/>
  <c r="P29" i="22" s="1"/>
  <c r="B30" i="22"/>
  <c r="C30" i="22"/>
  <c r="E30" i="22" s="1"/>
  <c r="D30" i="22"/>
  <c r="G30" i="22"/>
  <c r="H30" i="22" s="1"/>
  <c r="J30" i="22" s="1"/>
  <c r="K30" i="22"/>
  <c r="L30" i="22"/>
  <c r="M30" i="22" s="1"/>
  <c r="P30" i="22" s="1"/>
  <c r="N30" i="22"/>
  <c r="O30" i="22"/>
  <c r="B31" i="22"/>
  <c r="C31" i="22"/>
  <c r="E31" i="22" s="1"/>
  <c r="F31" i="22"/>
  <c r="G31" i="22"/>
  <c r="H31" i="22"/>
  <c r="J31" i="22" s="1"/>
  <c r="L31" i="22"/>
  <c r="M31" i="22" s="1"/>
  <c r="O31" i="22" s="1"/>
  <c r="N31" i="22"/>
  <c r="P31" i="22"/>
  <c r="B32" i="22"/>
  <c r="C32" i="22"/>
  <c r="D32" i="22" s="1"/>
  <c r="F32" i="22"/>
  <c r="G32" i="22"/>
  <c r="H32" i="22"/>
  <c r="L32" i="22"/>
  <c r="M32" i="22"/>
  <c r="O32" i="22" s="1"/>
  <c r="P32" i="22"/>
  <c r="B33" i="22"/>
  <c r="C33" i="22"/>
  <c r="D33" i="22" s="1"/>
  <c r="G33" i="22"/>
  <c r="H33" i="22"/>
  <c r="I33" i="22" s="1"/>
  <c r="K33" i="22"/>
  <c r="L33" i="22"/>
  <c r="M33" i="22"/>
  <c r="O33" i="22" s="1"/>
  <c r="B34" i="22"/>
  <c r="C34" i="22"/>
  <c r="G34" i="22"/>
  <c r="H34" i="22" s="1"/>
  <c r="L34" i="22"/>
  <c r="M34" i="22"/>
  <c r="N34" i="22" s="1"/>
  <c r="O34" i="22"/>
  <c r="P34" i="22"/>
  <c r="B35" i="22"/>
  <c r="C35" i="22" s="1"/>
  <c r="F35" i="22" s="1"/>
  <c r="E35" i="22"/>
  <c r="G35" i="22"/>
  <c r="H35" i="22"/>
  <c r="L35" i="22"/>
  <c r="M35" i="22" s="1"/>
  <c r="B36" i="22"/>
  <c r="C36" i="22" s="1"/>
  <c r="G36" i="22"/>
  <c r="H36" i="22" s="1"/>
  <c r="K36" i="22" s="1"/>
  <c r="I36" i="22"/>
  <c r="J36" i="22"/>
  <c r="L36" i="22"/>
  <c r="M36" i="22" s="1"/>
  <c r="O36" i="22"/>
  <c r="B37" i="22"/>
  <c r="C37" i="22" s="1"/>
  <c r="E37" i="22" s="1"/>
  <c r="F37" i="22"/>
  <c r="G37" i="22"/>
  <c r="H37" i="22" s="1"/>
  <c r="K37" i="22" s="1"/>
  <c r="I37" i="22"/>
  <c r="J37" i="22"/>
  <c r="L37" i="22"/>
  <c r="M37" i="22" s="1"/>
  <c r="P37" i="22" s="1"/>
  <c r="B38" i="22"/>
  <c r="C38" i="22"/>
  <c r="E38" i="22" s="1"/>
  <c r="D38" i="22"/>
  <c r="G38" i="22"/>
  <c r="H38" i="22" s="1"/>
  <c r="J38" i="22" s="1"/>
  <c r="K38" i="22"/>
  <c r="L38" i="22"/>
  <c r="M38" i="22" s="1"/>
  <c r="P38" i="22" s="1"/>
  <c r="N38" i="22"/>
  <c r="O38" i="22"/>
  <c r="B39" i="22"/>
  <c r="C39" i="22"/>
  <c r="E39" i="22" s="1"/>
  <c r="R39" i="22" s="1"/>
  <c r="F39" i="22"/>
  <c r="G39" i="22"/>
  <c r="H39" i="22"/>
  <c r="J39" i="22" s="1"/>
  <c r="L39" i="22"/>
  <c r="M39" i="22" s="1"/>
  <c r="O39" i="22" s="1"/>
  <c r="N39" i="22"/>
  <c r="P39" i="22"/>
  <c r="B40" i="22"/>
  <c r="C40" i="22"/>
  <c r="D40" i="22" s="1"/>
  <c r="E40" i="22"/>
  <c r="F40" i="22"/>
  <c r="G40" i="22"/>
  <c r="H40" i="22" s="1"/>
  <c r="L40" i="22"/>
  <c r="M40" i="22"/>
  <c r="N40" i="22"/>
  <c r="O40" i="22"/>
  <c r="P40" i="22"/>
  <c r="B41" i="22"/>
  <c r="C41" i="22"/>
  <c r="D41" i="22" s="1"/>
  <c r="E41" i="22"/>
  <c r="G41" i="22"/>
  <c r="H41" i="22"/>
  <c r="I41" i="22" s="1"/>
  <c r="J41" i="22"/>
  <c r="L41" i="22"/>
  <c r="M41" i="22" s="1"/>
  <c r="B42" i="22"/>
  <c r="C42" i="22"/>
  <c r="E42" i="22" s="1"/>
  <c r="G42" i="22"/>
  <c r="H42" i="22" s="1"/>
  <c r="I42" i="22" s="1"/>
  <c r="L42" i="22"/>
  <c r="M42" i="22"/>
  <c r="N42" i="22" s="1"/>
  <c r="P42" i="22"/>
  <c r="B43" i="22"/>
  <c r="C43" i="22" s="1"/>
  <c r="D43" i="22" s="1"/>
  <c r="G43" i="22"/>
  <c r="H43" i="22" s="1"/>
  <c r="J43" i="22"/>
  <c r="L43" i="22"/>
  <c r="M43" i="22"/>
  <c r="N43" i="22" s="1"/>
  <c r="B44" i="22"/>
  <c r="C44" i="22" s="1"/>
  <c r="G44" i="22"/>
  <c r="H44" i="22" s="1"/>
  <c r="I44" i="22" s="1"/>
  <c r="J44" i="22"/>
  <c r="L44" i="22"/>
  <c r="M44" i="22" s="1"/>
  <c r="B45" i="22"/>
  <c r="C45" i="22"/>
  <c r="D45" i="22" s="1"/>
  <c r="Q45" i="22" s="1"/>
  <c r="G45" i="22"/>
  <c r="H45" i="22" s="1"/>
  <c r="I45" i="22"/>
  <c r="L45" i="22"/>
  <c r="M45" i="22"/>
  <c r="N45" i="22" s="1"/>
  <c r="O45" i="22"/>
  <c r="B46" i="22"/>
  <c r="C46" i="22" s="1"/>
  <c r="F46" i="22" s="1"/>
  <c r="G46" i="22"/>
  <c r="H46" i="22"/>
  <c r="I46" i="22" s="1"/>
  <c r="L46" i="22"/>
  <c r="M46" i="22" s="1"/>
  <c r="B47" i="22"/>
  <c r="C47" i="22"/>
  <c r="G47" i="22"/>
  <c r="H47" i="22" s="1"/>
  <c r="K47" i="22" s="1"/>
  <c r="L47" i="22"/>
  <c r="M47" i="22"/>
  <c r="N47" i="22" s="1"/>
  <c r="B48" i="22"/>
  <c r="C48" i="22" s="1"/>
  <c r="G48" i="22"/>
  <c r="H48" i="22"/>
  <c r="L48" i="22"/>
  <c r="M48" i="22" s="1"/>
  <c r="P48" i="22" s="1"/>
  <c r="B49" i="22"/>
  <c r="C49" i="22"/>
  <c r="D49" i="22" s="1"/>
  <c r="E49" i="22"/>
  <c r="G49" i="22"/>
  <c r="H49" i="22" s="1"/>
  <c r="L49" i="22"/>
  <c r="M49" i="22"/>
  <c r="B50" i="22"/>
  <c r="C50" i="22" s="1"/>
  <c r="G50" i="22"/>
  <c r="H50" i="22"/>
  <c r="I50" i="22" s="1"/>
  <c r="J50" i="22"/>
  <c r="L50" i="22"/>
  <c r="M50" i="22" s="1"/>
  <c r="B51" i="22"/>
  <c r="C51" i="22"/>
  <c r="D51" i="22" s="1"/>
  <c r="E51" i="22"/>
  <c r="G51" i="22"/>
  <c r="H51" i="22" s="1"/>
  <c r="L51" i="22"/>
  <c r="M51" i="22"/>
  <c r="N51" i="22" s="1"/>
  <c r="O51" i="22"/>
  <c r="B52" i="22"/>
  <c r="C52" i="22" s="1"/>
  <c r="G52" i="22"/>
  <c r="H52" i="22"/>
  <c r="I52" i="22" s="1"/>
  <c r="J52" i="22"/>
  <c r="L52" i="22"/>
  <c r="M52" i="22" s="1"/>
  <c r="B53" i="22"/>
  <c r="C53" i="22"/>
  <c r="D53" i="22" s="1"/>
  <c r="G53" i="22"/>
  <c r="H53" i="22" s="1"/>
  <c r="J53" i="22" s="1"/>
  <c r="I53" i="22"/>
  <c r="K53" i="22"/>
  <c r="L53" i="22"/>
  <c r="M53" i="22"/>
  <c r="N53" i="22" s="1"/>
  <c r="O53" i="22"/>
  <c r="Q53" i="22"/>
  <c r="B54" i="22"/>
  <c r="C54" i="22" s="1"/>
  <c r="E54" i="22" s="1"/>
  <c r="D54" i="22"/>
  <c r="F54" i="22"/>
  <c r="G54" i="22"/>
  <c r="H54" i="22"/>
  <c r="L54" i="22"/>
  <c r="M54" i="22" s="1"/>
  <c r="O54" i="22" s="1"/>
  <c r="N54" i="22"/>
  <c r="B55" i="22"/>
  <c r="C55" i="22"/>
  <c r="E55" i="22" s="1"/>
  <c r="G55" i="22"/>
  <c r="H55" i="22" s="1"/>
  <c r="J55" i="22" s="1"/>
  <c r="I55" i="22"/>
  <c r="K55" i="22"/>
  <c r="L55" i="22"/>
  <c r="M55" i="22"/>
  <c r="B56" i="22"/>
  <c r="C56" i="22" s="1"/>
  <c r="F56" i="22" s="1"/>
  <c r="G56" i="22"/>
  <c r="H56" i="22"/>
  <c r="L56" i="22"/>
  <c r="M56" i="22" s="1"/>
  <c r="O56" i="22" s="1"/>
  <c r="N56" i="22"/>
  <c r="P56" i="22"/>
  <c r="B57" i="22"/>
  <c r="C57" i="22"/>
  <c r="E57" i="22"/>
  <c r="G57" i="22"/>
  <c r="H57" i="22" s="1"/>
  <c r="L57" i="22"/>
  <c r="M57" i="22"/>
  <c r="O57" i="22" s="1"/>
  <c r="B58" i="22"/>
  <c r="C58" i="22" s="1"/>
  <c r="D58" i="22"/>
  <c r="G58" i="22"/>
  <c r="H58" i="22"/>
  <c r="J58" i="22" s="1"/>
  <c r="L58" i="22"/>
  <c r="M58" i="22" s="1"/>
  <c r="P58" i="22" s="1"/>
  <c r="B59" i="22"/>
  <c r="C59" i="22"/>
  <c r="D59" i="22" s="1"/>
  <c r="E59" i="22"/>
  <c r="G59" i="22"/>
  <c r="H59" i="22" s="1"/>
  <c r="I59" i="22"/>
  <c r="L59" i="22"/>
  <c r="M59" i="22"/>
  <c r="O59" i="22"/>
  <c r="B60" i="22"/>
  <c r="C60" i="22" s="1"/>
  <c r="E60" i="22" s="1"/>
  <c r="G60" i="22"/>
  <c r="H60" i="22"/>
  <c r="I60" i="22" s="1"/>
  <c r="J60" i="22"/>
  <c r="L60" i="22"/>
  <c r="M60" i="22" s="1"/>
  <c r="N60" i="22"/>
  <c r="B61" i="22"/>
  <c r="C61" i="22"/>
  <c r="G61" i="22"/>
  <c r="H61" i="22" s="1"/>
  <c r="J61" i="22" s="1"/>
  <c r="K61" i="22"/>
  <c r="L61" i="22"/>
  <c r="M61" i="22"/>
  <c r="N61" i="22" s="1"/>
  <c r="O61" i="22"/>
  <c r="B2" i="21"/>
  <c r="C2" i="21"/>
  <c r="E2" i="21"/>
  <c r="G2" i="21"/>
  <c r="H2" i="21" s="1"/>
  <c r="B3" i="21"/>
  <c r="C3" i="21"/>
  <c r="G3" i="21"/>
  <c r="H3" i="21"/>
  <c r="J3" i="21" s="1"/>
  <c r="B4" i="21"/>
  <c r="C4" i="21" s="1"/>
  <c r="G4" i="21"/>
  <c r="H4" i="21" s="1"/>
  <c r="J4" i="21" s="1"/>
  <c r="B5" i="21"/>
  <c r="C5" i="21" s="1"/>
  <c r="F5" i="21"/>
  <c r="G5" i="21"/>
  <c r="H5" i="21" s="1"/>
  <c r="B6" i="21"/>
  <c r="C6" i="21" s="1"/>
  <c r="G6" i="21"/>
  <c r="H6" i="21"/>
  <c r="B7" i="21"/>
  <c r="C7" i="21" s="1"/>
  <c r="G7" i="21"/>
  <c r="H7" i="21" s="1"/>
  <c r="J7" i="21"/>
  <c r="B8" i="21"/>
  <c r="C8" i="21"/>
  <c r="F8" i="21" s="1"/>
  <c r="N8" i="21" s="1"/>
  <c r="D8" i="21"/>
  <c r="L8" i="21" s="1"/>
  <c r="G8" i="21"/>
  <c r="H8" i="21"/>
  <c r="I8" i="21" s="1"/>
  <c r="K8" i="21"/>
  <c r="B9" i="21"/>
  <c r="C9" i="21" s="1"/>
  <c r="F9" i="21"/>
  <c r="G9" i="21"/>
  <c r="H9" i="21" s="1"/>
  <c r="B10" i="21"/>
  <c r="C10" i="21"/>
  <c r="F10" i="21" s="1"/>
  <c r="D10" i="21"/>
  <c r="E10" i="21"/>
  <c r="G10" i="21"/>
  <c r="H10" i="21"/>
  <c r="B11" i="21"/>
  <c r="C11" i="21" s="1"/>
  <c r="G11" i="21"/>
  <c r="H11" i="21" s="1"/>
  <c r="B12" i="21"/>
  <c r="C12" i="21"/>
  <c r="F12" i="21" s="1"/>
  <c r="N12" i="21" s="1"/>
  <c r="D12" i="21"/>
  <c r="G12" i="21"/>
  <c r="H12" i="21"/>
  <c r="I12" i="21" s="1"/>
  <c r="L12" i="21" s="1"/>
  <c r="K12" i="21"/>
  <c r="B13" i="21"/>
  <c r="C13" i="21" s="1"/>
  <c r="F13" i="21"/>
  <c r="G13" i="21"/>
  <c r="H13" i="21" s="1"/>
  <c r="B14" i="21"/>
  <c r="C14" i="21"/>
  <c r="F14" i="21" s="1"/>
  <c r="D14" i="21"/>
  <c r="E14" i="21"/>
  <c r="G14" i="21"/>
  <c r="H14" i="21"/>
  <c r="B15" i="21"/>
  <c r="C15" i="21" s="1"/>
  <c r="G15" i="21"/>
  <c r="H15" i="21" s="1"/>
  <c r="J15" i="21"/>
  <c r="B16" i="21"/>
  <c r="C16" i="21"/>
  <c r="F16" i="21" s="1"/>
  <c r="N16" i="21" s="1"/>
  <c r="D16" i="21"/>
  <c r="L16" i="21" s="1"/>
  <c r="G16" i="21"/>
  <c r="H16" i="21"/>
  <c r="I16" i="21" s="1"/>
  <c r="K16" i="21"/>
  <c r="B17" i="21"/>
  <c r="C17" i="21" s="1"/>
  <c r="F17" i="21"/>
  <c r="G17" i="21"/>
  <c r="H17" i="21" s="1"/>
  <c r="B18" i="21"/>
  <c r="C18" i="21"/>
  <c r="F18" i="21" s="1"/>
  <c r="D18" i="21"/>
  <c r="E18" i="21"/>
  <c r="G18" i="21"/>
  <c r="H18" i="21"/>
  <c r="B19" i="21"/>
  <c r="C19" i="21" s="1"/>
  <c r="G19" i="21"/>
  <c r="H19" i="21" s="1"/>
  <c r="B20" i="21"/>
  <c r="C20" i="21"/>
  <c r="F20" i="21" s="1"/>
  <c r="N20" i="21" s="1"/>
  <c r="D20" i="21"/>
  <c r="G20" i="21"/>
  <c r="H20" i="21"/>
  <c r="I20" i="21" s="1"/>
  <c r="L20" i="21" s="1"/>
  <c r="K20" i="21"/>
  <c r="B21" i="21"/>
  <c r="C21" i="21" s="1"/>
  <c r="F21" i="21"/>
  <c r="G21" i="21"/>
  <c r="H21" i="21" s="1"/>
  <c r="B22" i="21"/>
  <c r="C22" i="21"/>
  <c r="E22" i="21" s="1"/>
  <c r="D22" i="21"/>
  <c r="G22" i="21"/>
  <c r="H22" i="21"/>
  <c r="B23" i="21"/>
  <c r="C23" i="21" s="1"/>
  <c r="G23" i="21"/>
  <c r="H23" i="21" s="1"/>
  <c r="J23" i="21" s="1"/>
  <c r="B24" i="21"/>
  <c r="C24" i="21"/>
  <c r="F24" i="21" s="1"/>
  <c r="N24" i="21" s="1"/>
  <c r="D24" i="21"/>
  <c r="L24" i="21" s="1"/>
  <c r="G24" i="21"/>
  <c r="H24" i="21"/>
  <c r="I24" i="21" s="1"/>
  <c r="K24" i="21"/>
  <c r="B25" i="21"/>
  <c r="C25" i="21" s="1"/>
  <c r="F25" i="21" s="1"/>
  <c r="G25" i="21"/>
  <c r="H25" i="21" s="1"/>
  <c r="AF25" i="21"/>
  <c r="B26" i="21"/>
  <c r="C26" i="21"/>
  <c r="D26" i="21" s="1"/>
  <c r="F26" i="21"/>
  <c r="G26" i="21"/>
  <c r="H26" i="21" s="1"/>
  <c r="B27" i="21"/>
  <c r="C27" i="21" s="1"/>
  <c r="G27" i="21"/>
  <c r="H27" i="21"/>
  <c r="K27" i="21" s="1"/>
  <c r="I27" i="21"/>
  <c r="B28" i="21"/>
  <c r="C28" i="21"/>
  <c r="G28" i="21"/>
  <c r="H28" i="21" s="1"/>
  <c r="K28" i="21" s="1"/>
  <c r="B29" i="21"/>
  <c r="C29" i="21" s="1"/>
  <c r="E29" i="21"/>
  <c r="M29" i="21" s="1"/>
  <c r="G29" i="21"/>
  <c r="H29" i="21"/>
  <c r="J29" i="21" s="1"/>
  <c r="I29" i="21"/>
  <c r="B30" i="21"/>
  <c r="C30" i="21"/>
  <c r="D30" i="21" s="1"/>
  <c r="F30" i="21"/>
  <c r="G30" i="21"/>
  <c r="H30" i="21" s="1"/>
  <c r="B31" i="21"/>
  <c r="C31" i="21" s="1"/>
  <c r="G31" i="21"/>
  <c r="H31" i="21"/>
  <c r="K31" i="21" s="1"/>
  <c r="I31" i="21"/>
  <c r="B32" i="21"/>
  <c r="C32" i="21"/>
  <c r="G32" i="21"/>
  <c r="H32" i="21" s="1"/>
  <c r="K32" i="21" s="1"/>
  <c r="B33" i="21"/>
  <c r="C33" i="21" s="1"/>
  <c r="E33" i="21"/>
  <c r="G33" i="21"/>
  <c r="H33" i="21"/>
  <c r="I33" i="21" s="1"/>
  <c r="B34" i="21"/>
  <c r="C34" i="21" s="1"/>
  <c r="G34" i="21"/>
  <c r="H34" i="21" s="1"/>
  <c r="B35" i="21"/>
  <c r="C35" i="21" s="1"/>
  <c r="G35" i="21"/>
  <c r="H35" i="21"/>
  <c r="K35" i="21" s="1"/>
  <c r="I35" i="21"/>
  <c r="B36" i="21"/>
  <c r="C36" i="21"/>
  <c r="G36" i="21"/>
  <c r="H36" i="21" s="1"/>
  <c r="B37" i="21"/>
  <c r="C37" i="21" s="1"/>
  <c r="E37" i="21"/>
  <c r="G37" i="21"/>
  <c r="H37" i="21"/>
  <c r="I37" i="21" s="1"/>
  <c r="B38" i="21"/>
  <c r="C38" i="21" s="1"/>
  <c r="G38" i="21"/>
  <c r="H38" i="21" s="1"/>
  <c r="B39" i="21"/>
  <c r="C39" i="21" s="1"/>
  <c r="G39" i="21"/>
  <c r="H39" i="21"/>
  <c r="K39" i="21" s="1"/>
  <c r="I39" i="21"/>
  <c r="B40" i="21"/>
  <c r="C40" i="21"/>
  <c r="G40" i="21"/>
  <c r="H40" i="21" s="1"/>
  <c r="K40" i="21" s="1"/>
  <c r="B41" i="21"/>
  <c r="C41" i="21" s="1"/>
  <c r="E41" i="21"/>
  <c r="G41" i="21"/>
  <c r="H41" i="21"/>
  <c r="I41" i="21" s="1"/>
  <c r="B42" i="21"/>
  <c r="C42" i="21" s="1"/>
  <c r="F42" i="21"/>
  <c r="G42" i="21"/>
  <c r="H42" i="21" s="1"/>
  <c r="B43" i="21"/>
  <c r="C43" i="21" s="1"/>
  <c r="G43" i="21"/>
  <c r="H43" i="21"/>
  <c r="I43" i="21"/>
  <c r="B44" i="21"/>
  <c r="C44" i="21" s="1"/>
  <c r="G44" i="21"/>
  <c r="H44" i="21" s="1"/>
  <c r="I44" i="21" s="1"/>
  <c r="J44" i="21"/>
  <c r="K44" i="21"/>
  <c r="B45" i="21"/>
  <c r="C45" i="21" s="1"/>
  <c r="F45" i="21" s="1"/>
  <c r="D45" i="21"/>
  <c r="E45" i="21"/>
  <c r="G45" i="21"/>
  <c r="H45" i="21"/>
  <c r="B46" i="21"/>
  <c r="C46" i="21" s="1"/>
  <c r="F46" i="21" s="1"/>
  <c r="G46" i="21"/>
  <c r="H46" i="21" s="1"/>
  <c r="J46" i="21"/>
  <c r="B47" i="21"/>
  <c r="C47" i="21" s="1"/>
  <c r="D47" i="21" s="1"/>
  <c r="L47" i="21" s="1"/>
  <c r="G47" i="21"/>
  <c r="H47" i="21"/>
  <c r="I47" i="21"/>
  <c r="B48" i="21"/>
  <c r="C48" i="21" s="1"/>
  <c r="G48" i="21"/>
  <c r="H48" i="21" s="1"/>
  <c r="I48" i="21" s="1"/>
  <c r="B49" i="21"/>
  <c r="C49" i="21" s="1"/>
  <c r="D49" i="21" s="1"/>
  <c r="L49" i="21" s="1"/>
  <c r="R49" i="21" s="1"/>
  <c r="E49" i="21"/>
  <c r="M49" i="21" s="1"/>
  <c r="F49" i="21"/>
  <c r="G49" i="21"/>
  <c r="H49" i="21"/>
  <c r="K49" i="21" s="1"/>
  <c r="I49" i="21"/>
  <c r="J49" i="21"/>
  <c r="N49" i="21"/>
  <c r="B50" i="21"/>
  <c r="C50" i="21" s="1"/>
  <c r="G50" i="21"/>
  <c r="H50" i="21" s="1"/>
  <c r="B51" i="21"/>
  <c r="C51" i="21" s="1"/>
  <c r="G51" i="21"/>
  <c r="H51" i="21"/>
  <c r="K51" i="21" s="1"/>
  <c r="I51" i="21"/>
  <c r="B52" i="21"/>
  <c r="C52" i="21"/>
  <c r="E52" i="21" s="1"/>
  <c r="G52" i="21"/>
  <c r="H52" i="21" s="1"/>
  <c r="B53" i="21"/>
  <c r="C53" i="21"/>
  <c r="F53" i="21" s="1"/>
  <c r="N53" i="21" s="1"/>
  <c r="D53" i="21"/>
  <c r="E53" i="21"/>
  <c r="G53" i="21"/>
  <c r="H53" i="21"/>
  <c r="I53" i="21" s="1"/>
  <c r="L53" i="21" s="1"/>
  <c r="K53" i="21"/>
  <c r="B54" i="21"/>
  <c r="C54" i="21" s="1"/>
  <c r="G54" i="21"/>
  <c r="H54" i="21" s="1"/>
  <c r="B55" i="21"/>
  <c r="C55" i="21" s="1"/>
  <c r="G55" i="21"/>
  <c r="H55" i="21"/>
  <c r="K55" i="21" s="1"/>
  <c r="I55" i="21"/>
  <c r="B56" i="21"/>
  <c r="C56" i="21"/>
  <c r="E56" i="21" s="1"/>
  <c r="G56" i="21"/>
  <c r="H56" i="21" s="1"/>
  <c r="B57" i="21"/>
  <c r="C57" i="21"/>
  <c r="F57" i="21" s="1"/>
  <c r="N57" i="21" s="1"/>
  <c r="D57" i="21"/>
  <c r="E57" i="21"/>
  <c r="G57" i="21"/>
  <c r="H57" i="21"/>
  <c r="I57" i="21" s="1"/>
  <c r="L57" i="21" s="1"/>
  <c r="K57" i="21"/>
  <c r="B58" i="21"/>
  <c r="C58" i="21" s="1"/>
  <c r="G58" i="21"/>
  <c r="H58" i="21" s="1"/>
  <c r="B59" i="21"/>
  <c r="C59" i="21" s="1"/>
  <c r="G59" i="21"/>
  <c r="H59" i="21"/>
  <c r="K59" i="21" s="1"/>
  <c r="I59" i="21"/>
  <c r="B60" i="21"/>
  <c r="C60" i="21"/>
  <c r="E60" i="21" s="1"/>
  <c r="G60" i="21"/>
  <c r="H60" i="21" s="1"/>
  <c r="B61" i="21"/>
  <c r="C61" i="21"/>
  <c r="F61" i="21" s="1"/>
  <c r="N61" i="21" s="1"/>
  <c r="D61" i="21"/>
  <c r="E61" i="21"/>
  <c r="G61" i="21"/>
  <c r="H61" i="21"/>
  <c r="I61" i="21" s="1"/>
  <c r="K61" i="21"/>
  <c r="B4" i="20"/>
  <c r="C4" i="20"/>
  <c r="F4" i="20" s="1"/>
  <c r="Y4" i="20"/>
  <c r="K60" i="21" l="1"/>
  <c r="I60" i="21"/>
  <c r="J60" i="21"/>
  <c r="D58" i="21"/>
  <c r="E58" i="21"/>
  <c r="F58" i="21"/>
  <c r="I56" i="21"/>
  <c r="J56" i="21"/>
  <c r="K56" i="21"/>
  <c r="D54" i="21"/>
  <c r="E54" i="21"/>
  <c r="F54" i="21"/>
  <c r="I52" i="21"/>
  <c r="J52" i="21"/>
  <c r="K52" i="21"/>
  <c r="E50" i="21"/>
  <c r="D50" i="21"/>
  <c r="F50" i="21"/>
  <c r="M52" i="21"/>
  <c r="E48" i="21"/>
  <c r="M48" i="21" s="1"/>
  <c r="D48" i="21"/>
  <c r="L48" i="21" s="1"/>
  <c r="F48" i="21"/>
  <c r="M60" i="21"/>
  <c r="E44" i="21"/>
  <c r="M44" i="21" s="1"/>
  <c r="F44" i="21"/>
  <c r="N44" i="21" s="1"/>
  <c r="D44" i="21"/>
  <c r="L44" i="21" s="1"/>
  <c r="L61" i="21"/>
  <c r="L45" i="21"/>
  <c r="D51" i="21"/>
  <c r="L51" i="21" s="1"/>
  <c r="E51" i="21"/>
  <c r="F51" i="21"/>
  <c r="N51" i="21" s="1"/>
  <c r="R47" i="21"/>
  <c r="M56" i="21"/>
  <c r="D59" i="21"/>
  <c r="L59" i="21" s="1"/>
  <c r="E59" i="21"/>
  <c r="F59" i="21"/>
  <c r="N59" i="21" s="1"/>
  <c r="D55" i="21"/>
  <c r="L55" i="21" s="1"/>
  <c r="E55" i="21"/>
  <c r="M55" i="21" s="1"/>
  <c r="F55" i="21"/>
  <c r="N55" i="21" s="1"/>
  <c r="I58" i="21"/>
  <c r="J58" i="21"/>
  <c r="K58" i="21"/>
  <c r="I54" i="21"/>
  <c r="J54" i="21"/>
  <c r="K54" i="21"/>
  <c r="I50" i="21"/>
  <c r="J50" i="21"/>
  <c r="K50" i="21"/>
  <c r="I36" i="21"/>
  <c r="J36" i="21"/>
  <c r="D60" i="21"/>
  <c r="L60" i="21" s="1"/>
  <c r="J59" i="21"/>
  <c r="D56" i="21"/>
  <c r="J55" i="21"/>
  <c r="D52" i="21"/>
  <c r="L52" i="21" s="1"/>
  <c r="J51" i="21"/>
  <c r="I42" i="21"/>
  <c r="J42" i="21"/>
  <c r="K42" i="21"/>
  <c r="N42" i="21" s="1"/>
  <c r="K36" i="21"/>
  <c r="I19" i="21"/>
  <c r="K19" i="21"/>
  <c r="I11" i="21"/>
  <c r="K11" i="21"/>
  <c r="D6" i="21"/>
  <c r="E6" i="21"/>
  <c r="F6" i="21"/>
  <c r="P46" i="22"/>
  <c r="O46" i="22"/>
  <c r="N46" i="22"/>
  <c r="I38" i="21"/>
  <c r="J38" i="21"/>
  <c r="K38" i="21"/>
  <c r="I30" i="21"/>
  <c r="J30" i="21"/>
  <c r="K30" i="21"/>
  <c r="N30" i="21" s="1"/>
  <c r="D34" i="22"/>
  <c r="F34" i="22"/>
  <c r="E34" i="22"/>
  <c r="I46" i="21"/>
  <c r="K46" i="21"/>
  <c r="N46" i="21" s="1"/>
  <c r="D42" i="21"/>
  <c r="L42" i="21" s="1"/>
  <c r="E42" i="21"/>
  <c r="M42" i="21" s="1"/>
  <c r="E40" i="21"/>
  <c r="F40" i="21"/>
  <c r="N40" i="21" s="1"/>
  <c r="D40" i="21"/>
  <c r="D38" i="21"/>
  <c r="L38" i="21" s="1"/>
  <c r="E38" i="21"/>
  <c r="M38" i="21" s="1"/>
  <c r="F38" i="21"/>
  <c r="N38" i="21" s="1"/>
  <c r="E36" i="21"/>
  <c r="M36" i="21" s="1"/>
  <c r="F36" i="21"/>
  <c r="N36" i="21" s="1"/>
  <c r="D36" i="21"/>
  <c r="L36" i="21" s="1"/>
  <c r="D34" i="21"/>
  <c r="E34" i="21"/>
  <c r="F34" i="21"/>
  <c r="E32" i="21"/>
  <c r="F32" i="21"/>
  <c r="N32" i="21" s="1"/>
  <c r="D32" i="21"/>
  <c r="D29" i="21"/>
  <c r="L29" i="21" s="1"/>
  <c r="F29" i="21"/>
  <c r="D27" i="21"/>
  <c r="L27" i="21" s="1"/>
  <c r="E27" i="21"/>
  <c r="F27" i="21"/>
  <c r="N27" i="21" s="1"/>
  <c r="I25" i="21"/>
  <c r="J25" i="21"/>
  <c r="K25" i="21"/>
  <c r="N25" i="21" s="1"/>
  <c r="M22" i="21"/>
  <c r="J18" i="21"/>
  <c r="M18" i="21" s="1"/>
  <c r="K18" i="21"/>
  <c r="I18" i="21"/>
  <c r="L18" i="21" s="1"/>
  <c r="J10" i="21"/>
  <c r="M10" i="21" s="1"/>
  <c r="K10" i="21"/>
  <c r="I10" i="21"/>
  <c r="L10" i="21" s="1"/>
  <c r="I5" i="21"/>
  <c r="J5" i="21"/>
  <c r="K5" i="21"/>
  <c r="N5" i="21" s="1"/>
  <c r="O41" i="22"/>
  <c r="R41" i="22" s="1"/>
  <c r="N41" i="22"/>
  <c r="P41" i="22"/>
  <c r="I40" i="21"/>
  <c r="J40" i="21"/>
  <c r="D19" i="21"/>
  <c r="L19" i="21" s="1"/>
  <c r="E19" i="21"/>
  <c r="F19" i="21"/>
  <c r="N19" i="21" s="1"/>
  <c r="K48" i="21"/>
  <c r="K47" i="21"/>
  <c r="J47" i="21"/>
  <c r="N45" i="21"/>
  <c r="K43" i="21"/>
  <c r="J43" i="21"/>
  <c r="L30" i="21"/>
  <c r="D17" i="21"/>
  <c r="E17" i="21"/>
  <c r="D9" i="21"/>
  <c r="E9" i="21"/>
  <c r="D3" i="21"/>
  <c r="L3" i="21" s="1"/>
  <c r="F3" i="21"/>
  <c r="E3" i="21"/>
  <c r="M3" i="21" s="1"/>
  <c r="N50" i="22"/>
  <c r="O50" i="22"/>
  <c r="P50" i="22"/>
  <c r="J61" i="21"/>
  <c r="M61" i="21" s="1"/>
  <c r="J57" i="21"/>
  <c r="M57" i="21" s="1"/>
  <c r="R57" i="21" s="1"/>
  <c r="J53" i="21"/>
  <c r="M53" i="21" s="1"/>
  <c r="R53" i="21" s="1"/>
  <c r="J48" i="21"/>
  <c r="D46" i="21"/>
  <c r="L46" i="21" s="1"/>
  <c r="E46" i="21"/>
  <c r="M46" i="21" s="1"/>
  <c r="I28" i="21"/>
  <c r="J28" i="21"/>
  <c r="I26" i="21"/>
  <c r="J26" i="21"/>
  <c r="K26" i="21"/>
  <c r="N26" i="21" s="1"/>
  <c r="D25" i="21"/>
  <c r="L25" i="21" s="1"/>
  <c r="E25" i="21"/>
  <c r="M25" i="21" s="1"/>
  <c r="I15" i="21"/>
  <c r="K15" i="21"/>
  <c r="I7" i="21"/>
  <c r="K7" i="21"/>
  <c r="D5" i="21"/>
  <c r="E5" i="21"/>
  <c r="M5" i="21" s="1"/>
  <c r="D11" i="21"/>
  <c r="L11" i="21" s="1"/>
  <c r="E11" i="21"/>
  <c r="F11" i="21"/>
  <c r="N11" i="21" s="1"/>
  <c r="D43" i="21"/>
  <c r="L43" i="21" s="1"/>
  <c r="E43" i="21"/>
  <c r="M43" i="21" s="1"/>
  <c r="F43" i="21"/>
  <c r="N43" i="21" s="1"/>
  <c r="E28" i="21"/>
  <c r="F28" i="21"/>
  <c r="N28" i="21" s="1"/>
  <c r="D28" i="21"/>
  <c r="I23" i="21"/>
  <c r="K23" i="21"/>
  <c r="I21" i="21"/>
  <c r="J21" i="21"/>
  <c r="K21" i="21"/>
  <c r="N21" i="21" s="1"/>
  <c r="D15" i="21"/>
  <c r="E15" i="21"/>
  <c r="M15" i="21" s="1"/>
  <c r="F15" i="21"/>
  <c r="I13" i="21"/>
  <c r="J13" i="21"/>
  <c r="K13" i="21"/>
  <c r="N13" i="21" s="1"/>
  <c r="D7" i="21"/>
  <c r="L7" i="21" s="1"/>
  <c r="R7" i="21" s="1"/>
  <c r="E7" i="21"/>
  <c r="M7" i="21" s="1"/>
  <c r="F7" i="21"/>
  <c r="N7" i="21" s="1"/>
  <c r="J2" i="21"/>
  <c r="M2" i="21" s="1"/>
  <c r="K2" i="21"/>
  <c r="I2" i="21"/>
  <c r="K56" i="22"/>
  <c r="I56" i="22"/>
  <c r="J56" i="22"/>
  <c r="I34" i="21"/>
  <c r="J34" i="21"/>
  <c r="K34" i="21"/>
  <c r="I17" i="21"/>
  <c r="J17" i="21"/>
  <c r="K17" i="21"/>
  <c r="N17" i="21" s="1"/>
  <c r="I9" i="21"/>
  <c r="J9" i="21"/>
  <c r="K9" i="21"/>
  <c r="N9" i="21" s="1"/>
  <c r="F56" i="21"/>
  <c r="N56" i="21" s="1"/>
  <c r="F52" i="21"/>
  <c r="E47" i="21"/>
  <c r="M47" i="21" s="1"/>
  <c r="F47" i="21"/>
  <c r="N47" i="21" s="1"/>
  <c r="L26" i="21"/>
  <c r="D23" i="21"/>
  <c r="L23" i="21" s="1"/>
  <c r="E23" i="21"/>
  <c r="M23" i="21" s="1"/>
  <c r="F23" i="21"/>
  <c r="N18" i="21"/>
  <c r="J14" i="21"/>
  <c r="M14" i="21" s="1"/>
  <c r="K14" i="21"/>
  <c r="N14" i="21" s="1"/>
  <c r="I14" i="21"/>
  <c r="L14" i="21" s="1"/>
  <c r="N10" i="21"/>
  <c r="J6" i="21"/>
  <c r="K6" i="21"/>
  <c r="I6" i="21"/>
  <c r="I4" i="21"/>
  <c r="K4" i="21"/>
  <c r="J24" i="22"/>
  <c r="K24" i="22"/>
  <c r="S24" i="22" s="1"/>
  <c r="I24" i="22"/>
  <c r="I32" i="21"/>
  <c r="J32" i="21"/>
  <c r="F60" i="21"/>
  <c r="N60" i="21" s="1"/>
  <c r="I45" i="21"/>
  <c r="J45" i="21"/>
  <c r="M45" i="21" s="1"/>
  <c r="K45" i="21"/>
  <c r="D41" i="21"/>
  <c r="L41" i="21" s="1"/>
  <c r="F41" i="21"/>
  <c r="D39" i="21"/>
  <c r="L39" i="21" s="1"/>
  <c r="E39" i="21"/>
  <c r="F39" i="21"/>
  <c r="N39" i="21" s="1"/>
  <c r="D37" i="21"/>
  <c r="L37" i="21" s="1"/>
  <c r="F37" i="21"/>
  <c r="N37" i="21" s="1"/>
  <c r="D35" i="21"/>
  <c r="L35" i="21" s="1"/>
  <c r="E35" i="21"/>
  <c r="M35" i="21" s="1"/>
  <c r="F35" i="21"/>
  <c r="N35" i="21" s="1"/>
  <c r="D33" i="21"/>
  <c r="L33" i="21" s="1"/>
  <c r="F33" i="21"/>
  <c r="D31" i="21"/>
  <c r="L31" i="21" s="1"/>
  <c r="E31" i="21"/>
  <c r="F31" i="21"/>
  <c r="N31" i="21" s="1"/>
  <c r="J22" i="21"/>
  <c r="K22" i="21"/>
  <c r="I22" i="21"/>
  <c r="L22" i="21" s="1"/>
  <c r="D21" i="21"/>
  <c r="E21" i="21"/>
  <c r="J19" i="21"/>
  <c r="D13" i="21"/>
  <c r="L13" i="21" s="1"/>
  <c r="E13" i="21"/>
  <c r="M13" i="21" s="1"/>
  <c r="J11" i="21"/>
  <c r="D4" i="21"/>
  <c r="L4" i="21" s="1"/>
  <c r="R4" i="21" s="1"/>
  <c r="F4" i="21"/>
  <c r="N4" i="21" s="1"/>
  <c r="E4" i="21"/>
  <c r="M4" i="21" s="1"/>
  <c r="S56" i="22"/>
  <c r="I27" i="22"/>
  <c r="K27" i="22"/>
  <c r="S27" i="22" s="1"/>
  <c r="J27" i="22"/>
  <c r="R27" i="22" s="1"/>
  <c r="J39" i="21"/>
  <c r="J35" i="21"/>
  <c r="J31" i="21"/>
  <c r="J27" i="21"/>
  <c r="E24" i="21"/>
  <c r="E20" i="21"/>
  <c r="E16" i="21"/>
  <c r="M16" i="21" s="1"/>
  <c r="R16" i="21" s="1"/>
  <c r="E12" i="21"/>
  <c r="M12" i="21" s="1"/>
  <c r="R12" i="21" s="1"/>
  <c r="E8" i="21"/>
  <c r="I57" i="22"/>
  <c r="J57" i="22"/>
  <c r="R57" i="22" s="1"/>
  <c r="P54" i="22"/>
  <c r="F52" i="22"/>
  <c r="E52" i="22"/>
  <c r="I49" i="22"/>
  <c r="Q49" i="22" s="1"/>
  <c r="J49" i="22"/>
  <c r="R49" i="22" s="1"/>
  <c r="K49" i="22"/>
  <c r="D48" i="22"/>
  <c r="E48" i="22"/>
  <c r="F48" i="22"/>
  <c r="I35" i="22"/>
  <c r="K35" i="22"/>
  <c r="J35" i="22"/>
  <c r="R35" i="22" s="1"/>
  <c r="I34" i="22"/>
  <c r="J34" i="22"/>
  <c r="K34" i="22"/>
  <c r="N27" i="22"/>
  <c r="O27" i="22"/>
  <c r="P27" i="22"/>
  <c r="N20" i="22"/>
  <c r="P20" i="22"/>
  <c r="O60" i="22"/>
  <c r="R60" i="22" s="1"/>
  <c r="P60" i="22"/>
  <c r="E58" i="22"/>
  <c r="R58" i="22" s="1"/>
  <c r="F58" i="22"/>
  <c r="D57" i="22"/>
  <c r="Q57" i="22" s="1"/>
  <c r="F57" i="22"/>
  <c r="S57" i="22" s="1"/>
  <c r="F44" i="22"/>
  <c r="D44" i="22"/>
  <c r="E44" i="22"/>
  <c r="N36" i="22"/>
  <c r="P36" i="22"/>
  <c r="I26" i="22"/>
  <c r="J26" i="22"/>
  <c r="K26" i="22"/>
  <c r="F20" i="22"/>
  <c r="S20" i="22" s="1"/>
  <c r="E20" i="22"/>
  <c r="D20" i="22"/>
  <c r="I6" i="22"/>
  <c r="J6" i="22"/>
  <c r="K6" i="22"/>
  <c r="S6" i="22" s="1"/>
  <c r="K41" i="21"/>
  <c r="K37" i="21"/>
  <c r="K33" i="21"/>
  <c r="E30" i="21"/>
  <c r="K29" i="21"/>
  <c r="E26" i="21"/>
  <c r="M26" i="21" s="1"/>
  <c r="J24" i="21"/>
  <c r="F22" i="21"/>
  <c r="N22" i="21" s="1"/>
  <c r="J20" i="21"/>
  <c r="J16" i="21"/>
  <c r="J12" i="21"/>
  <c r="J8" i="21"/>
  <c r="K3" i="21"/>
  <c r="D2" i="21"/>
  <c r="L2" i="21" s="1"/>
  <c r="F2" i="21"/>
  <c r="N2" i="21" s="1"/>
  <c r="I61" i="22"/>
  <c r="N59" i="22"/>
  <c r="Q59" i="22" s="1"/>
  <c r="P59" i="22"/>
  <c r="I54" i="22"/>
  <c r="J54" i="22"/>
  <c r="R54" i="22" s="1"/>
  <c r="K54" i="22"/>
  <c r="N52" i="22"/>
  <c r="O52" i="22"/>
  <c r="P52" i="22"/>
  <c r="K45" i="22"/>
  <c r="J45" i="22"/>
  <c r="N28" i="22"/>
  <c r="P28" i="22"/>
  <c r="D26" i="22"/>
  <c r="F26" i="22"/>
  <c r="S26" i="22" s="1"/>
  <c r="E26" i="22"/>
  <c r="N19" i="22"/>
  <c r="O19" i="22"/>
  <c r="P19" i="22"/>
  <c r="N12" i="22"/>
  <c r="P12" i="22"/>
  <c r="J41" i="21"/>
  <c r="M41" i="21" s="1"/>
  <c r="J37" i="21"/>
  <c r="M37" i="21" s="1"/>
  <c r="J33" i="21"/>
  <c r="M33" i="21" s="1"/>
  <c r="I3" i="21"/>
  <c r="D56" i="22"/>
  <c r="E56" i="22"/>
  <c r="I51" i="22"/>
  <c r="J51" i="22"/>
  <c r="K51" i="22"/>
  <c r="I19" i="22"/>
  <c r="Q19" i="22" s="1"/>
  <c r="K19" i="22"/>
  <c r="J19" i="22"/>
  <c r="J16" i="22"/>
  <c r="K16" i="22"/>
  <c r="S16" i="22" s="1"/>
  <c r="I16" i="22"/>
  <c r="Q16" i="22" s="1"/>
  <c r="D61" i="22"/>
  <c r="E61" i="22"/>
  <c r="R61" i="22" s="1"/>
  <c r="F61" i="22"/>
  <c r="S61" i="22" s="1"/>
  <c r="N58" i="22"/>
  <c r="O58" i="22"/>
  <c r="P57" i="22"/>
  <c r="N57" i="22"/>
  <c r="F55" i="22"/>
  <c r="D55" i="22"/>
  <c r="S54" i="22"/>
  <c r="R51" i="22"/>
  <c r="D50" i="22"/>
  <c r="Q50" i="22" s="1"/>
  <c r="E50" i="22"/>
  <c r="R50" i="22" s="1"/>
  <c r="F50" i="22"/>
  <c r="N48" i="22"/>
  <c r="O48" i="22"/>
  <c r="I47" i="22"/>
  <c r="J47" i="22"/>
  <c r="D46" i="22"/>
  <c r="Q46" i="22" s="1"/>
  <c r="E46" i="22"/>
  <c r="K42" i="22"/>
  <c r="J42" i="22"/>
  <c r="J40" i="22"/>
  <c r="I40" i="22"/>
  <c r="Q40" i="22" s="1"/>
  <c r="K40" i="22"/>
  <c r="S40" i="22" s="1"/>
  <c r="Q24" i="22"/>
  <c r="I18" i="22"/>
  <c r="J18" i="22"/>
  <c r="K18" i="22"/>
  <c r="F12" i="22"/>
  <c r="S12" i="22" s="1"/>
  <c r="E12" i="22"/>
  <c r="D12" i="22"/>
  <c r="Q12" i="22" s="1"/>
  <c r="F60" i="22"/>
  <c r="S60" i="22" s="1"/>
  <c r="J59" i="22"/>
  <c r="K59" i="22"/>
  <c r="Q54" i="22"/>
  <c r="Q51" i="22"/>
  <c r="O49" i="22"/>
  <c r="P49" i="22"/>
  <c r="N49" i="22"/>
  <c r="J48" i="22"/>
  <c r="K48" i="22"/>
  <c r="I48" i="22"/>
  <c r="E47" i="22"/>
  <c r="F47" i="22"/>
  <c r="D47" i="22"/>
  <c r="I43" i="22"/>
  <c r="K43" i="22"/>
  <c r="Q41" i="22"/>
  <c r="F36" i="22"/>
  <c r="S36" i="22" s="1"/>
  <c r="E36" i="22"/>
  <c r="R36" i="22" s="1"/>
  <c r="D36" i="22"/>
  <c r="Q36" i="22" s="1"/>
  <c r="W36" i="22" s="1"/>
  <c r="J32" i="22"/>
  <c r="K32" i="22"/>
  <c r="S32" i="22" s="1"/>
  <c r="I32" i="22"/>
  <c r="Q32" i="22" s="1"/>
  <c r="W32" i="22" s="1"/>
  <c r="D18" i="22"/>
  <c r="F18" i="22"/>
  <c r="S18" i="22" s="1"/>
  <c r="E18" i="22"/>
  <c r="R18" i="22" s="1"/>
  <c r="D60" i="22"/>
  <c r="Q60" i="22" s="1"/>
  <c r="R59" i="22"/>
  <c r="I58" i="22"/>
  <c r="Q58" i="22" s="1"/>
  <c r="K58" i="22"/>
  <c r="K57" i="22"/>
  <c r="N55" i="22"/>
  <c r="O55" i="22"/>
  <c r="R55" i="22" s="1"/>
  <c r="P55" i="22"/>
  <c r="D52" i="22"/>
  <c r="Q52" i="22" s="1"/>
  <c r="N44" i="22"/>
  <c r="O44" i="22"/>
  <c r="P44" i="22"/>
  <c r="Q43" i="22"/>
  <c r="N35" i="22"/>
  <c r="O35" i="22"/>
  <c r="P35" i="22"/>
  <c r="F28" i="22"/>
  <c r="S28" i="22" s="1"/>
  <c r="E28" i="22"/>
  <c r="R28" i="22" s="1"/>
  <c r="D28" i="22"/>
  <c r="Q28" i="22" s="1"/>
  <c r="O20" i="22"/>
  <c r="S15" i="22"/>
  <c r="I11" i="22"/>
  <c r="Q11" i="22" s="1"/>
  <c r="K11" i="22"/>
  <c r="J11" i="22"/>
  <c r="P51" i="22"/>
  <c r="K50" i="22"/>
  <c r="F49" i="22"/>
  <c r="R38" i="22"/>
  <c r="R30" i="22"/>
  <c r="R22" i="22"/>
  <c r="W22" i="22" s="1"/>
  <c r="R14" i="22"/>
  <c r="W14" i="22" s="1"/>
  <c r="O9" i="22"/>
  <c r="P9" i="22"/>
  <c r="I5" i="22"/>
  <c r="J5" i="22"/>
  <c r="R5" i="22" s="1"/>
  <c r="K5" i="22"/>
  <c r="S5" i="22" s="1"/>
  <c r="P61" i="22"/>
  <c r="K60" i="22"/>
  <c r="F59" i="22"/>
  <c r="S59" i="22" s="1"/>
  <c r="P53" i="22"/>
  <c r="K52" i="22"/>
  <c r="F51" i="22"/>
  <c r="S51" i="22" s="1"/>
  <c r="P45" i="22"/>
  <c r="K44" i="22"/>
  <c r="F41" i="22"/>
  <c r="D39" i="22"/>
  <c r="J33" i="22"/>
  <c r="D31" i="22"/>
  <c r="J25" i="22"/>
  <c r="P23" i="22"/>
  <c r="S23" i="22" s="1"/>
  <c r="D23" i="22"/>
  <c r="J17" i="22"/>
  <c r="P15" i="22"/>
  <c r="D15" i="22"/>
  <c r="J10" i="22"/>
  <c r="R40" i="22"/>
  <c r="S37" i="22"/>
  <c r="R31" i="22"/>
  <c r="S29" i="22"/>
  <c r="R23" i="22"/>
  <c r="S21" i="22"/>
  <c r="F11" i="22"/>
  <c r="S11" i="22" s="1"/>
  <c r="E11" i="22"/>
  <c r="O8" i="22"/>
  <c r="N8" i="22"/>
  <c r="Q8" i="22" s="1"/>
  <c r="Q7" i="22"/>
  <c r="Q6" i="22"/>
  <c r="I3" i="22"/>
  <c r="J3" i="22"/>
  <c r="K3" i="22"/>
  <c r="F53" i="22"/>
  <c r="P47" i="22"/>
  <c r="K46" i="22"/>
  <c r="S46" i="22" s="1"/>
  <c r="F45" i="22"/>
  <c r="S45" i="22" s="1"/>
  <c r="P43" i="22"/>
  <c r="F43" i="22"/>
  <c r="O42" i="22"/>
  <c r="I38" i="22"/>
  <c r="Q38" i="22" s="1"/>
  <c r="D37" i="22"/>
  <c r="D35" i="22"/>
  <c r="N32" i="22"/>
  <c r="E32" i="22"/>
  <c r="R32" i="22" s="1"/>
  <c r="I30" i="22"/>
  <c r="Q30" i="22" s="1"/>
  <c r="D29" i="22"/>
  <c r="Q27" i="22"/>
  <c r="R24" i="22"/>
  <c r="J20" i="22"/>
  <c r="R16" i="22"/>
  <c r="J12" i="22"/>
  <c r="P11" i="22"/>
  <c r="D10" i="22"/>
  <c r="Q10" i="22" s="1"/>
  <c r="E10" i="22"/>
  <c r="R10" i="22" s="1"/>
  <c r="F10" i="22"/>
  <c r="E7" i="22"/>
  <c r="F7" i="22"/>
  <c r="S7" i="22" s="1"/>
  <c r="R6" i="22"/>
  <c r="F3" i="22"/>
  <c r="S3" i="22" s="1"/>
  <c r="D3" i="22"/>
  <c r="Q3" i="22" s="1"/>
  <c r="E3" i="22"/>
  <c r="E53" i="22"/>
  <c r="R53" i="22" s="1"/>
  <c r="O47" i="22"/>
  <c r="J46" i="22"/>
  <c r="E45" i="22"/>
  <c r="R45" i="22" s="1"/>
  <c r="W45" i="22" s="1"/>
  <c r="O43" i="22"/>
  <c r="E43" i="22"/>
  <c r="R43" i="22" s="1"/>
  <c r="D42" i="22"/>
  <c r="Q42" i="22" s="1"/>
  <c r="F42" i="22"/>
  <c r="S42" i="22" s="1"/>
  <c r="K39" i="22"/>
  <c r="S39" i="22" s="1"/>
  <c r="O37" i="22"/>
  <c r="R37" i="22" s="1"/>
  <c r="S35" i="22"/>
  <c r="P33" i="22"/>
  <c r="F33" i="22"/>
  <c r="S33" i="22" s="1"/>
  <c r="K31" i="22"/>
  <c r="S31" i="22" s="1"/>
  <c r="O29" i="22"/>
  <c r="R29" i="22" s="1"/>
  <c r="P25" i="22"/>
  <c r="F25" i="22"/>
  <c r="K23" i="22"/>
  <c r="O21" i="22"/>
  <c r="R21" i="22" s="1"/>
  <c r="I20" i="22"/>
  <c r="S19" i="22"/>
  <c r="P17" i="22"/>
  <c r="F17" i="22"/>
  <c r="K15" i="22"/>
  <c r="O13" i="22"/>
  <c r="R13" i="22" s="1"/>
  <c r="I12" i="22"/>
  <c r="O11" i="22"/>
  <c r="N4" i="22"/>
  <c r="O4" i="22"/>
  <c r="P4" i="22"/>
  <c r="N2" i="22"/>
  <c r="O2" i="22"/>
  <c r="P2" i="22"/>
  <c r="K41" i="22"/>
  <c r="I39" i="22"/>
  <c r="F38" i="22"/>
  <c r="S38" i="22" s="1"/>
  <c r="N37" i="22"/>
  <c r="N33" i="22"/>
  <c r="E33" i="22"/>
  <c r="I31" i="22"/>
  <c r="F30" i="22"/>
  <c r="S30" i="22" s="1"/>
  <c r="N29" i="22"/>
  <c r="N25" i="22"/>
  <c r="Q25" i="22" s="1"/>
  <c r="E25" i="22"/>
  <c r="R25" i="22" s="1"/>
  <c r="I23" i="22"/>
  <c r="F22" i="22"/>
  <c r="S22" i="22" s="1"/>
  <c r="N21" i="22"/>
  <c r="Q21" i="22" s="1"/>
  <c r="W21" i="22" s="1"/>
  <c r="N17" i="22"/>
  <c r="E17" i="22"/>
  <c r="I15" i="22"/>
  <c r="F14" i="22"/>
  <c r="S14" i="22" s="1"/>
  <c r="N13" i="22"/>
  <c r="Q13" i="22" s="1"/>
  <c r="W13" i="22" s="1"/>
  <c r="F9" i="22"/>
  <c r="S9" i="22" s="1"/>
  <c r="J8" i="22"/>
  <c r="R8" i="22" s="1"/>
  <c r="K8" i="22"/>
  <c r="S8" i="22" s="1"/>
  <c r="K4" i="22"/>
  <c r="I4" i="22"/>
  <c r="J4" i="22"/>
  <c r="J2" i="22"/>
  <c r="K2" i="22"/>
  <c r="I2" i="22"/>
  <c r="Q33" i="22"/>
  <c r="Q17" i="22"/>
  <c r="N9" i="22"/>
  <c r="Q9" i="22" s="1"/>
  <c r="W9" i="22" s="1"/>
  <c r="E9" i="22"/>
  <c r="R9" i="22" s="1"/>
  <c r="N7" i="22"/>
  <c r="O7" i="22"/>
  <c r="P5" i="22"/>
  <c r="N5" i="22"/>
  <c r="O5" i="22"/>
  <c r="D4" i="22"/>
  <c r="E4" i="22"/>
  <c r="F4" i="22"/>
  <c r="D2" i="22"/>
  <c r="E2" i="22"/>
  <c r="R2" i="22" s="1"/>
  <c r="F2" i="22"/>
  <c r="S2" i="22" s="1"/>
  <c r="P10" i="22"/>
  <c r="I7" i="22"/>
  <c r="P3" i="22"/>
  <c r="E4" i="20"/>
  <c r="D4" i="20"/>
  <c r="J4" i="20" s="1"/>
  <c r="B5" i="20"/>
  <c r="C5" i="20" s="1"/>
  <c r="B6" i="20"/>
  <c r="C6" i="20"/>
  <c r="D6" i="20" s="1"/>
  <c r="B7" i="20"/>
  <c r="C7" i="20" s="1"/>
  <c r="B8" i="20"/>
  <c r="C8" i="20"/>
  <c r="F8" i="20" s="1"/>
  <c r="D8" i="20"/>
  <c r="B9" i="20"/>
  <c r="C9" i="20" s="1"/>
  <c r="B10" i="20"/>
  <c r="C10" i="20"/>
  <c r="D10" i="20" s="1"/>
  <c r="B11" i="20"/>
  <c r="C11" i="20" s="1"/>
  <c r="B12" i="20"/>
  <c r="C12" i="20"/>
  <c r="F12" i="20" s="1"/>
  <c r="D12" i="20"/>
  <c r="B13" i="20"/>
  <c r="C13" i="20" s="1"/>
  <c r="B14" i="20"/>
  <c r="C14" i="20"/>
  <c r="D14" i="20" s="1"/>
  <c r="B15" i="20"/>
  <c r="C15" i="20" s="1"/>
  <c r="B16" i="20"/>
  <c r="C16" i="20"/>
  <c r="F16" i="20" s="1"/>
  <c r="D16" i="20"/>
  <c r="B17" i="20"/>
  <c r="C17" i="20" s="1"/>
  <c r="B18" i="20"/>
  <c r="C18" i="20"/>
  <c r="D18" i="20" s="1"/>
  <c r="B19" i="20"/>
  <c r="C19" i="20" s="1"/>
  <c r="B20" i="20"/>
  <c r="C20" i="20"/>
  <c r="F20" i="20" s="1"/>
  <c r="D20" i="20"/>
  <c r="B21" i="20"/>
  <c r="C21" i="20" s="1"/>
  <c r="B22" i="20"/>
  <c r="C22" i="20"/>
  <c r="D22" i="20" s="1"/>
  <c r="B23" i="20"/>
  <c r="C23" i="20" s="1"/>
  <c r="B24" i="20"/>
  <c r="C24" i="20"/>
  <c r="F24" i="20" s="1"/>
  <c r="D24" i="20"/>
  <c r="B25" i="20"/>
  <c r="C25" i="20" s="1"/>
  <c r="B26" i="20"/>
  <c r="C26" i="20"/>
  <c r="D26" i="20" s="1"/>
  <c r="B27" i="20"/>
  <c r="C27" i="20" s="1"/>
  <c r="B28" i="20"/>
  <c r="C28" i="20"/>
  <c r="F28" i="20" s="1"/>
  <c r="D28" i="20"/>
  <c r="B29" i="20"/>
  <c r="C29" i="20" s="1"/>
  <c r="B30" i="20"/>
  <c r="C30" i="20"/>
  <c r="D30" i="20" s="1"/>
  <c r="B31" i="20"/>
  <c r="C31" i="20" s="1"/>
  <c r="B32" i="20"/>
  <c r="C32" i="20"/>
  <c r="F32" i="20" s="1"/>
  <c r="D32" i="20"/>
  <c r="B33" i="20"/>
  <c r="C33" i="20" s="1"/>
  <c r="B34" i="20"/>
  <c r="C34" i="20"/>
  <c r="D34" i="20" s="1"/>
  <c r="B35" i="20"/>
  <c r="C35" i="20" s="1"/>
  <c r="B36" i="20"/>
  <c r="C36" i="20"/>
  <c r="F36" i="20" s="1"/>
  <c r="D36" i="20"/>
  <c r="B37" i="20"/>
  <c r="C37" i="20" s="1"/>
  <c r="B38" i="20"/>
  <c r="C38" i="20"/>
  <c r="D38" i="20" s="1"/>
  <c r="B39" i="20"/>
  <c r="C39" i="20" s="1"/>
  <c r="B40" i="20"/>
  <c r="C40" i="20"/>
  <c r="F40" i="20" s="1"/>
  <c r="D40" i="20"/>
  <c r="B41" i="20"/>
  <c r="C41" i="20" s="1"/>
  <c r="B42" i="20"/>
  <c r="C42" i="20"/>
  <c r="D42" i="20" s="1"/>
  <c r="B43" i="20"/>
  <c r="C43" i="20" s="1"/>
  <c r="B44" i="20"/>
  <c r="C44" i="20"/>
  <c r="F44" i="20" s="1"/>
  <c r="D44" i="20"/>
  <c r="B45" i="20"/>
  <c r="C45" i="20" s="1"/>
  <c r="B46" i="20"/>
  <c r="C46" i="20"/>
  <c r="D46" i="20" s="1"/>
  <c r="B47" i="20"/>
  <c r="C47" i="20" s="1"/>
  <c r="B48" i="20"/>
  <c r="C48" i="20"/>
  <c r="F48" i="20" s="1"/>
  <c r="D48" i="20"/>
  <c r="B49" i="20"/>
  <c r="C49" i="20" s="1"/>
  <c r="B50" i="20"/>
  <c r="C50" i="20"/>
  <c r="D50" i="20" s="1"/>
  <c r="B51" i="20"/>
  <c r="C51" i="20" s="1"/>
  <c r="B52" i="20"/>
  <c r="C52" i="20"/>
  <c r="F52" i="20" s="1"/>
  <c r="D52" i="20"/>
  <c r="B53" i="20"/>
  <c r="C53" i="20" s="1"/>
  <c r="B54" i="20"/>
  <c r="C54" i="20"/>
  <c r="D54" i="20" s="1"/>
  <c r="B55" i="20"/>
  <c r="C55" i="20" s="1"/>
  <c r="B56" i="20"/>
  <c r="C56" i="20"/>
  <c r="F56" i="20" s="1"/>
  <c r="D56" i="20"/>
  <c r="B57" i="20"/>
  <c r="C57" i="20" s="1"/>
  <c r="B58" i="20"/>
  <c r="C58" i="20"/>
  <c r="D58" i="20" s="1"/>
  <c r="B59" i="20"/>
  <c r="C59" i="20" s="1"/>
  <c r="B60" i="20"/>
  <c r="C60" i="20"/>
  <c r="F60" i="20" s="1"/>
  <c r="D60" i="20"/>
  <c r="B61" i="20"/>
  <c r="C61" i="20" s="1"/>
  <c r="B62" i="20"/>
  <c r="C62" i="20"/>
  <c r="D62" i="20" s="1"/>
  <c r="B63" i="20"/>
  <c r="C63" i="20" s="1"/>
  <c r="W8" i="22" l="1"/>
  <c r="W19" i="22"/>
  <c r="W30" i="22"/>
  <c r="S41" i="22"/>
  <c r="R46" i="22"/>
  <c r="W59" i="22"/>
  <c r="M8" i="21"/>
  <c r="R8" i="21" s="1"/>
  <c r="R22" i="21"/>
  <c r="N41" i="21"/>
  <c r="N3" i="21"/>
  <c r="N29" i="21"/>
  <c r="R36" i="21"/>
  <c r="M40" i="21"/>
  <c r="L56" i="21"/>
  <c r="R56" i="21" s="1"/>
  <c r="M50" i="21"/>
  <c r="Q18" i="22"/>
  <c r="W18" i="22" s="1"/>
  <c r="W24" i="22"/>
  <c r="R26" i="22"/>
  <c r="W57" i="22"/>
  <c r="R35" i="21"/>
  <c r="R26" i="21"/>
  <c r="R43" i="21"/>
  <c r="M9" i="21"/>
  <c r="R10" i="21"/>
  <c r="L32" i="21"/>
  <c r="R42" i="21"/>
  <c r="N6" i="21"/>
  <c r="R60" i="21"/>
  <c r="R61" i="21"/>
  <c r="N58" i="21"/>
  <c r="W6" i="22"/>
  <c r="R23" i="21"/>
  <c r="R3" i="21"/>
  <c r="Q35" i="22"/>
  <c r="W35" i="22" s="1"/>
  <c r="Q5" i="22"/>
  <c r="W5" i="22" s="1"/>
  <c r="W12" i="22"/>
  <c r="Q55" i="22"/>
  <c r="Q61" i="22"/>
  <c r="W61" i="22" s="1"/>
  <c r="R2" i="21"/>
  <c r="S58" i="22"/>
  <c r="W58" i="22" s="1"/>
  <c r="R52" i="22"/>
  <c r="M20" i="21"/>
  <c r="R20" i="21" s="1"/>
  <c r="R14" i="21"/>
  <c r="L9" i="21"/>
  <c r="R9" i="21" s="1"/>
  <c r="M6" i="21"/>
  <c r="R55" i="21"/>
  <c r="M51" i="21"/>
  <c r="M58" i="21"/>
  <c r="S4" i="22"/>
  <c r="R7" i="22"/>
  <c r="W7" i="22" s="1"/>
  <c r="Q37" i="22"/>
  <c r="W37" i="22" s="1"/>
  <c r="S53" i="22"/>
  <c r="W53" i="22" s="1"/>
  <c r="S49" i="22"/>
  <c r="W49" i="22" s="1"/>
  <c r="W28" i="22"/>
  <c r="Q47" i="22"/>
  <c r="W47" i="22" s="1"/>
  <c r="R12" i="22"/>
  <c r="W40" i="22"/>
  <c r="S55" i="22"/>
  <c r="W16" i="22"/>
  <c r="Q26" i="22"/>
  <c r="W26" i="22" s="1"/>
  <c r="Q20" i="22"/>
  <c r="S52" i="22"/>
  <c r="M24" i="21"/>
  <c r="R24" i="21" s="1"/>
  <c r="R13" i="21"/>
  <c r="M31" i="21"/>
  <c r="R37" i="21"/>
  <c r="M11" i="21"/>
  <c r="R11" i="21" s="1"/>
  <c r="R46" i="21"/>
  <c r="M17" i="21"/>
  <c r="M32" i="21"/>
  <c r="L6" i="21"/>
  <c r="R6" i="21" s="1"/>
  <c r="R51" i="21"/>
  <c r="N54" i="21"/>
  <c r="L58" i="21"/>
  <c r="R41" i="21"/>
  <c r="Q2" i="22"/>
  <c r="W2" i="22" s="1"/>
  <c r="R4" i="22"/>
  <c r="R17" i="22"/>
  <c r="S25" i="22"/>
  <c r="W25" i="22" s="1"/>
  <c r="S10" i="22"/>
  <c r="W38" i="22"/>
  <c r="R11" i="22"/>
  <c r="W11" i="22" s="1"/>
  <c r="Q31" i="22"/>
  <c r="W31" i="22" s="1"/>
  <c r="S47" i="22"/>
  <c r="W51" i="22"/>
  <c r="M30" i="21"/>
  <c r="R30" i="21" s="1"/>
  <c r="R20" i="22"/>
  <c r="R44" i="22"/>
  <c r="S48" i="22"/>
  <c r="R31" i="21"/>
  <c r="N52" i="21"/>
  <c r="N15" i="21"/>
  <c r="L28" i="21"/>
  <c r="R25" i="21"/>
  <c r="L17" i="21"/>
  <c r="R17" i="21" s="1"/>
  <c r="N34" i="21"/>
  <c r="R38" i="21"/>
  <c r="R34" i="22"/>
  <c r="M59" i="21"/>
  <c r="M54" i="21"/>
  <c r="W41" i="22"/>
  <c r="R29" i="21"/>
  <c r="Q4" i="22"/>
  <c r="W4" i="22" s="1"/>
  <c r="W52" i="22"/>
  <c r="R47" i="22"/>
  <c r="W54" i="22"/>
  <c r="R42" i="22"/>
  <c r="W42" i="22" s="1"/>
  <c r="S50" i="22"/>
  <c r="W50" i="22" s="1"/>
  <c r="R56" i="22"/>
  <c r="Q44" i="22"/>
  <c r="R48" i="22"/>
  <c r="M21" i="21"/>
  <c r="N33" i="21"/>
  <c r="M39" i="21"/>
  <c r="M19" i="21"/>
  <c r="R18" i="21"/>
  <c r="M27" i="21"/>
  <c r="R27" i="21" s="1"/>
  <c r="M34" i="21"/>
  <c r="L40" i="21"/>
  <c r="R40" i="21" s="1"/>
  <c r="S34" i="22"/>
  <c r="R52" i="21"/>
  <c r="R59" i="21"/>
  <c r="N50" i="21"/>
  <c r="L54" i="21"/>
  <c r="W46" i="22"/>
  <c r="R45" i="21"/>
  <c r="Q23" i="22"/>
  <c r="W23" i="22" s="1"/>
  <c r="W17" i="22"/>
  <c r="W27" i="22"/>
  <c r="R33" i="22"/>
  <c r="W33" i="22" s="1"/>
  <c r="S17" i="22"/>
  <c r="R3" i="22"/>
  <c r="W3" i="22" s="1"/>
  <c r="W10" i="22"/>
  <c r="Q29" i="22"/>
  <c r="W29" i="22" s="1"/>
  <c r="S43" i="22"/>
  <c r="W43" i="22" s="1"/>
  <c r="Q15" i="22"/>
  <c r="W15" i="22" s="1"/>
  <c r="Q39" i="22"/>
  <c r="W39" i="22" s="1"/>
  <c r="W60" i="22"/>
  <c r="R19" i="22"/>
  <c r="Q56" i="22"/>
  <c r="W56" i="22" s="1"/>
  <c r="S44" i="22"/>
  <c r="Q48" i="22"/>
  <c r="L21" i="21"/>
  <c r="R21" i="21" s="1"/>
  <c r="R33" i="21"/>
  <c r="R39" i="21"/>
  <c r="N23" i="21"/>
  <c r="L15" i="21"/>
  <c r="R15" i="21" s="1"/>
  <c r="M28" i="21"/>
  <c r="L5" i="21"/>
  <c r="R5" i="21" s="1"/>
  <c r="R19" i="21"/>
  <c r="L34" i="21"/>
  <c r="R34" i="21" s="1"/>
  <c r="Q34" i="22"/>
  <c r="W34" i="22" s="1"/>
  <c r="R44" i="21"/>
  <c r="N48" i="21"/>
  <c r="R48" i="21" s="1"/>
  <c r="L50" i="21"/>
  <c r="R50" i="21" s="1"/>
  <c r="D35" i="20"/>
  <c r="E35" i="20"/>
  <c r="F35" i="20"/>
  <c r="F25" i="20"/>
  <c r="D25" i="20"/>
  <c r="E25" i="20"/>
  <c r="D63" i="20"/>
  <c r="J63" i="20" s="1"/>
  <c r="E63" i="20"/>
  <c r="F63" i="20"/>
  <c r="E49" i="20"/>
  <c r="F49" i="20"/>
  <c r="D49" i="20"/>
  <c r="J49" i="20" s="1"/>
  <c r="J44" i="20"/>
  <c r="D31" i="20"/>
  <c r="J31" i="20" s="1"/>
  <c r="E31" i="20"/>
  <c r="F31" i="20"/>
  <c r="F17" i="20"/>
  <c r="D17" i="20"/>
  <c r="E17" i="20"/>
  <c r="J12" i="20"/>
  <c r="J62" i="20"/>
  <c r="E61" i="20"/>
  <c r="F61" i="20"/>
  <c r="D61" i="20"/>
  <c r="J61" i="20" s="1"/>
  <c r="D43" i="20"/>
  <c r="E43" i="20"/>
  <c r="F43" i="20"/>
  <c r="F29" i="20"/>
  <c r="D29" i="20"/>
  <c r="E29" i="20"/>
  <c r="D11" i="20"/>
  <c r="E11" i="20"/>
  <c r="F11" i="20"/>
  <c r="D39" i="20"/>
  <c r="E39" i="20"/>
  <c r="F39" i="20"/>
  <c r="D7" i="20"/>
  <c r="J7" i="20" s="1"/>
  <c r="E7" i="20"/>
  <c r="F7" i="20"/>
  <c r="D47" i="20"/>
  <c r="E47" i="20"/>
  <c r="F47" i="20"/>
  <c r="J42" i="20"/>
  <c r="D33" i="20"/>
  <c r="J33" i="20" s="1"/>
  <c r="E33" i="20"/>
  <c r="F33" i="20"/>
  <c r="D15" i="20"/>
  <c r="E15" i="20"/>
  <c r="F15" i="20"/>
  <c r="J10" i="20"/>
  <c r="D51" i="20"/>
  <c r="J51" i="20" s="1"/>
  <c r="E51" i="20"/>
  <c r="F51" i="20"/>
  <c r="E37" i="20"/>
  <c r="F37" i="20"/>
  <c r="D37" i="20"/>
  <c r="D19" i="20"/>
  <c r="J19" i="20" s="1"/>
  <c r="E19" i="20"/>
  <c r="F19" i="20"/>
  <c r="F5" i="20"/>
  <c r="D5" i="20"/>
  <c r="E5" i="20"/>
  <c r="F57" i="20"/>
  <c r="E57" i="20"/>
  <c r="D57" i="20"/>
  <c r="D55" i="20"/>
  <c r="E55" i="20"/>
  <c r="F55" i="20"/>
  <c r="D41" i="20"/>
  <c r="E41" i="20"/>
  <c r="F41" i="20"/>
  <c r="D23" i="20"/>
  <c r="E23" i="20"/>
  <c r="F23" i="20"/>
  <c r="D9" i="20"/>
  <c r="F9" i="20"/>
  <c r="E9" i="20"/>
  <c r="F53" i="20"/>
  <c r="D53" i="20"/>
  <c r="E53" i="20"/>
  <c r="E21" i="20"/>
  <c r="D21" i="20"/>
  <c r="F21" i="20"/>
  <c r="J34" i="20"/>
  <c r="D59" i="20"/>
  <c r="J59" i="20" s="1"/>
  <c r="E59" i="20"/>
  <c r="F59" i="20"/>
  <c r="F45" i="20"/>
  <c r="D45" i="20"/>
  <c r="E45" i="20"/>
  <c r="J40" i="20"/>
  <c r="D27" i="20"/>
  <c r="J27" i="20" s="1"/>
  <c r="E27" i="20"/>
  <c r="F27" i="20"/>
  <c r="E13" i="20"/>
  <c r="D13" i="20"/>
  <c r="F13" i="20"/>
  <c r="J8" i="20"/>
  <c r="E60" i="20"/>
  <c r="J60" i="20" s="1"/>
  <c r="E56" i="20"/>
  <c r="J56" i="20" s="1"/>
  <c r="E52" i="20"/>
  <c r="J52" i="20" s="1"/>
  <c r="E48" i="20"/>
  <c r="J48" i="20" s="1"/>
  <c r="E44" i="20"/>
  <c r="E40" i="20"/>
  <c r="E36" i="20"/>
  <c r="J36" i="20" s="1"/>
  <c r="E32" i="20"/>
  <c r="J32" i="20" s="1"/>
  <c r="E28" i="20"/>
  <c r="J28" i="20" s="1"/>
  <c r="E24" i="20"/>
  <c r="J24" i="20" s="1"/>
  <c r="E20" i="20"/>
  <c r="J20" i="20" s="1"/>
  <c r="E16" i="20"/>
  <c r="J16" i="20" s="1"/>
  <c r="E12" i="20"/>
  <c r="E8" i="20"/>
  <c r="F62" i="20"/>
  <c r="F58" i="20"/>
  <c r="F54" i="20"/>
  <c r="F50" i="20"/>
  <c r="F46" i="20"/>
  <c r="F42" i="20"/>
  <c r="F38" i="20"/>
  <c r="F34" i="20"/>
  <c r="F30" i="20"/>
  <c r="J30" i="20" s="1"/>
  <c r="F26" i="20"/>
  <c r="F22" i="20"/>
  <c r="F18" i="20"/>
  <c r="F14" i="20"/>
  <c r="F10" i="20"/>
  <c r="F6" i="20"/>
  <c r="E62" i="20"/>
  <c r="E58" i="20"/>
  <c r="J58" i="20" s="1"/>
  <c r="E54" i="20"/>
  <c r="J54" i="20" s="1"/>
  <c r="E50" i="20"/>
  <c r="J50" i="20" s="1"/>
  <c r="E46" i="20"/>
  <c r="J46" i="20" s="1"/>
  <c r="E42" i="20"/>
  <c r="E38" i="20"/>
  <c r="J38" i="20" s="1"/>
  <c r="E34" i="20"/>
  <c r="E30" i="20"/>
  <c r="E26" i="20"/>
  <c r="J26" i="20" s="1"/>
  <c r="E22" i="20"/>
  <c r="J22" i="20" s="1"/>
  <c r="E18" i="20"/>
  <c r="J18" i="20" s="1"/>
  <c r="E14" i="20"/>
  <c r="J14" i="20" s="1"/>
  <c r="E10" i="20"/>
  <c r="E6" i="20"/>
  <c r="J6" i="20" s="1"/>
  <c r="K4" i="20"/>
  <c r="AB2" i="22" l="1"/>
  <c r="W55" i="22"/>
  <c r="R58" i="21"/>
  <c r="W48" i="22"/>
  <c r="R32" i="21"/>
  <c r="W44" i="22"/>
  <c r="R54" i="21"/>
  <c r="R28" i="21"/>
  <c r="X1" i="21" s="1"/>
  <c r="W20" i="22"/>
  <c r="J43" i="20"/>
  <c r="J13" i="20"/>
  <c r="J45" i="20"/>
  <c r="J21" i="20"/>
  <c r="J37" i="20"/>
  <c r="J25" i="20"/>
  <c r="J41" i="20"/>
  <c r="J5" i="20"/>
  <c r="J39" i="20"/>
  <c r="J17" i="20"/>
  <c r="J11" i="20"/>
  <c r="J15" i="20"/>
  <c r="J47" i="20"/>
  <c r="J29" i="20"/>
  <c r="J9" i="20"/>
  <c r="J53" i="20"/>
  <c r="J23" i="20"/>
  <c r="J55" i="20"/>
  <c r="J57" i="20"/>
  <c r="J35" i="20"/>
  <c r="Q3" i="20" l="1"/>
  <c r="V3" i="7" l="1"/>
  <c r="AT3" i="16"/>
  <c r="AT6" i="16"/>
  <c r="D3" i="18"/>
  <c r="E3" i="18"/>
  <c r="D4" i="18"/>
  <c r="D5" i="18"/>
  <c r="E5" i="18"/>
  <c r="D6" i="18"/>
  <c r="E2" i="18"/>
  <c r="D2" i="18"/>
  <c r="J2" i="18"/>
  <c r="E4" i="18" s="1"/>
  <c r="E4" i="17"/>
  <c r="E5" i="17"/>
  <c r="E6" i="17"/>
  <c r="E3" i="17"/>
  <c r="B4" i="17"/>
  <c r="B5" i="17"/>
  <c r="B6" i="17"/>
  <c r="B3" i="17"/>
  <c r="F4" i="17"/>
  <c r="F5" i="17"/>
  <c r="F6" i="17"/>
  <c r="F3" i="17"/>
  <c r="C4" i="17"/>
  <c r="G4" i="17" s="1"/>
  <c r="C5" i="17"/>
  <c r="G5" i="17" s="1"/>
  <c r="C6" i="17"/>
  <c r="G6" i="17" s="1"/>
  <c r="C3" i="17"/>
  <c r="G3" i="17" s="1"/>
  <c r="V61" i="16"/>
  <c r="W61" i="16" s="1"/>
  <c r="X61" i="16" s="1"/>
  <c r="Q61" i="16"/>
  <c r="R61" i="16" s="1"/>
  <c r="T61" i="16" s="1"/>
  <c r="L61" i="16"/>
  <c r="M61" i="16" s="1"/>
  <c r="P61" i="16" s="1"/>
  <c r="G61" i="16"/>
  <c r="H61" i="16" s="1"/>
  <c r="B61" i="16"/>
  <c r="C61" i="16" s="1"/>
  <c r="V60" i="16"/>
  <c r="W60" i="16" s="1"/>
  <c r="X60" i="16" s="1"/>
  <c r="Q60" i="16"/>
  <c r="R60" i="16" s="1"/>
  <c r="L60" i="16"/>
  <c r="M60" i="16" s="1"/>
  <c r="G60" i="16"/>
  <c r="H60" i="16" s="1"/>
  <c r="K60" i="16" s="1"/>
  <c r="B60" i="16"/>
  <c r="C60" i="16" s="1"/>
  <c r="F60" i="16" s="1"/>
  <c r="V59" i="16"/>
  <c r="W59" i="16" s="1"/>
  <c r="Q59" i="16"/>
  <c r="R59" i="16" s="1"/>
  <c r="T59" i="16" s="1"/>
  <c r="L59" i="16"/>
  <c r="M59" i="16" s="1"/>
  <c r="P59" i="16" s="1"/>
  <c r="G59" i="16"/>
  <c r="H59" i="16" s="1"/>
  <c r="J59" i="16" s="1"/>
  <c r="B59" i="16"/>
  <c r="C59" i="16" s="1"/>
  <c r="V58" i="16"/>
  <c r="W58" i="16" s="1"/>
  <c r="Q58" i="16"/>
  <c r="R58" i="16" s="1"/>
  <c r="L58" i="16"/>
  <c r="M58" i="16" s="1"/>
  <c r="G58" i="16"/>
  <c r="H58" i="16" s="1"/>
  <c r="B58" i="16"/>
  <c r="C58" i="16" s="1"/>
  <c r="V57" i="16"/>
  <c r="W57" i="16" s="1"/>
  <c r="Y57" i="16" s="1"/>
  <c r="Q57" i="16"/>
  <c r="R57" i="16" s="1"/>
  <c r="T57" i="16" s="1"/>
  <c r="L57" i="16"/>
  <c r="M57" i="16" s="1"/>
  <c r="P57" i="16" s="1"/>
  <c r="G57" i="16"/>
  <c r="H57" i="16" s="1"/>
  <c r="B57" i="16"/>
  <c r="C57" i="16" s="1"/>
  <c r="D57" i="16" s="1"/>
  <c r="V56" i="16"/>
  <c r="W56" i="16" s="1"/>
  <c r="Q56" i="16"/>
  <c r="R56" i="16" s="1"/>
  <c r="S56" i="16" s="1"/>
  <c r="L56" i="16"/>
  <c r="M56" i="16" s="1"/>
  <c r="G56" i="16"/>
  <c r="H56" i="16" s="1"/>
  <c r="J56" i="16" s="1"/>
  <c r="B56" i="16"/>
  <c r="C56" i="16" s="1"/>
  <c r="V55" i="16"/>
  <c r="W55" i="16" s="1"/>
  <c r="Q55" i="16"/>
  <c r="R55" i="16" s="1"/>
  <c r="L55" i="16"/>
  <c r="M55" i="16" s="1"/>
  <c r="P55" i="16" s="1"/>
  <c r="G55" i="16"/>
  <c r="H55" i="16" s="1"/>
  <c r="B55" i="16"/>
  <c r="C55" i="16" s="1"/>
  <c r="V54" i="16"/>
  <c r="W54" i="16" s="1"/>
  <c r="Y54" i="16" s="1"/>
  <c r="Q54" i="16"/>
  <c r="R54" i="16" s="1"/>
  <c r="U54" i="16" s="1"/>
  <c r="L54" i="16"/>
  <c r="M54" i="16" s="1"/>
  <c r="O54" i="16" s="1"/>
  <c r="G54" i="16"/>
  <c r="H54" i="16" s="1"/>
  <c r="K54" i="16" s="1"/>
  <c r="B54" i="16"/>
  <c r="C54" i="16" s="1"/>
  <c r="D54" i="16" s="1"/>
  <c r="V53" i="16"/>
  <c r="W53" i="16" s="1"/>
  <c r="X53" i="16" s="1"/>
  <c r="Q53" i="16"/>
  <c r="R53" i="16" s="1"/>
  <c r="S53" i="16" s="1"/>
  <c r="L53" i="16"/>
  <c r="M53" i="16" s="1"/>
  <c r="G53" i="16"/>
  <c r="H53" i="16" s="1"/>
  <c r="B53" i="16"/>
  <c r="C53" i="16" s="1"/>
  <c r="V52" i="16"/>
  <c r="W52" i="16" s="1"/>
  <c r="X52" i="16" s="1"/>
  <c r="Q52" i="16"/>
  <c r="R52" i="16" s="1"/>
  <c r="U52" i="16" s="1"/>
  <c r="L52" i="16"/>
  <c r="M52" i="16" s="1"/>
  <c r="O52" i="16" s="1"/>
  <c r="G52" i="16"/>
  <c r="H52" i="16" s="1"/>
  <c r="J52" i="16" s="1"/>
  <c r="B52" i="16"/>
  <c r="C52" i="16" s="1"/>
  <c r="F52" i="16" s="1"/>
  <c r="V51" i="16"/>
  <c r="W51" i="16" s="1"/>
  <c r="Z51" i="16" s="1"/>
  <c r="Q51" i="16"/>
  <c r="R51" i="16" s="1"/>
  <c r="T51" i="16" s="1"/>
  <c r="L51" i="16"/>
  <c r="M51" i="16" s="1"/>
  <c r="G51" i="16"/>
  <c r="H51" i="16" s="1"/>
  <c r="K51" i="16" s="1"/>
  <c r="B51" i="16"/>
  <c r="C51" i="16" s="1"/>
  <c r="V50" i="16"/>
  <c r="W50" i="16" s="1"/>
  <c r="Q50" i="16"/>
  <c r="R50" i="16" s="1"/>
  <c r="L50" i="16"/>
  <c r="M50" i="16" s="1"/>
  <c r="O50" i="16" s="1"/>
  <c r="G50" i="16"/>
  <c r="H50" i="16" s="1"/>
  <c r="B50" i="16"/>
  <c r="C50" i="16" s="1"/>
  <c r="E50" i="16" s="1"/>
  <c r="V49" i="16"/>
  <c r="W49" i="16" s="1"/>
  <c r="Q49" i="16"/>
  <c r="R49" i="16" s="1"/>
  <c r="T49" i="16" s="1"/>
  <c r="L49" i="16"/>
  <c r="M49" i="16" s="1"/>
  <c r="P49" i="16" s="1"/>
  <c r="G49" i="16"/>
  <c r="H49" i="16" s="1"/>
  <c r="B49" i="16"/>
  <c r="C49" i="16" s="1"/>
  <c r="V48" i="16"/>
  <c r="W48" i="16" s="1"/>
  <c r="Z48" i="16" s="1"/>
  <c r="Q48" i="16"/>
  <c r="R48" i="16" s="1"/>
  <c r="L48" i="16"/>
  <c r="M48" i="16" s="1"/>
  <c r="G48" i="16"/>
  <c r="H48" i="16" s="1"/>
  <c r="I48" i="16" s="1"/>
  <c r="B48" i="16"/>
  <c r="C48" i="16" s="1"/>
  <c r="E48" i="16" s="1"/>
  <c r="V47" i="16"/>
  <c r="W47" i="16" s="1"/>
  <c r="Q47" i="16"/>
  <c r="R47" i="16" s="1"/>
  <c r="U47" i="16" s="1"/>
  <c r="L47" i="16"/>
  <c r="M47" i="16" s="1"/>
  <c r="G47" i="16"/>
  <c r="H47" i="16" s="1"/>
  <c r="B47" i="16"/>
  <c r="C47" i="16" s="1"/>
  <c r="V46" i="16"/>
  <c r="W46" i="16" s="1"/>
  <c r="Q46" i="16"/>
  <c r="R46" i="16" s="1"/>
  <c r="L46" i="16"/>
  <c r="M46" i="16" s="1"/>
  <c r="O46" i="16" s="1"/>
  <c r="G46" i="16"/>
  <c r="H46" i="16" s="1"/>
  <c r="K46" i="16" s="1"/>
  <c r="B46" i="16"/>
  <c r="C46" i="16" s="1"/>
  <c r="D46" i="16" s="1"/>
  <c r="V45" i="16"/>
  <c r="W45" i="16" s="1"/>
  <c r="Q45" i="16"/>
  <c r="R45" i="16" s="1"/>
  <c r="T45" i="16" s="1"/>
  <c r="L45" i="16"/>
  <c r="M45" i="16" s="1"/>
  <c r="N45" i="16" s="1"/>
  <c r="G45" i="16"/>
  <c r="H45" i="16" s="1"/>
  <c r="B45" i="16"/>
  <c r="C45" i="16" s="1"/>
  <c r="E45" i="16" s="1"/>
  <c r="V44" i="16"/>
  <c r="W44" i="16" s="1"/>
  <c r="Q44" i="16"/>
  <c r="R44" i="16" s="1"/>
  <c r="S44" i="16" s="1"/>
  <c r="L44" i="16"/>
  <c r="M44" i="16" s="1"/>
  <c r="G44" i="16"/>
  <c r="H44" i="16" s="1"/>
  <c r="K44" i="16" s="1"/>
  <c r="B44" i="16"/>
  <c r="C44" i="16" s="1"/>
  <c r="V43" i="16"/>
  <c r="W43" i="16" s="1"/>
  <c r="Q43" i="16"/>
  <c r="R43" i="16" s="1"/>
  <c r="T43" i="16" s="1"/>
  <c r="L43" i="16"/>
  <c r="M43" i="16" s="1"/>
  <c r="G43" i="16"/>
  <c r="H43" i="16" s="1"/>
  <c r="B43" i="16"/>
  <c r="C43" i="16" s="1"/>
  <c r="F43" i="16" s="1"/>
  <c r="V42" i="16"/>
  <c r="W42" i="16" s="1"/>
  <c r="X42" i="16" s="1"/>
  <c r="Q42" i="16"/>
  <c r="R42" i="16" s="1"/>
  <c r="L42" i="16"/>
  <c r="M42" i="16" s="1"/>
  <c r="G42" i="16"/>
  <c r="H42" i="16" s="1"/>
  <c r="B42" i="16"/>
  <c r="C42" i="16" s="1"/>
  <c r="V41" i="16"/>
  <c r="W41" i="16" s="1"/>
  <c r="Z41" i="16" s="1"/>
  <c r="Q41" i="16"/>
  <c r="R41" i="16" s="1"/>
  <c r="T41" i="16" s="1"/>
  <c r="L41" i="16"/>
  <c r="M41" i="16" s="1"/>
  <c r="G41" i="16"/>
  <c r="H41" i="16" s="1"/>
  <c r="I41" i="16" s="1"/>
  <c r="B41" i="16"/>
  <c r="C41" i="16" s="1"/>
  <c r="V40" i="16"/>
  <c r="W40" i="16" s="1"/>
  <c r="Q40" i="16"/>
  <c r="R40" i="16" s="1"/>
  <c r="L40" i="16"/>
  <c r="M40" i="16" s="1"/>
  <c r="P40" i="16" s="1"/>
  <c r="G40" i="16"/>
  <c r="H40" i="16" s="1"/>
  <c r="B40" i="16"/>
  <c r="C40" i="16" s="1"/>
  <c r="V39" i="16"/>
  <c r="W39" i="16" s="1"/>
  <c r="Q39" i="16"/>
  <c r="R39" i="16" s="1"/>
  <c r="U39" i="16" s="1"/>
  <c r="L39" i="16"/>
  <c r="M39" i="16" s="1"/>
  <c r="N39" i="16" s="1"/>
  <c r="G39" i="16"/>
  <c r="H39" i="16" s="1"/>
  <c r="B39" i="16"/>
  <c r="C39" i="16" s="1"/>
  <c r="F39" i="16" s="1"/>
  <c r="V38" i="16"/>
  <c r="W38" i="16" s="1"/>
  <c r="Z38" i="16" s="1"/>
  <c r="Q38" i="16"/>
  <c r="R38" i="16" s="1"/>
  <c r="L38" i="16"/>
  <c r="M38" i="16" s="1"/>
  <c r="G38" i="16"/>
  <c r="H38" i="16" s="1"/>
  <c r="B38" i="16"/>
  <c r="C38" i="16" s="1"/>
  <c r="V37" i="16"/>
  <c r="W37" i="16" s="1"/>
  <c r="Y37" i="16" s="1"/>
  <c r="Q37" i="16"/>
  <c r="R37" i="16" s="1"/>
  <c r="U37" i="16" s="1"/>
  <c r="L37" i="16"/>
  <c r="M37" i="16" s="1"/>
  <c r="G37" i="16"/>
  <c r="H37" i="16" s="1"/>
  <c r="K37" i="16" s="1"/>
  <c r="B37" i="16"/>
  <c r="C37" i="16" s="1"/>
  <c r="E37" i="16" s="1"/>
  <c r="V36" i="16"/>
  <c r="W36" i="16" s="1"/>
  <c r="Q36" i="16"/>
  <c r="R36" i="16" s="1"/>
  <c r="T36" i="16" s="1"/>
  <c r="L36" i="16"/>
  <c r="M36" i="16" s="1"/>
  <c r="O36" i="16" s="1"/>
  <c r="G36" i="16"/>
  <c r="H36" i="16" s="1"/>
  <c r="J36" i="16" s="1"/>
  <c r="B36" i="16"/>
  <c r="C36" i="16" s="1"/>
  <c r="V35" i="16"/>
  <c r="W35" i="16" s="1"/>
  <c r="X35" i="16" s="1"/>
  <c r="Q35" i="16"/>
  <c r="R35" i="16" s="1"/>
  <c r="L35" i="16"/>
  <c r="M35" i="16" s="1"/>
  <c r="O35" i="16" s="1"/>
  <c r="G35" i="16"/>
  <c r="H35" i="16" s="1"/>
  <c r="K35" i="16" s="1"/>
  <c r="B35" i="16"/>
  <c r="C35" i="16" s="1"/>
  <c r="V34" i="16"/>
  <c r="W34" i="16" s="1"/>
  <c r="Z34" i="16" s="1"/>
  <c r="Q34" i="16"/>
  <c r="R34" i="16" s="1"/>
  <c r="S34" i="16" s="1"/>
  <c r="L34" i="16"/>
  <c r="M34" i="16" s="1"/>
  <c r="P34" i="16" s="1"/>
  <c r="G34" i="16"/>
  <c r="H34" i="16" s="1"/>
  <c r="K34" i="16" s="1"/>
  <c r="B34" i="16"/>
  <c r="C34" i="16" s="1"/>
  <c r="V33" i="16"/>
  <c r="W33" i="16" s="1"/>
  <c r="Q33" i="16"/>
  <c r="R33" i="16" s="1"/>
  <c r="U33" i="16" s="1"/>
  <c r="L33" i="16"/>
  <c r="M33" i="16" s="1"/>
  <c r="G33" i="16"/>
  <c r="H33" i="16" s="1"/>
  <c r="B33" i="16"/>
  <c r="C33" i="16" s="1"/>
  <c r="F33" i="16" s="1"/>
  <c r="V32" i="16"/>
  <c r="W32" i="16" s="1"/>
  <c r="Z32" i="16" s="1"/>
  <c r="Q32" i="16"/>
  <c r="R32" i="16" s="1"/>
  <c r="L32" i="16"/>
  <c r="M32" i="16" s="1"/>
  <c r="O32" i="16" s="1"/>
  <c r="G32" i="16"/>
  <c r="H32" i="16" s="1"/>
  <c r="J32" i="16" s="1"/>
  <c r="B32" i="16"/>
  <c r="C32" i="16" s="1"/>
  <c r="F32" i="16" s="1"/>
  <c r="V31" i="16"/>
  <c r="W31" i="16" s="1"/>
  <c r="Z31" i="16" s="1"/>
  <c r="Q31" i="16"/>
  <c r="R31" i="16" s="1"/>
  <c r="L31" i="16"/>
  <c r="M31" i="16" s="1"/>
  <c r="O31" i="16" s="1"/>
  <c r="G31" i="16"/>
  <c r="H31" i="16" s="1"/>
  <c r="J31" i="16" s="1"/>
  <c r="B31" i="16"/>
  <c r="C31" i="16" s="1"/>
  <c r="F31" i="16" s="1"/>
  <c r="V30" i="16"/>
  <c r="W30" i="16" s="1"/>
  <c r="Z30" i="16" s="1"/>
  <c r="Q30" i="16"/>
  <c r="R30" i="16" s="1"/>
  <c r="S30" i="16" s="1"/>
  <c r="L30" i="16"/>
  <c r="M30" i="16" s="1"/>
  <c r="O30" i="16" s="1"/>
  <c r="G30" i="16"/>
  <c r="H30" i="16" s="1"/>
  <c r="B30" i="16"/>
  <c r="C30" i="16" s="1"/>
  <c r="F30" i="16" s="1"/>
  <c r="V29" i="16"/>
  <c r="W29" i="16" s="1"/>
  <c r="Q29" i="16"/>
  <c r="R29" i="16" s="1"/>
  <c r="S29" i="16" s="1"/>
  <c r="L29" i="16"/>
  <c r="M29" i="16" s="1"/>
  <c r="G29" i="16"/>
  <c r="H29" i="16" s="1"/>
  <c r="B29" i="16"/>
  <c r="C29" i="16" s="1"/>
  <c r="V28" i="16"/>
  <c r="W28" i="16" s="1"/>
  <c r="Q28" i="16"/>
  <c r="R28" i="16" s="1"/>
  <c r="S28" i="16" s="1"/>
  <c r="L28" i="16"/>
  <c r="M28" i="16" s="1"/>
  <c r="O28" i="16" s="1"/>
  <c r="G28" i="16"/>
  <c r="H28" i="16" s="1"/>
  <c r="K28" i="16" s="1"/>
  <c r="B28" i="16"/>
  <c r="C28" i="16" s="1"/>
  <c r="V27" i="16"/>
  <c r="W27" i="16" s="1"/>
  <c r="Q27" i="16"/>
  <c r="R27" i="16" s="1"/>
  <c r="L27" i="16"/>
  <c r="M27" i="16" s="1"/>
  <c r="G27" i="16"/>
  <c r="H27" i="16" s="1"/>
  <c r="J27" i="16" s="1"/>
  <c r="B27" i="16"/>
  <c r="C27" i="16" s="1"/>
  <c r="F27" i="16" s="1"/>
  <c r="V26" i="16"/>
  <c r="W26" i="16" s="1"/>
  <c r="Z26" i="16" s="1"/>
  <c r="Q26" i="16"/>
  <c r="R26" i="16" s="1"/>
  <c r="S26" i="16" s="1"/>
  <c r="L26" i="16"/>
  <c r="M26" i="16" s="1"/>
  <c r="O26" i="16" s="1"/>
  <c r="G26" i="16"/>
  <c r="H26" i="16" s="1"/>
  <c r="K26" i="16" s="1"/>
  <c r="B26" i="16"/>
  <c r="C26" i="16" s="1"/>
  <c r="V25" i="16"/>
  <c r="W25" i="16" s="1"/>
  <c r="Q25" i="16"/>
  <c r="R25" i="16" s="1"/>
  <c r="L25" i="16"/>
  <c r="M25" i="16" s="1"/>
  <c r="G25" i="16"/>
  <c r="H25" i="16" s="1"/>
  <c r="J25" i="16" s="1"/>
  <c r="B25" i="16"/>
  <c r="C25" i="16" s="1"/>
  <c r="F25" i="16" s="1"/>
  <c r="V24" i="16"/>
  <c r="W24" i="16" s="1"/>
  <c r="Z24" i="16" s="1"/>
  <c r="Q24" i="16"/>
  <c r="R24" i="16" s="1"/>
  <c r="S24" i="16" s="1"/>
  <c r="L24" i="16"/>
  <c r="M24" i="16" s="1"/>
  <c r="O24" i="16" s="1"/>
  <c r="G24" i="16"/>
  <c r="H24" i="16" s="1"/>
  <c r="B24" i="16"/>
  <c r="C24" i="16" s="1"/>
  <c r="V23" i="16"/>
  <c r="W23" i="16" s="1"/>
  <c r="Q23" i="16"/>
  <c r="R23" i="16" s="1"/>
  <c r="S23" i="16" s="1"/>
  <c r="L23" i="16"/>
  <c r="M23" i="16" s="1"/>
  <c r="G23" i="16"/>
  <c r="H23" i="16" s="1"/>
  <c r="J23" i="16" s="1"/>
  <c r="B23" i="16"/>
  <c r="C23" i="16" s="1"/>
  <c r="F23" i="16" s="1"/>
  <c r="V22" i="16"/>
  <c r="W22" i="16" s="1"/>
  <c r="Z22" i="16" s="1"/>
  <c r="Q22" i="16"/>
  <c r="R22" i="16" s="1"/>
  <c r="S22" i="16" s="1"/>
  <c r="L22" i="16"/>
  <c r="M22" i="16" s="1"/>
  <c r="O22" i="16" s="1"/>
  <c r="G22" i="16"/>
  <c r="H22" i="16" s="1"/>
  <c r="B22" i="16"/>
  <c r="C22" i="16" s="1"/>
  <c r="V21" i="16"/>
  <c r="W21" i="16" s="1"/>
  <c r="Q21" i="16"/>
  <c r="R21" i="16" s="1"/>
  <c r="S21" i="16" s="1"/>
  <c r="L21" i="16"/>
  <c r="M21" i="16" s="1"/>
  <c r="G21" i="16"/>
  <c r="H21" i="16" s="1"/>
  <c r="J21" i="16" s="1"/>
  <c r="B21" i="16"/>
  <c r="C21" i="16" s="1"/>
  <c r="F21" i="16" s="1"/>
  <c r="V20" i="16"/>
  <c r="W20" i="16" s="1"/>
  <c r="Z20" i="16" s="1"/>
  <c r="Q20" i="16"/>
  <c r="R20" i="16" s="1"/>
  <c r="S20" i="16" s="1"/>
  <c r="L20" i="16"/>
  <c r="M20" i="16" s="1"/>
  <c r="O20" i="16" s="1"/>
  <c r="G20" i="16"/>
  <c r="H20" i="16" s="1"/>
  <c r="K20" i="16" s="1"/>
  <c r="B20" i="16"/>
  <c r="C20" i="16" s="1"/>
  <c r="V19" i="16"/>
  <c r="W19" i="16" s="1"/>
  <c r="Q19" i="16"/>
  <c r="R19" i="16" s="1"/>
  <c r="L19" i="16"/>
  <c r="M19" i="16" s="1"/>
  <c r="G19" i="16"/>
  <c r="H19" i="16" s="1"/>
  <c r="K19" i="16" s="1"/>
  <c r="B19" i="16"/>
  <c r="C19" i="16" s="1"/>
  <c r="V18" i="16"/>
  <c r="W18" i="16" s="1"/>
  <c r="Y18" i="16" s="1"/>
  <c r="Q18" i="16"/>
  <c r="R18" i="16" s="1"/>
  <c r="T18" i="16" s="1"/>
  <c r="L18" i="16"/>
  <c r="M18" i="16" s="1"/>
  <c r="G18" i="16"/>
  <c r="H18" i="16" s="1"/>
  <c r="B18" i="16"/>
  <c r="C18" i="16" s="1"/>
  <c r="V17" i="16"/>
  <c r="W17" i="16" s="1"/>
  <c r="Q17" i="16"/>
  <c r="R17" i="16" s="1"/>
  <c r="U17" i="16" s="1"/>
  <c r="L17" i="16"/>
  <c r="M17" i="16" s="1"/>
  <c r="G17" i="16"/>
  <c r="H17" i="16" s="1"/>
  <c r="K17" i="16" s="1"/>
  <c r="B17" i="16"/>
  <c r="C17" i="16" s="1"/>
  <c r="V16" i="16"/>
  <c r="W16" i="16" s="1"/>
  <c r="Y16" i="16" s="1"/>
  <c r="Q16" i="16"/>
  <c r="R16" i="16" s="1"/>
  <c r="T16" i="16" s="1"/>
  <c r="L16" i="16"/>
  <c r="M16" i="16" s="1"/>
  <c r="G16" i="16"/>
  <c r="H16" i="16" s="1"/>
  <c r="B16" i="16"/>
  <c r="C16" i="16" s="1"/>
  <c r="V15" i="16"/>
  <c r="W15" i="16" s="1"/>
  <c r="Q15" i="16"/>
  <c r="R15" i="16" s="1"/>
  <c r="L15" i="16"/>
  <c r="M15" i="16" s="1"/>
  <c r="G15" i="16"/>
  <c r="H15" i="16" s="1"/>
  <c r="K15" i="16" s="1"/>
  <c r="B15" i="16"/>
  <c r="C15" i="16" s="1"/>
  <c r="V14" i="16"/>
  <c r="W14" i="16" s="1"/>
  <c r="Q14" i="16"/>
  <c r="R14" i="16" s="1"/>
  <c r="L14" i="16"/>
  <c r="M14" i="16" s="1"/>
  <c r="G14" i="16"/>
  <c r="H14" i="16" s="1"/>
  <c r="B14" i="16"/>
  <c r="C14" i="16" s="1"/>
  <c r="V13" i="16"/>
  <c r="W13" i="16" s="1"/>
  <c r="Q13" i="16"/>
  <c r="R13" i="16" s="1"/>
  <c r="L13" i="16"/>
  <c r="M13" i="16" s="1"/>
  <c r="G13" i="16"/>
  <c r="H13" i="16" s="1"/>
  <c r="K13" i="16" s="1"/>
  <c r="B13" i="16"/>
  <c r="C13" i="16" s="1"/>
  <c r="E13" i="16" s="1"/>
  <c r="V12" i="16"/>
  <c r="W12" i="16" s="1"/>
  <c r="Y12" i="16" s="1"/>
  <c r="Q12" i="16"/>
  <c r="R12" i="16" s="1"/>
  <c r="L12" i="16"/>
  <c r="M12" i="16" s="1"/>
  <c r="G12" i="16"/>
  <c r="H12" i="16" s="1"/>
  <c r="K12" i="16" s="1"/>
  <c r="B12" i="16"/>
  <c r="C12" i="16" s="1"/>
  <c r="E12" i="16" s="1"/>
  <c r="V11" i="16"/>
  <c r="W11" i="16" s="1"/>
  <c r="Y11" i="16" s="1"/>
  <c r="Q11" i="16"/>
  <c r="R11" i="16" s="1"/>
  <c r="L11" i="16"/>
  <c r="M11" i="16" s="1"/>
  <c r="G11" i="16"/>
  <c r="H11" i="16" s="1"/>
  <c r="J11" i="16" s="1"/>
  <c r="B11" i="16"/>
  <c r="C11" i="16" s="1"/>
  <c r="D11" i="16" s="1"/>
  <c r="V10" i="16"/>
  <c r="W10" i="16" s="1"/>
  <c r="X10" i="16" s="1"/>
  <c r="Q10" i="16"/>
  <c r="R10" i="16" s="1"/>
  <c r="L10" i="16"/>
  <c r="M10" i="16" s="1"/>
  <c r="G10" i="16"/>
  <c r="H10" i="16" s="1"/>
  <c r="B10" i="16"/>
  <c r="C10" i="16" s="1"/>
  <c r="E10" i="16" s="1"/>
  <c r="V9" i="16"/>
  <c r="W9" i="16" s="1"/>
  <c r="Y9" i="16" s="1"/>
  <c r="Q9" i="16"/>
  <c r="R9" i="16" s="1"/>
  <c r="L9" i="16"/>
  <c r="M9" i="16" s="1"/>
  <c r="O9" i="16" s="1"/>
  <c r="G9" i="16"/>
  <c r="H9" i="16" s="1"/>
  <c r="B9" i="16"/>
  <c r="C9" i="16" s="1"/>
  <c r="D9" i="16" s="1"/>
  <c r="V8" i="16"/>
  <c r="W8" i="16" s="1"/>
  <c r="X8" i="16" s="1"/>
  <c r="Q8" i="16"/>
  <c r="R8" i="16" s="1"/>
  <c r="L8" i="16"/>
  <c r="M8" i="16" s="1"/>
  <c r="N8" i="16" s="1"/>
  <c r="G8" i="16"/>
  <c r="H8" i="16" s="1"/>
  <c r="K8" i="16" s="1"/>
  <c r="B8" i="16"/>
  <c r="C8" i="16" s="1"/>
  <c r="V7" i="16"/>
  <c r="W7" i="16" s="1"/>
  <c r="Y7" i="16" s="1"/>
  <c r="Q7" i="16"/>
  <c r="R7" i="16" s="1"/>
  <c r="U7" i="16" s="1"/>
  <c r="L7" i="16"/>
  <c r="M7" i="16" s="1"/>
  <c r="G7" i="16"/>
  <c r="H7" i="16" s="1"/>
  <c r="B7" i="16"/>
  <c r="C7" i="16" s="1"/>
  <c r="D7" i="16" s="1"/>
  <c r="V6" i="16"/>
  <c r="W6" i="16" s="1"/>
  <c r="Z6" i="16" s="1"/>
  <c r="Q6" i="16"/>
  <c r="R6" i="16" s="1"/>
  <c r="L6" i="16"/>
  <c r="M6" i="16" s="1"/>
  <c r="G6" i="16"/>
  <c r="H6" i="16" s="1"/>
  <c r="B6" i="16"/>
  <c r="C6" i="16" s="1"/>
  <c r="V5" i="16"/>
  <c r="W5" i="16" s="1"/>
  <c r="Q5" i="16"/>
  <c r="R5" i="16" s="1"/>
  <c r="L5" i="16"/>
  <c r="M5" i="16" s="1"/>
  <c r="G5" i="16"/>
  <c r="H5" i="16" s="1"/>
  <c r="B5" i="16"/>
  <c r="C5" i="16" s="1"/>
  <c r="F5" i="16" s="1"/>
  <c r="V4" i="16"/>
  <c r="W4" i="16" s="1"/>
  <c r="Z4" i="16" s="1"/>
  <c r="Q4" i="16"/>
  <c r="R4" i="16" s="1"/>
  <c r="L4" i="16"/>
  <c r="M4" i="16" s="1"/>
  <c r="G4" i="16"/>
  <c r="H4" i="16" s="1"/>
  <c r="B4" i="16"/>
  <c r="C4" i="16" s="1"/>
  <c r="V3" i="16"/>
  <c r="W3" i="16" s="1"/>
  <c r="Q3" i="16"/>
  <c r="R3" i="16" s="1"/>
  <c r="L3" i="16"/>
  <c r="M3" i="16" s="1"/>
  <c r="G3" i="16"/>
  <c r="H3" i="16" s="1"/>
  <c r="B3" i="16"/>
  <c r="C3" i="16" s="1"/>
  <c r="V2" i="16"/>
  <c r="W2" i="16" s="1"/>
  <c r="Q2" i="16"/>
  <c r="R2" i="16" s="1"/>
  <c r="S2" i="16" s="1"/>
  <c r="L2" i="16"/>
  <c r="M2" i="16" s="1"/>
  <c r="G2" i="16"/>
  <c r="H2" i="16" s="1"/>
  <c r="B2" i="16"/>
  <c r="C2" i="16" s="1"/>
  <c r="V5" i="14"/>
  <c r="W5" i="14" s="1"/>
  <c r="V6" i="14"/>
  <c r="W6" i="14" s="1"/>
  <c r="V7" i="14"/>
  <c r="W7" i="14" s="1"/>
  <c r="V8" i="14"/>
  <c r="W8" i="14" s="1"/>
  <c r="V9" i="14"/>
  <c r="W9" i="14" s="1"/>
  <c r="V10" i="14"/>
  <c r="W10" i="14" s="1"/>
  <c r="X10" i="14" s="1"/>
  <c r="V11" i="14"/>
  <c r="W11" i="14" s="1"/>
  <c r="X11" i="14" s="1"/>
  <c r="V12" i="14"/>
  <c r="W12" i="14" s="1"/>
  <c r="X12" i="14" s="1"/>
  <c r="V13" i="14"/>
  <c r="W13" i="14" s="1"/>
  <c r="V14" i="14"/>
  <c r="W14" i="14" s="1"/>
  <c r="Y14" i="14" s="1"/>
  <c r="V15" i="14"/>
  <c r="W15" i="14" s="1"/>
  <c r="V16" i="14"/>
  <c r="W16" i="14" s="1"/>
  <c r="V17" i="14"/>
  <c r="W17" i="14" s="1"/>
  <c r="Z17" i="14" s="1"/>
  <c r="V18" i="14"/>
  <c r="W18" i="14" s="1"/>
  <c r="V19" i="14"/>
  <c r="W19" i="14" s="1"/>
  <c r="X19" i="14" s="1"/>
  <c r="V20" i="14"/>
  <c r="W20" i="14" s="1"/>
  <c r="V21" i="14"/>
  <c r="W21" i="14" s="1"/>
  <c r="V22" i="14"/>
  <c r="W22" i="14" s="1"/>
  <c r="V23" i="14"/>
  <c r="W23" i="14" s="1"/>
  <c r="V24" i="14"/>
  <c r="W24" i="14" s="1"/>
  <c r="V25" i="14"/>
  <c r="W25" i="14" s="1"/>
  <c r="V26" i="14"/>
  <c r="W26" i="14" s="1"/>
  <c r="X26" i="14" s="1"/>
  <c r="V27" i="14"/>
  <c r="W27" i="14" s="1"/>
  <c r="X27" i="14" s="1"/>
  <c r="V28" i="14"/>
  <c r="W28" i="14" s="1"/>
  <c r="X28" i="14" s="1"/>
  <c r="V29" i="14"/>
  <c r="W29" i="14" s="1"/>
  <c r="V30" i="14"/>
  <c r="W30" i="14" s="1"/>
  <c r="Y30" i="14" s="1"/>
  <c r="V31" i="14"/>
  <c r="W31" i="14" s="1"/>
  <c r="V32" i="14"/>
  <c r="W32" i="14" s="1"/>
  <c r="V33" i="14"/>
  <c r="W33" i="14" s="1"/>
  <c r="Z33" i="14" s="1"/>
  <c r="V34" i="14"/>
  <c r="W34" i="14" s="1"/>
  <c r="V35" i="14"/>
  <c r="W35" i="14" s="1"/>
  <c r="X35" i="14" s="1"/>
  <c r="V36" i="14"/>
  <c r="W36" i="14" s="1"/>
  <c r="V37" i="14"/>
  <c r="W37" i="14" s="1"/>
  <c r="V38" i="14"/>
  <c r="W38" i="14" s="1"/>
  <c r="V39" i="14"/>
  <c r="W39" i="14" s="1"/>
  <c r="V40" i="14"/>
  <c r="W40" i="14" s="1"/>
  <c r="V41" i="14"/>
  <c r="W41" i="14" s="1"/>
  <c r="V42" i="14"/>
  <c r="W42" i="14" s="1"/>
  <c r="X42" i="14" s="1"/>
  <c r="V43" i="14"/>
  <c r="W43" i="14" s="1"/>
  <c r="X43" i="14" s="1"/>
  <c r="V44" i="14"/>
  <c r="W44" i="14" s="1"/>
  <c r="X44" i="14" s="1"/>
  <c r="V45" i="14"/>
  <c r="W45" i="14" s="1"/>
  <c r="V46" i="14"/>
  <c r="W46" i="14" s="1"/>
  <c r="Y46" i="14" s="1"/>
  <c r="V47" i="14"/>
  <c r="W47" i="14" s="1"/>
  <c r="V48" i="14"/>
  <c r="W48" i="14" s="1"/>
  <c r="V49" i="14"/>
  <c r="W49" i="14" s="1"/>
  <c r="Z49" i="14" s="1"/>
  <c r="V50" i="14"/>
  <c r="W50" i="14" s="1"/>
  <c r="V51" i="14"/>
  <c r="W51" i="14" s="1"/>
  <c r="X51" i="14" s="1"/>
  <c r="V52" i="14"/>
  <c r="W52" i="14" s="1"/>
  <c r="V53" i="14"/>
  <c r="W53" i="14" s="1"/>
  <c r="V54" i="14"/>
  <c r="W54" i="14" s="1"/>
  <c r="V55" i="14"/>
  <c r="W55" i="14" s="1"/>
  <c r="V56" i="14"/>
  <c r="W56" i="14" s="1"/>
  <c r="V57" i="14"/>
  <c r="W57" i="14" s="1"/>
  <c r="V58" i="14"/>
  <c r="W58" i="14" s="1"/>
  <c r="X58" i="14" s="1"/>
  <c r="V59" i="14"/>
  <c r="W59" i="14" s="1"/>
  <c r="X59" i="14" s="1"/>
  <c r="V60" i="14"/>
  <c r="W60" i="14" s="1"/>
  <c r="X60" i="14" s="1"/>
  <c r="V61" i="14"/>
  <c r="W61" i="14" s="1"/>
  <c r="V62" i="14"/>
  <c r="W62" i="14" s="1"/>
  <c r="Y62" i="14" s="1"/>
  <c r="V63" i="14"/>
  <c r="W63" i="14" s="1"/>
  <c r="V4" i="14"/>
  <c r="W4" i="14" s="1"/>
  <c r="Z4" i="14" s="1"/>
  <c r="Q61" i="15"/>
  <c r="R61" i="15" s="1"/>
  <c r="L61" i="15"/>
  <c r="M61" i="15" s="1"/>
  <c r="G61" i="15"/>
  <c r="H61" i="15" s="1"/>
  <c r="B61" i="15"/>
  <c r="C61" i="15" s="1"/>
  <c r="Q60" i="15"/>
  <c r="R60" i="15" s="1"/>
  <c r="L60" i="15"/>
  <c r="M60" i="15" s="1"/>
  <c r="G60" i="15"/>
  <c r="H60" i="15" s="1"/>
  <c r="B60" i="15"/>
  <c r="C60" i="15" s="1"/>
  <c r="Q59" i="15"/>
  <c r="R59" i="15" s="1"/>
  <c r="L59" i="15"/>
  <c r="M59" i="15" s="1"/>
  <c r="G59" i="15"/>
  <c r="H59" i="15" s="1"/>
  <c r="B59" i="15"/>
  <c r="C59" i="15" s="1"/>
  <c r="Q58" i="15"/>
  <c r="R58" i="15" s="1"/>
  <c r="L58" i="15"/>
  <c r="M58" i="15" s="1"/>
  <c r="P58" i="15" s="1"/>
  <c r="G58" i="15"/>
  <c r="H58" i="15" s="1"/>
  <c r="B58" i="15"/>
  <c r="C58" i="15" s="1"/>
  <c r="Q57" i="15"/>
  <c r="R57" i="15" s="1"/>
  <c r="L57" i="15"/>
  <c r="M57" i="15" s="1"/>
  <c r="G57" i="15"/>
  <c r="H57" i="15" s="1"/>
  <c r="B57" i="15"/>
  <c r="C57" i="15" s="1"/>
  <c r="Q56" i="15"/>
  <c r="R56" i="15" s="1"/>
  <c r="T56" i="15" s="1"/>
  <c r="L56" i="15"/>
  <c r="M56" i="15" s="1"/>
  <c r="G56" i="15"/>
  <c r="H56" i="15" s="1"/>
  <c r="B56" i="15"/>
  <c r="C56" i="15" s="1"/>
  <c r="F56" i="15" s="1"/>
  <c r="Q55" i="15"/>
  <c r="R55" i="15" s="1"/>
  <c r="L55" i="15"/>
  <c r="M55" i="15" s="1"/>
  <c r="G55" i="15"/>
  <c r="H55" i="15" s="1"/>
  <c r="J55" i="15" s="1"/>
  <c r="B55" i="15"/>
  <c r="C55" i="15" s="1"/>
  <c r="Q54" i="15"/>
  <c r="R54" i="15" s="1"/>
  <c r="L54" i="15"/>
  <c r="M54" i="15" s="1"/>
  <c r="G54" i="15"/>
  <c r="H54" i="15" s="1"/>
  <c r="B54" i="15"/>
  <c r="C54" i="15" s="1"/>
  <c r="Q53" i="15"/>
  <c r="R53" i="15" s="1"/>
  <c r="L53" i="15"/>
  <c r="M53" i="15" s="1"/>
  <c r="P53" i="15" s="1"/>
  <c r="G53" i="15"/>
  <c r="H53" i="15" s="1"/>
  <c r="B53" i="15"/>
  <c r="C53" i="15" s="1"/>
  <c r="Q52" i="15"/>
  <c r="R52" i="15" s="1"/>
  <c r="L52" i="15"/>
  <c r="M52" i="15" s="1"/>
  <c r="O52" i="15" s="1"/>
  <c r="G52" i="15"/>
  <c r="H52" i="15" s="1"/>
  <c r="B52" i="15"/>
  <c r="C52" i="15" s="1"/>
  <c r="Q51" i="15"/>
  <c r="R51" i="15" s="1"/>
  <c r="L51" i="15"/>
  <c r="M51" i="15" s="1"/>
  <c r="G51" i="15"/>
  <c r="H51" i="15" s="1"/>
  <c r="B51" i="15"/>
  <c r="C51" i="15" s="1"/>
  <c r="F51" i="15" s="1"/>
  <c r="Q50" i="15"/>
  <c r="R50" i="15" s="1"/>
  <c r="U50" i="15" s="1"/>
  <c r="L50" i="15"/>
  <c r="M50" i="15" s="1"/>
  <c r="P50" i="15" s="1"/>
  <c r="G50" i="15"/>
  <c r="H50" i="15" s="1"/>
  <c r="B50" i="15"/>
  <c r="C50" i="15" s="1"/>
  <c r="Q49" i="15"/>
  <c r="R49" i="15" s="1"/>
  <c r="L49" i="15"/>
  <c r="M49" i="15" s="1"/>
  <c r="G49" i="15"/>
  <c r="H49" i="15" s="1"/>
  <c r="K49" i="15" s="1"/>
  <c r="B49" i="15"/>
  <c r="C49" i="15" s="1"/>
  <c r="Q48" i="15"/>
  <c r="R48" i="15" s="1"/>
  <c r="T48" i="15" s="1"/>
  <c r="L48" i="15"/>
  <c r="M48" i="15" s="1"/>
  <c r="G48" i="15"/>
  <c r="H48" i="15" s="1"/>
  <c r="K48" i="15" s="1"/>
  <c r="B48" i="15"/>
  <c r="C48" i="15" s="1"/>
  <c r="Q47" i="15"/>
  <c r="R47" i="15" s="1"/>
  <c r="L47" i="15"/>
  <c r="M47" i="15" s="1"/>
  <c r="G47" i="15"/>
  <c r="H47" i="15" s="1"/>
  <c r="B47" i="15"/>
  <c r="C47" i="15" s="1"/>
  <c r="Q46" i="15"/>
  <c r="R46" i="15" s="1"/>
  <c r="L46" i="15"/>
  <c r="M46" i="15" s="1"/>
  <c r="G46" i="15"/>
  <c r="H46" i="15" s="1"/>
  <c r="J46" i="15" s="1"/>
  <c r="B46" i="15"/>
  <c r="C46" i="15" s="1"/>
  <c r="Q45" i="15"/>
  <c r="R45" i="15" s="1"/>
  <c r="L45" i="15"/>
  <c r="M45" i="15" s="1"/>
  <c r="P45" i="15" s="1"/>
  <c r="G45" i="15"/>
  <c r="H45" i="15" s="1"/>
  <c r="K45" i="15" s="1"/>
  <c r="B45" i="15"/>
  <c r="C45" i="15" s="1"/>
  <c r="Q44" i="15"/>
  <c r="R44" i="15" s="1"/>
  <c r="L44" i="15"/>
  <c r="M44" i="15" s="1"/>
  <c r="G44" i="15"/>
  <c r="H44" i="15" s="1"/>
  <c r="B44" i="15"/>
  <c r="C44" i="15" s="1"/>
  <c r="F44" i="15" s="1"/>
  <c r="Q43" i="15"/>
  <c r="R43" i="15" s="1"/>
  <c r="L43" i="15"/>
  <c r="M43" i="15" s="1"/>
  <c r="O43" i="15" s="1"/>
  <c r="G43" i="15"/>
  <c r="H43" i="15" s="1"/>
  <c r="B43" i="15"/>
  <c r="C43" i="15" s="1"/>
  <c r="Q42" i="15"/>
  <c r="R42" i="15" s="1"/>
  <c r="L42" i="15"/>
  <c r="M42" i="15" s="1"/>
  <c r="G42" i="15"/>
  <c r="H42" i="15" s="1"/>
  <c r="J42" i="15" s="1"/>
  <c r="B42" i="15"/>
  <c r="C42" i="15" s="1"/>
  <c r="D42" i="15" s="1"/>
  <c r="Q41" i="15"/>
  <c r="R41" i="15" s="1"/>
  <c r="S41" i="15" s="1"/>
  <c r="L41" i="15"/>
  <c r="M41" i="15" s="1"/>
  <c r="G41" i="15"/>
  <c r="H41" i="15" s="1"/>
  <c r="B41" i="15"/>
  <c r="C41" i="15" s="1"/>
  <c r="F41" i="15" s="1"/>
  <c r="Q40" i="15"/>
  <c r="R40" i="15" s="1"/>
  <c r="U40" i="15" s="1"/>
  <c r="L40" i="15"/>
  <c r="M40" i="15" s="1"/>
  <c r="G40" i="15"/>
  <c r="H40" i="15" s="1"/>
  <c r="B40" i="15"/>
  <c r="C40" i="15" s="1"/>
  <c r="F40" i="15" s="1"/>
  <c r="Q39" i="15"/>
  <c r="R39" i="15" s="1"/>
  <c r="U39" i="15" s="1"/>
  <c r="L39" i="15"/>
  <c r="M39" i="15" s="1"/>
  <c r="P39" i="15" s="1"/>
  <c r="G39" i="15"/>
  <c r="H39" i="15" s="1"/>
  <c r="I39" i="15" s="1"/>
  <c r="B39" i="15"/>
  <c r="C39" i="15" s="1"/>
  <c r="Q38" i="15"/>
  <c r="R38" i="15" s="1"/>
  <c r="T38" i="15" s="1"/>
  <c r="L38" i="15"/>
  <c r="M38" i="15" s="1"/>
  <c r="G38" i="15"/>
  <c r="H38" i="15" s="1"/>
  <c r="K38" i="15" s="1"/>
  <c r="B38" i="15"/>
  <c r="C38" i="15" s="1"/>
  <c r="Q37" i="15"/>
  <c r="R37" i="15" s="1"/>
  <c r="S37" i="15" s="1"/>
  <c r="L37" i="15"/>
  <c r="M37" i="15" s="1"/>
  <c r="G37" i="15"/>
  <c r="H37" i="15" s="1"/>
  <c r="K37" i="15" s="1"/>
  <c r="B37" i="15"/>
  <c r="C37" i="15" s="1"/>
  <c r="F37" i="15" s="1"/>
  <c r="Q36" i="15"/>
  <c r="R36" i="15" s="1"/>
  <c r="L36" i="15"/>
  <c r="M36" i="15" s="1"/>
  <c r="G36" i="15"/>
  <c r="H36" i="15" s="1"/>
  <c r="I36" i="15" s="1"/>
  <c r="B36" i="15"/>
  <c r="C36" i="15" s="1"/>
  <c r="Q35" i="15"/>
  <c r="R35" i="15" s="1"/>
  <c r="L35" i="15"/>
  <c r="M35" i="15" s="1"/>
  <c r="P35" i="15" s="1"/>
  <c r="G35" i="15"/>
  <c r="H35" i="15" s="1"/>
  <c r="I35" i="15" s="1"/>
  <c r="B35" i="15"/>
  <c r="C35" i="15" s="1"/>
  <c r="Q34" i="15"/>
  <c r="R34" i="15" s="1"/>
  <c r="L34" i="15"/>
  <c r="M34" i="15" s="1"/>
  <c r="G34" i="15"/>
  <c r="H34" i="15" s="1"/>
  <c r="B34" i="15"/>
  <c r="C34" i="15" s="1"/>
  <c r="Q33" i="15"/>
  <c r="R33" i="15" s="1"/>
  <c r="L33" i="15"/>
  <c r="M33" i="15" s="1"/>
  <c r="G33" i="15"/>
  <c r="H33" i="15" s="1"/>
  <c r="B33" i="15"/>
  <c r="C33" i="15" s="1"/>
  <c r="F33" i="15" s="1"/>
  <c r="Q32" i="15"/>
  <c r="R32" i="15" s="1"/>
  <c r="U32" i="15" s="1"/>
  <c r="L32" i="15"/>
  <c r="M32" i="15" s="1"/>
  <c r="G32" i="15"/>
  <c r="H32" i="15" s="1"/>
  <c r="B32" i="15"/>
  <c r="C32" i="15" s="1"/>
  <c r="Q31" i="15"/>
  <c r="R31" i="15" s="1"/>
  <c r="L31" i="15"/>
  <c r="M31" i="15" s="1"/>
  <c r="G31" i="15"/>
  <c r="H31" i="15" s="1"/>
  <c r="B31" i="15"/>
  <c r="C31" i="15" s="1"/>
  <c r="Q30" i="15"/>
  <c r="R30" i="15" s="1"/>
  <c r="S30" i="15" s="1"/>
  <c r="L30" i="15"/>
  <c r="M30" i="15" s="1"/>
  <c r="G30" i="15"/>
  <c r="H30" i="15" s="1"/>
  <c r="K30" i="15" s="1"/>
  <c r="B30" i="15"/>
  <c r="C30" i="15" s="1"/>
  <c r="D30" i="15" s="1"/>
  <c r="Q29" i="15"/>
  <c r="R29" i="15" s="1"/>
  <c r="S29" i="15" s="1"/>
  <c r="L29" i="15"/>
  <c r="M29" i="15" s="1"/>
  <c r="G29" i="15"/>
  <c r="H29" i="15" s="1"/>
  <c r="K29" i="15" s="1"/>
  <c r="B29" i="15"/>
  <c r="C29" i="15" s="1"/>
  <c r="Q28" i="15"/>
  <c r="R28" i="15" s="1"/>
  <c r="L28" i="15"/>
  <c r="M28" i="15" s="1"/>
  <c r="G28" i="15"/>
  <c r="H28" i="15" s="1"/>
  <c r="I28" i="15" s="1"/>
  <c r="B28" i="15"/>
  <c r="C28" i="15" s="1"/>
  <c r="Q27" i="15"/>
  <c r="R27" i="15" s="1"/>
  <c r="L27" i="15"/>
  <c r="M27" i="15" s="1"/>
  <c r="P27" i="15" s="1"/>
  <c r="G27" i="15"/>
  <c r="H27" i="15" s="1"/>
  <c r="B27" i="15"/>
  <c r="C27" i="15" s="1"/>
  <c r="Q26" i="15"/>
  <c r="R26" i="15" s="1"/>
  <c r="L26" i="15"/>
  <c r="M26" i="15" s="1"/>
  <c r="G26" i="15"/>
  <c r="H26" i="15" s="1"/>
  <c r="B26" i="15"/>
  <c r="C26" i="15" s="1"/>
  <c r="Q25" i="15"/>
  <c r="R25" i="15" s="1"/>
  <c r="L25" i="15"/>
  <c r="M25" i="15" s="1"/>
  <c r="G25" i="15"/>
  <c r="H25" i="15" s="1"/>
  <c r="B25" i="15"/>
  <c r="C25" i="15" s="1"/>
  <c r="F25" i="15" s="1"/>
  <c r="Q24" i="15"/>
  <c r="R24" i="15" s="1"/>
  <c r="U24" i="15" s="1"/>
  <c r="L24" i="15"/>
  <c r="M24" i="15" s="1"/>
  <c r="G24" i="15"/>
  <c r="H24" i="15" s="1"/>
  <c r="B24" i="15"/>
  <c r="C24" i="15" s="1"/>
  <c r="F24" i="15" s="1"/>
  <c r="Q23" i="15"/>
  <c r="R23" i="15" s="1"/>
  <c r="L23" i="15"/>
  <c r="M23" i="15" s="1"/>
  <c r="G23" i="15"/>
  <c r="H23" i="15" s="1"/>
  <c r="B23" i="15"/>
  <c r="C23" i="15" s="1"/>
  <c r="Q22" i="15"/>
  <c r="R22" i="15" s="1"/>
  <c r="S22" i="15" s="1"/>
  <c r="L22" i="15"/>
  <c r="M22" i="15" s="1"/>
  <c r="G22" i="15"/>
  <c r="H22" i="15" s="1"/>
  <c r="K22" i="15" s="1"/>
  <c r="B22" i="15"/>
  <c r="C22" i="15" s="1"/>
  <c r="D22" i="15" s="1"/>
  <c r="Q21" i="15"/>
  <c r="R21" i="15" s="1"/>
  <c r="S21" i="15" s="1"/>
  <c r="L21" i="15"/>
  <c r="M21" i="15" s="1"/>
  <c r="G21" i="15"/>
  <c r="H21" i="15" s="1"/>
  <c r="K21" i="15" s="1"/>
  <c r="B21" i="15"/>
  <c r="C21" i="15" s="1"/>
  <c r="Q20" i="15"/>
  <c r="R20" i="15" s="1"/>
  <c r="L20" i="15"/>
  <c r="M20" i="15" s="1"/>
  <c r="G20" i="15"/>
  <c r="H20" i="15" s="1"/>
  <c r="J20" i="15" s="1"/>
  <c r="B20" i="15"/>
  <c r="C20" i="15" s="1"/>
  <c r="Q19" i="15"/>
  <c r="R19" i="15" s="1"/>
  <c r="U19" i="15" s="1"/>
  <c r="L19" i="15"/>
  <c r="M19" i="15" s="1"/>
  <c r="G19" i="15"/>
  <c r="H19" i="15" s="1"/>
  <c r="B19" i="15"/>
  <c r="C19" i="15" s="1"/>
  <c r="Q18" i="15"/>
  <c r="R18" i="15" s="1"/>
  <c r="U18" i="15" s="1"/>
  <c r="L18" i="15"/>
  <c r="M18" i="15" s="1"/>
  <c r="N18" i="15" s="1"/>
  <c r="G18" i="15"/>
  <c r="H18" i="15" s="1"/>
  <c r="B18" i="15"/>
  <c r="C18" i="15" s="1"/>
  <c r="Q17" i="15"/>
  <c r="R17" i="15" s="1"/>
  <c r="L17" i="15"/>
  <c r="M17" i="15" s="1"/>
  <c r="G17" i="15"/>
  <c r="H17" i="15" s="1"/>
  <c r="B17" i="15"/>
  <c r="C17" i="15" s="1"/>
  <c r="Q16" i="15"/>
  <c r="R16" i="15" s="1"/>
  <c r="L16" i="15"/>
  <c r="M16" i="15" s="1"/>
  <c r="P16" i="15" s="1"/>
  <c r="G16" i="15"/>
  <c r="H16" i="15" s="1"/>
  <c r="K16" i="15" s="1"/>
  <c r="B16" i="15"/>
  <c r="C16" i="15" s="1"/>
  <c r="D16" i="15" s="1"/>
  <c r="Q15" i="15"/>
  <c r="R15" i="15" s="1"/>
  <c r="L15" i="15"/>
  <c r="M15" i="15" s="1"/>
  <c r="G15" i="15"/>
  <c r="H15" i="15" s="1"/>
  <c r="B15" i="15"/>
  <c r="C15" i="15" s="1"/>
  <c r="Q14" i="15"/>
  <c r="R14" i="15" s="1"/>
  <c r="L14" i="15"/>
  <c r="M14" i="15" s="1"/>
  <c r="G14" i="15"/>
  <c r="H14" i="15" s="1"/>
  <c r="J14" i="15" s="1"/>
  <c r="B14" i="15"/>
  <c r="C14" i="15" s="1"/>
  <c r="F14" i="15" s="1"/>
  <c r="Q13" i="15"/>
  <c r="R13" i="15" s="1"/>
  <c r="U13" i="15" s="1"/>
  <c r="L13" i="15"/>
  <c r="M13" i="15" s="1"/>
  <c r="P13" i="15" s="1"/>
  <c r="G13" i="15"/>
  <c r="H13" i="15" s="1"/>
  <c r="B13" i="15"/>
  <c r="C13" i="15" s="1"/>
  <c r="Q12" i="15"/>
  <c r="R12" i="15" s="1"/>
  <c r="L12" i="15"/>
  <c r="M12" i="15" s="1"/>
  <c r="G12" i="15"/>
  <c r="H12" i="15" s="1"/>
  <c r="B12" i="15"/>
  <c r="C12" i="15" s="1"/>
  <c r="Q11" i="15"/>
  <c r="R11" i="15" s="1"/>
  <c r="L11" i="15"/>
  <c r="M11" i="15" s="1"/>
  <c r="G11" i="15"/>
  <c r="H11" i="15" s="1"/>
  <c r="K11" i="15" s="1"/>
  <c r="B11" i="15"/>
  <c r="C11" i="15" s="1"/>
  <c r="F11" i="15" s="1"/>
  <c r="Q10" i="15"/>
  <c r="R10" i="15" s="1"/>
  <c r="U10" i="15" s="1"/>
  <c r="L10" i="15"/>
  <c r="M10" i="15" s="1"/>
  <c r="G10" i="15"/>
  <c r="H10" i="15" s="1"/>
  <c r="B10" i="15"/>
  <c r="C10" i="15" s="1"/>
  <c r="Q9" i="15"/>
  <c r="R9" i="15" s="1"/>
  <c r="L9" i="15"/>
  <c r="M9" i="15" s="1"/>
  <c r="G9" i="15"/>
  <c r="H9" i="15" s="1"/>
  <c r="B9" i="15"/>
  <c r="C9" i="15" s="1"/>
  <c r="E9" i="15" s="1"/>
  <c r="Q8" i="15"/>
  <c r="R8" i="15" s="1"/>
  <c r="L8" i="15"/>
  <c r="M8" i="15" s="1"/>
  <c r="P8" i="15" s="1"/>
  <c r="G8" i="15"/>
  <c r="H8" i="15" s="1"/>
  <c r="K8" i="15" s="1"/>
  <c r="B8" i="15"/>
  <c r="C8" i="15" s="1"/>
  <c r="D8" i="15" s="1"/>
  <c r="Q7" i="15"/>
  <c r="R7" i="15" s="1"/>
  <c r="L7" i="15"/>
  <c r="M7" i="15" s="1"/>
  <c r="G7" i="15"/>
  <c r="H7" i="15" s="1"/>
  <c r="B7" i="15"/>
  <c r="C7" i="15" s="1"/>
  <c r="Q6" i="15"/>
  <c r="R6" i="15" s="1"/>
  <c r="L6" i="15"/>
  <c r="M6" i="15" s="1"/>
  <c r="G6" i="15"/>
  <c r="H6" i="15" s="1"/>
  <c r="B6" i="15"/>
  <c r="C6" i="15" s="1"/>
  <c r="F6" i="15" s="1"/>
  <c r="Q5" i="15"/>
  <c r="R5" i="15" s="1"/>
  <c r="U5" i="15" s="1"/>
  <c r="L5" i="15"/>
  <c r="M5" i="15" s="1"/>
  <c r="P5" i="15" s="1"/>
  <c r="G5" i="15"/>
  <c r="H5" i="15" s="1"/>
  <c r="I5" i="15" s="1"/>
  <c r="B5" i="15"/>
  <c r="C5" i="15" s="1"/>
  <c r="Q4" i="15"/>
  <c r="R4" i="15" s="1"/>
  <c r="L4" i="15"/>
  <c r="M4" i="15" s="1"/>
  <c r="G4" i="15"/>
  <c r="H4" i="15" s="1"/>
  <c r="B4" i="15"/>
  <c r="C4" i="15" s="1"/>
  <c r="Q3" i="15"/>
  <c r="R3" i="15" s="1"/>
  <c r="L3" i="15"/>
  <c r="M3" i="15" s="1"/>
  <c r="G3" i="15"/>
  <c r="H3" i="15" s="1"/>
  <c r="B3" i="15"/>
  <c r="C3" i="15" s="1"/>
  <c r="Q2" i="15"/>
  <c r="R2" i="15" s="1"/>
  <c r="L2" i="15"/>
  <c r="M2" i="15" s="1"/>
  <c r="G2" i="15"/>
  <c r="H2" i="15" s="1"/>
  <c r="B2" i="15"/>
  <c r="C2" i="15" s="1"/>
  <c r="F2" i="15" s="1"/>
  <c r="Q5" i="14"/>
  <c r="R5" i="14" s="1"/>
  <c r="Q6" i="14"/>
  <c r="R6" i="14" s="1"/>
  <c r="Q7" i="14"/>
  <c r="R7" i="14" s="1"/>
  <c r="Q8" i="14"/>
  <c r="R8" i="14" s="1"/>
  <c r="Q9" i="14"/>
  <c r="R9" i="14" s="1"/>
  <c r="Q10" i="14"/>
  <c r="R10" i="14" s="1"/>
  <c r="S10" i="14" s="1"/>
  <c r="Q11" i="14"/>
  <c r="R11" i="14" s="1"/>
  <c r="S11" i="14" s="1"/>
  <c r="Q12" i="14"/>
  <c r="R12" i="14" s="1"/>
  <c r="S12" i="14" s="1"/>
  <c r="Q13" i="14"/>
  <c r="R13" i="14" s="1"/>
  <c r="Q14" i="14"/>
  <c r="R14" i="14" s="1"/>
  <c r="Q15" i="14"/>
  <c r="R15" i="14" s="1"/>
  <c r="Q16" i="14"/>
  <c r="R16" i="14" s="1"/>
  <c r="Q17" i="14"/>
  <c r="R17" i="14" s="1"/>
  <c r="U17" i="14" s="1"/>
  <c r="Q18" i="14"/>
  <c r="R18" i="14" s="1"/>
  <c r="S18" i="14" s="1"/>
  <c r="Q19" i="14"/>
  <c r="R19" i="14" s="1"/>
  <c r="S19" i="14" s="1"/>
  <c r="Q20" i="14"/>
  <c r="R20" i="14" s="1"/>
  <c r="Q21" i="14"/>
  <c r="R21" i="14" s="1"/>
  <c r="Q22" i="14"/>
  <c r="R22" i="14" s="1"/>
  <c r="Q23" i="14"/>
  <c r="R23" i="14" s="1"/>
  <c r="Q24" i="14"/>
  <c r="R24" i="14" s="1"/>
  <c r="Q25" i="14"/>
  <c r="R25" i="14" s="1"/>
  <c r="Q26" i="14"/>
  <c r="R26" i="14" s="1"/>
  <c r="S26" i="14" s="1"/>
  <c r="Q27" i="14"/>
  <c r="R27" i="14" s="1"/>
  <c r="S27" i="14" s="1"/>
  <c r="Q28" i="14"/>
  <c r="R28" i="14" s="1"/>
  <c r="Q29" i="14"/>
  <c r="R29" i="14" s="1"/>
  <c r="Q30" i="14"/>
  <c r="R30" i="14" s="1"/>
  <c r="Q31" i="14"/>
  <c r="R31" i="14" s="1"/>
  <c r="Q32" i="14"/>
  <c r="R32" i="14" s="1"/>
  <c r="Q33" i="14"/>
  <c r="R33" i="14" s="1"/>
  <c r="U33" i="14" s="1"/>
  <c r="Q34" i="14"/>
  <c r="R34" i="14" s="1"/>
  <c r="S34" i="14" s="1"/>
  <c r="Q35" i="14"/>
  <c r="R35" i="14" s="1"/>
  <c r="S35" i="14" s="1"/>
  <c r="Q36" i="14"/>
  <c r="R36" i="14" s="1"/>
  <c r="Q37" i="14"/>
  <c r="R37" i="14" s="1"/>
  <c r="Q38" i="14"/>
  <c r="R38" i="14" s="1"/>
  <c r="Q39" i="14"/>
  <c r="R39" i="14" s="1"/>
  <c r="Q40" i="14"/>
  <c r="R40" i="14" s="1"/>
  <c r="Q41" i="14"/>
  <c r="R41" i="14" s="1"/>
  <c r="Q42" i="14"/>
  <c r="R42" i="14" s="1"/>
  <c r="S42" i="14" s="1"/>
  <c r="Q43" i="14"/>
  <c r="R43" i="14" s="1"/>
  <c r="S43" i="14" s="1"/>
  <c r="Q44" i="14"/>
  <c r="R44" i="14" s="1"/>
  <c r="Q45" i="14"/>
  <c r="R45" i="14" s="1"/>
  <c r="Q46" i="14"/>
  <c r="R46" i="14" s="1"/>
  <c r="Q47" i="14"/>
  <c r="R47" i="14" s="1"/>
  <c r="Q48" i="14"/>
  <c r="R48" i="14" s="1"/>
  <c r="Q49" i="14"/>
  <c r="R49" i="14" s="1"/>
  <c r="U49" i="14" s="1"/>
  <c r="Q50" i="14"/>
  <c r="R50" i="14" s="1"/>
  <c r="Q51" i="14"/>
  <c r="R51" i="14" s="1"/>
  <c r="S51" i="14" s="1"/>
  <c r="Q52" i="14"/>
  <c r="R52" i="14" s="1"/>
  <c r="Q53" i="14"/>
  <c r="R53" i="14" s="1"/>
  <c r="Q54" i="14"/>
  <c r="R54" i="14" s="1"/>
  <c r="Q55" i="14"/>
  <c r="R55" i="14" s="1"/>
  <c r="Q56" i="14"/>
  <c r="R56" i="14" s="1"/>
  <c r="Q57" i="14"/>
  <c r="R57" i="14" s="1"/>
  <c r="Q58" i="14"/>
  <c r="R58" i="14" s="1"/>
  <c r="S58" i="14" s="1"/>
  <c r="Q59" i="14"/>
  <c r="R59" i="14" s="1"/>
  <c r="S59" i="14" s="1"/>
  <c r="Q60" i="14"/>
  <c r="R60" i="14" s="1"/>
  <c r="Q61" i="14"/>
  <c r="R61" i="14" s="1"/>
  <c r="Q62" i="14"/>
  <c r="R62" i="14" s="1"/>
  <c r="Q63" i="14"/>
  <c r="R63" i="14" s="1"/>
  <c r="Q4" i="14"/>
  <c r="R4" i="14" s="1"/>
  <c r="U4" i="14" s="1"/>
  <c r="L63" i="14"/>
  <c r="M63" i="14" s="1"/>
  <c r="G63" i="14"/>
  <c r="H63" i="14" s="1"/>
  <c r="B63" i="14"/>
  <c r="C63" i="14" s="1"/>
  <c r="L62" i="14"/>
  <c r="M62" i="14" s="1"/>
  <c r="O62" i="14" s="1"/>
  <c r="G62" i="14"/>
  <c r="H62" i="14" s="1"/>
  <c r="B62" i="14"/>
  <c r="C62" i="14" s="1"/>
  <c r="E62" i="14" s="1"/>
  <c r="L61" i="14"/>
  <c r="M61" i="14" s="1"/>
  <c r="O61" i="14" s="1"/>
  <c r="G61" i="14"/>
  <c r="H61" i="14" s="1"/>
  <c r="B61" i="14"/>
  <c r="C61" i="14" s="1"/>
  <c r="L60" i="14"/>
  <c r="M60" i="14" s="1"/>
  <c r="G60" i="14"/>
  <c r="H60" i="14" s="1"/>
  <c r="B60" i="14"/>
  <c r="C60" i="14" s="1"/>
  <c r="L59" i="14"/>
  <c r="M59" i="14" s="1"/>
  <c r="G59" i="14"/>
  <c r="H59" i="14" s="1"/>
  <c r="B59" i="14"/>
  <c r="C59" i="14" s="1"/>
  <c r="L58" i="14"/>
  <c r="M58" i="14" s="1"/>
  <c r="G58" i="14"/>
  <c r="H58" i="14" s="1"/>
  <c r="B58" i="14"/>
  <c r="C58" i="14" s="1"/>
  <c r="E58" i="14" s="1"/>
  <c r="L57" i="14"/>
  <c r="M57" i="14" s="1"/>
  <c r="O57" i="14" s="1"/>
  <c r="G57" i="14"/>
  <c r="H57" i="14" s="1"/>
  <c r="I57" i="14" s="1"/>
  <c r="B57" i="14"/>
  <c r="C57" i="14" s="1"/>
  <c r="L56" i="14"/>
  <c r="M56" i="14" s="1"/>
  <c r="P56" i="14" s="1"/>
  <c r="G56" i="14"/>
  <c r="H56" i="14" s="1"/>
  <c r="B56" i="14"/>
  <c r="C56" i="14" s="1"/>
  <c r="L55" i="14"/>
  <c r="M55" i="14" s="1"/>
  <c r="G55" i="14"/>
  <c r="H55" i="14" s="1"/>
  <c r="K55" i="14" s="1"/>
  <c r="B55" i="14"/>
  <c r="C55" i="14" s="1"/>
  <c r="L54" i="14"/>
  <c r="M54" i="14" s="1"/>
  <c r="G54" i="14"/>
  <c r="H54" i="14" s="1"/>
  <c r="B54" i="14"/>
  <c r="C54" i="14" s="1"/>
  <c r="E54" i="14" s="1"/>
  <c r="L53" i="14"/>
  <c r="M53" i="14" s="1"/>
  <c r="O53" i="14" s="1"/>
  <c r="G53" i="14"/>
  <c r="H53" i="14" s="1"/>
  <c r="I53" i="14" s="1"/>
  <c r="B53" i="14"/>
  <c r="C53" i="14" s="1"/>
  <c r="L52" i="14"/>
  <c r="M52" i="14" s="1"/>
  <c r="G52" i="14"/>
  <c r="H52" i="14" s="1"/>
  <c r="B52" i="14"/>
  <c r="C52" i="14" s="1"/>
  <c r="L51" i="14"/>
  <c r="M51" i="14" s="1"/>
  <c r="G51" i="14"/>
  <c r="H51" i="14" s="1"/>
  <c r="B51" i="14"/>
  <c r="C51" i="14" s="1"/>
  <c r="L50" i="14"/>
  <c r="M50" i="14" s="1"/>
  <c r="O50" i="14" s="1"/>
  <c r="G50" i="14"/>
  <c r="H50" i="14" s="1"/>
  <c r="B50" i="14"/>
  <c r="C50" i="14" s="1"/>
  <c r="E50" i="14" s="1"/>
  <c r="L49" i="14"/>
  <c r="M49" i="14" s="1"/>
  <c r="O49" i="14" s="1"/>
  <c r="G49" i="14"/>
  <c r="H49" i="14" s="1"/>
  <c r="B49" i="14"/>
  <c r="C49" i="14" s="1"/>
  <c r="L48" i="14"/>
  <c r="M48" i="14" s="1"/>
  <c r="G48" i="14"/>
  <c r="H48" i="14" s="1"/>
  <c r="K48" i="14" s="1"/>
  <c r="B48" i="14"/>
  <c r="C48" i="14" s="1"/>
  <c r="L47" i="14"/>
  <c r="M47" i="14" s="1"/>
  <c r="G47" i="14"/>
  <c r="H47" i="14" s="1"/>
  <c r="B47" i="14"/>
  <c r="C47" i="14" s="1"/>
  <c r="E47" i="14" s="1"/>
  <c r="L46" i="14"/>
  <c r="M46" i="14" s="1"/>
  <c r="G46" i="14"/>
  <c r="H46" i="14" s="1"/>
  <c r="B46" i="14"/>
  <c r="C46" i="14" s="1"/>
  <c r="E46" i="14" s="1"/>
  <c r="L45" i="14"/>
  <c r="M45" i="14" s="1"/>
  <c r="O45" i="14" s="1"/>
  <c r="G45" i="14"/>
  <c r="H45" i="14" s="1"/>
  <c r="B45" i="14"/>
  <c r="C45" i="14" s="1"/>
  <c r="L44" i="14"/>
  <c r="M44" i="14" s="1"/>
  <c r="P44" i="14" s="1"/>
  <c r="G44" i="14"/>
  <c r="H44" i="14" s="1"/>
  <c r="B44" i="14"/>
  <c r="C44" i="14" s="1"/>
  <c r="L43" i="14"/>
  <c r="M43" i="14" s="1"/>
  <c r="G43" i="14"/>
  <c r="H43" i="14" s="1"/>
  <c r="B43" i="14"/>
  <c r="C43" i="14" s="1"/>
  <c r="L42" i="14"/>
  <c r="M42" i="14" s="1"/>
  <c r="O42" i="14" s="1"/>
  <c r="G42" i="14"/>
  <c r="H42" i="14" s="1"/>
  <c r="B42" i="14"/>
  <c r="C42" i="14" s="1"/>
  <c r="E42" i="14" s="1"/>
  <c r="L41" i="14"/>
  <c r="M41" i="14" s="1"/>
  <c r="O41" i="14" s="1"/>
  <c r="G41" i="14"/>
  <c r="H41" i="14" s="1"/>
  <c r="B41" i="14"/>
  <c r="C41" i="14" s="1"/>
  <c r="F41" i="14" s="1"/>
  <c r="L40" i="14"/>
  <c r="M40" i="14" s="1"/>
  <c r="G40" i="14"/>
  <c r="H40" i="14" s="1"/>
  <c r="B40" i="14"/>
  <c r="C40" i="14" s="1"/>
  <c r="L39" i="14"/>
  <c r="M39" i="14" s="1"/>
  <c r="G39" i="14"/>
  <c r="H39" i="14" s="1"/>
  <c r="B39" i="14"/>
  <c r="C39" i="14" s="1"/>
  <c r="L38" i="14"/>
  <c r="M38" i="14" s="1"/>
  <c r="G38" i="14"/>
  <c r="H38" i="14" s="1"/>
  <c r="B38" i="14"/>
  <c r="C38" i="14" s="1"/>
  <c r="E38" i="14" s="1"/>
  <c r="L37" i="14"/>
  <c r="M37" i="14" s="1"/>
  <c r="O37" i="14" s="1"/>
  <c r="G37" i="14"/>
  <c r="H37" i="14" s="1"/>
  <c r="B37" i="14"/>
  <c r="C37" i="14" s="1"/>
  <c r="F37" i="14" s="1"/>
  <c r="L36" i="14"/>
  <c r="M36" i="14" s="1"/>
  <c r="G36" i="14"/>
  <c r="H36" i="14" s="1"/>
  <c r="B36" i="14"/>
  <c r="C36" i="14" s="1"/>
  <c r="L35" i="14"/>
  <c r="M35" i="14" s="1"/>
  <c r="G35" i="14"/>
  <c r="H35" i="14" s="1"/>
  <c r="I35" i="14" s="1"/>
  <c r="B35" i="14"/>
  <c r="C35" i="14" s="1"/>
  <c r="L34" i="14"/>
  <c r="M34" i="14" s="1"/>
  <c r="G34" i="14"/>
  <c r="H34" i="14" s="1"/>
  <c r="J34" i="14" s="1"/>
  <c r="B34" i="14"/>
  <c r="C34" i="14" s="1"/>
  <c r="L33" i="14"/>
  <c r="M33" i="14" s="1"/>
  <c r="G33" i="14"/>
  <c r="H33" i="14" s="1"/>
  <c r="K33" i="14" s="1"/>
  <c r="B33" i="14"/>
  <c r="C33" i="14" s="1"/>
  <c r="L32" i="14"/>
  <c r="M32" i="14" s="1"/>
  <c r="O32" i="14" s="1"/>
  <c r="G32" i="14"/>
  <c r="H32" i="14" s="1"/>
  <c r="B32" i="14"/>
  <c r="C32" i="14" s="1"/>
  <c r="L31" i="14"/>
  <c r="M31" i="14" s="1"/>
  <c r="G31" i="14"/>
  <c r="H31" i="14" s="1"/>
  <c r="K31" i="14" s="1"/>
  <c r="B31" i="14"/>
  <c r="C31" i="14" s="1"/>
  <c r="L30" i="14"/>
  <c r="M30" i="14" s="1"/>
  <c r="G30" i="14"/>
  <c r="H30" i="14" s="1"/>
  <c r="B30" i="14"/>
  <c r="C30" i="14" s="1"/>
  <c r="L29" i="14"/>
  <c r="M29" i="14" s="1"/>
  <c r="G29" i="14"/>
  <c r="H29" i="14" s="1"/>
  <c r="K29" i="14" s="1"/>
  <c r="B29" i="14"/>
  <c r="C29" i="14" s="1"/>
  <c r="L28" i="14"/>
  <c r="M28" i="14" s="1"/>
  <c r="O28" i="14" s="1"/>
  <c r="G28" i="14"/>
  <c r="H28" i="14" s="1"/>
  <c r="B28" i="14"/>
  <c r="C28" i="14" s="1"/>
  <c r="L27" i="14"/>
  <c r="M27" i="14" s="1"/>
  <c r="G27" i="14"/>
  <c r="H27" i="14" s="1"/>
  <c r="B27" i="14"/>
  <c r="C27" i="14" s="1"/>
  <c r="L26" i="14"/>
  <c r="M26" i="14" s="1"/>
  <c r="G26" i="14"/>
  <c r="H26" i="14" s="1"/>
  <c r="K26" i="14" s="1"/>
  <c r="B26" i="14"/>
  <c r="C26" i="14" s="1"/>
  <c r="L25" i="14"/>
  <c r="M25" i="14" s="1"/>
  <c r="G25" i="14"/>
  <c r="H25" i="14" s="1"/>
  <c r="K25" i="14" s="1"/>
  <c r="B25" i="14"/>
  <c r="C25" i="14" s="1"/>
  <c r="L24" i="14"/>
  <c r="M24" i="14" s="1"/>
  <c r="G24" i="14"/>
  <c r="H24" i="14" s="1"/>
  <c r="B24" i="14"/>
  <c r="C24" i="14" s="1"/>
  <c r="L23" i="14"/>
  <c r="M23" i="14" s="1"/>
  <c r="G23" i="14"/>
  <c r="H23" i="14" s="1"/>
  <c r="B23" i="14"/>
  <c r="C23" i="14" s="1"/>
  <c r="L22" i="14"/>
  <c r="M22" i="14" s="1"/>
  <c r="G22" i="14"/>
  <c r="H22" i="14" s="1"/>
  <c r="K22" i="14" s="1"/>
  <c r="B22" i="14"/>
  <c r="C22" i="14" s="1"/>
  <c r="L21" i="14"/>
  <c r="M21" i="14" s="1"/>
  <c r="G21" i="14"/>
  <c r="H21" i="14" s="1"/>
  <c r="K21" i="14" s="1"/>
  <c r="B21" i="14"/>
  <c r="C21" i="14" s="1"/>
  <c r="E21" i="14" s="1"/>
  <c r="L20" i="14"/>
  <c r="M20" i="14" s="1"/>
  <c r="O20" i="14" s="1"/>
  <c r="G20" i="14"/>
  <c r="H20" i="14" s="1"/>
  <c r="B20" i="14"/>
  <c r="C20" i="14" s="1"/>
  <c r="L19" i="14"/>
  <c r="M19" i="14" s="1"/>
  <c r="G19" i="14"/>
  <c r="H19" i="14" s="1"/>
  <c r="B19" i="14"/>
  <c r="C19" i="14" s="1"/>
  <c r="L18" i="14"/>
  <c r="M18" i="14" s="1"/>
  <c r="G18" i="14"/>
  <c r="H18" i="14" s="1"/>
  <c r="K18" i="14" s="1"/>
  <c r="B18" i="14"/>
  <c r="C18" i="14" s="1"/>
  <c r="L17" i="14"/>
  <c r="M17" i="14" s="1"/>
  <c r="G17" i="14"/>
  <c r="H17" i="14" s="1"/>
  <c r="K17" i="14" s="1"/>
  <c r="B17" i="14"/>
  <c r="C17" i="14" s="1"/>
  <c r="L16" i="14"/>
  <c r="M16" i="14" s="1"/>
  <c r="G16" i="14"/>
  <c r="H16" i="14" s="1"/>
  <c r="B16" i="14"/>
  <c r="C16" i="14" s="1"/>
  <c r="L15" i="14"/>
  <c r="M15" i="14" s="1"/>
  <c r="G15" i="14"/>
  <c r="H15" i="14" s="1"/>
  <c r="B15" i="14"/>
  <c r="C15" i="14" s="1"/>
  <c r="L14" i="14"/>
  <c r="M14" i="14" s="1"/>
  <c r="N14" i="14" s="1"/>
  <c r="G14" i="14"/>
  <c r="H14" i="14" s="1"/>
  <c r="I14" i="14" s="1"/>
  <c r="B14" i="14"/>
  <c r="C14" i="14" s="1"/>
  <c r="F14" i="14" s="1"/>
  <c r="L13" i="14"/>
  <c r="M13" i="14" s="1"/>
  <c r="G13" i="14"/>
  <c r="H13" i="14" s="1"/>
  <c r="B13" i="14"/>
  <c r="C13" i="14" s="1"/>
  <c r="L12" i="14"/>
  <c r="M12" i="14" s="1"/>
  <c r="G12" i="14"/>
  <c r="H12" i="14" s="1"/>
  <c r="I12" i="14" s="1"/>
  <c r="B12" i="14"/>
  <c r="C12" i="14" s="1"/>
  <c r="L11" i="14"/>
  <c r="M11" i="14" s="1"/>
  <c r="G11" i="14"/>
  <c r="H11" i="14" s="1"/>
  <c r="J11" i="14" s="1"/>
  <c r="B11" i="14"/>
  <c r="C11" i="14" s="1"/>
  <c r="F11" i="14" s="1"/>
  <c r="L10" i="14"/>
  <c r="M10" i="14" s="1"/>
  <c r="G10" i="14"/>
  <c r="H10" i="14" s="1"/>
  <c r="K10" i="14" s="1"/>
  <c r="B10" i="14"/>
  <c r="C10" i="14" s="1"/>
  <c r="L9" i="14"/>
  <c r="M9" i="14" s="1"/>
  <c r="G9" i="14"/>
  <c r="H9" i="14" s="1"/>
  <c r="K9" i="14" s="1"/>
  <c r="B9" i="14"/>
  <c r="C9" i="14" s="1"/>
  <c r="L8" i="14"/>
  <c r="M8" i="14" s="1"/>
  <c r="G8" i="14"/>
  <c r="H8" i="14" s="1"/>
  <c r="B8" i="14"/>
  <c r="C8" i="14" s="1"/>
  <c r="L7" i="14"/>
  <c r="M7" i="14" s="1"/>
  <c r="G7" i="14"/>
  <c r="H7" i="14" s="1"/>
  <c r="B7" i="14"/>
  <c r="C7" i="14" s="1"/>
  <c r="L6" i="14"/>
  <c r="M6" i="14" s="1"/>
  <c r="G6" i="14"/>
  <c r="H6" i="14" s="1"/>
  <c r="B6" i="14"/>
  <c r="C6" i="14" s="1"/>
  <c r="L5" i="14"/>
  <c r="M5" i="14" s="1"/>
  <c r="P5" i="14" s="1"/>
  <c r="G5" i="14"/>
  <c r="H5" i="14" s="1"/>
  <c r="B5" i="14"/>
  <c r="C5" i="14" s="1"/>
  <c r="L4" i="14"/>
  <c r="M4" i="14" s="1"/>
  <c r="G4" i="14"/>
  <c r="H4" i="14" s="1"/>
  <c r="B4" i="14"/>
  <c r="C4" i="14" s="1"/>
  <c r="L3" i="13"/>
  <c r="M3" i="13" s="1"/>
  <c r="L4" i="13"/>
  <c r="M4" i="13" s="1"/>
  <c r="O4" i="13" s="1"/>
  <c r="L5" i="13"/>
  <c r="M5" i="13" s="1"/>
  <c r="L6" i="13"/>
  <c r="M6" i="13" s="1"/>
  <c r="N6" i="13" s="1"/>
  <c r="L7" i="13"/>
  <c r="M7" i="13" s="1"/>
  <c r="L8" i="13"/>
  <c r="M8" i="13" s="1"/>
  <c r="N8" i="13" s="1"/>
  <c r="L9" i="13"/>
  <c r="M9" i="13" s="1"/>
  <c r="L10" i="13"/>
  <c r="M10" i="13" s="1"/>
  <c r="L11" i="13"/>
  <c r="M11" i="13" s="1"/>
  <c r="L12" i="13"/>
  <c r="M12" i="13" s="1"/>
  <c r="O12" i="13" s="1"/>
  <c r="L13" i="13"/>
  <c r="M13" i="13" s="1"/>
  <c r="L14" i="13"/>
  <c r="M14" i="13" s="1"/>
  <c r="N14" i="13" s="1"/>
  <c r="L15" i="13"/>
  <c r="M15" i="13" s="1"/>
  <c r="L16" i="13"/>
  <c r="M16" i="13" s="1"/>
  <c r="L17" i="13"/>
  <c r="M17" i="13" s="1"/>
  <c r="L18" i="13"/>
  <c r="M18" i="13" s="1"/>
  <c r="L19" i="13"/>
  <c r="M19" i="13" s="1"/>
  <c r="L20" i="13"/>
  <c r="M20" i="13" s="1"/>
  <c r="O20" i="13" s="1"/>
  <c r="L21" i="13"/>
  <c r="M21" i="13" s="1"/>
  <c r="L22" i="13"/>
  <c r="M22" i="13" s="1"/>
  <c r="L23" i="13"/>
  <c r="M23" i="13" s="1"/>
  <c r="O23" i="13" s="1"/>
  <c r="L24" i="13"/>
  <c r="M24" i="13" s="1"/>
  <c r="N24" i="13" s="1"/>
  <c r="L25" i="13"/>
  <c r="M25" i="13" s="1"/>
  <c r="L26" i="13"/>
  <c r="M26" i="13" s="1"/>
  <c r="L27" i="13"/>
  <c r="M27" i="13" s="1"/>
  <c r="L28" i="13"/>
  <c r="M28" i="13" s="1"/>
  <c r="O28" i="13" s="1"/>
  <c r="L29" i="13"/>
  <c r="M29" i="13" s="1"/>
  <c r="L30" i="13"/>
  <c r="M30" i="13" s="1"/>
  <c r="L31" i="13"/>
  <c r="M31" i="13" s="1"/>
  <c r="O31" i="13" s="1"/>
  <c r="L32" i="13"/>
  <c r="M32" i="13" s="1"/>
  <c r="N32" i="13" s="1"/>
  <c r="L33" i="13"/>
  <c r="M33" i="13" s="1"/>
  <c r="L34" i="13"/>
  <c r="M34" i="13" s="1"/>
  <c r="L35" i="13"/>
  <c r="M35" i="13" s="1"/>
  <c r="L36" i="13"/>
  <c r="M36" i="13" s="1"/>
  <c r="O36" i="13" s="1"/>
  <c r="L37" i="13"/>
  <c r="M37" i="13" s="1"/>
  <c r="L38" i="13"/>
  <c r="M38" i="13" s="1"/>
  <c r="L39" i="13"/>
  <c r="M39" i="13" s="1"/>
  <c r="O39" i="13" s="1"/>
  <c r="L40" i="13"/>
  <c r="M40" i="13" s="1"/>
  <c r="N40" i="13" s="1"/>
  <c r="L41" i="13"/>
  <c r="M41" i="13" s="1"/>
  <c r="L42" i="13"/>
  <c r="M42" i="13" s="1"/>
  <c r="L43" i="13"/>
  <c r="M43" i="13" s="1"/>
  <c r="L44" i="13"/>
  <c r="M44" i="13" s="1"/>
  <c r="O44" i="13" s="1"/>
  <c r="L45" i="13"/>
  <c r="M45" i="13" s="1"/>
  <c r="L46" i="13"/>
  <c r="M46" i="13" s="1"/>
  <c r="L47" i="13"/>
  <c r="M47" i="13" s="1"/>
  <c r="L48" i="13"/>
  <c r="M48" i="13" s="1"/>
  <c r="N48" i="13" s="1"/>
  <c r="L49" i="13"/>
  <c r="M49" i="13" s="1"/>
  <c r="L50" i="13"/>
  <c r="M50" i="13" s="1"/>
  <c r="L51" i="13"/>
  <c r="M51" i="13" s="1"/>
  <c r="L52" i="13"/>
  <c r="M52" i="13" s="1"/>
  <c r="O52" i="13" s="1"/>
  <c r="L53" i="13"/>
  <c r="M53" i="13" s="1"/>
  <c r="L54" i="13"/>
  <c r="M54" i="13" s="1"/>
  <c r="L55" i="13"/>
  <c r="M55" i="13" s="1"/>
  <c r="P55" i="13" s="1"/>
  <c r="L56" i="13"/>
  <c r="M56" i="13" s="1"/>
  <c r="N56" i="13" s="1"/>
  <c r="L57" i="13"/>
  <c r="M57" i="13" s="1"/>
  <c r="L58" i="13"/>
  <c r="M58" i="13" s="1"/>
  <c r="L59" i="13"/>
  <c r="M59" i="13" s="1"/>
  <c r="L60" i="13"/>
  <c r="M60" i="13" s="1"/>
  <c r="O60" i="13" s="1"/>
  <c r="L61" i="13"/>
  <c r="M61" i="13" s="1"/>
  <c r="L2" i="13"/>
  <c r="M2" i="13" s="1"/>
  <c r="P2" i="13" s="1"/>
  <c r="G61" i="13"/>
  <c r="H61" i="13" s="1"/>
  <c r="B61" i="13"/>
  <c r="C61" i="13" s="1"/>
  <c r="D61" i="13" s="1"/>
  <c r="G60" i="13"/>
  <c r="H60" i="13" s="1"/>
  <c r="I60" i="13" s="1"/>
  <c r="B60" i="13"/>
  <c r="C60" i="13" s="1"/>
  <c r="E60" i="13" s="1"/>
  <c r="G59" i="13"/>
  <c r="H59" i="13" s="1"/>
  <c r="B59" i="13"/>
  <c r="C59" i="13" s="1"/>
  <c r="F59" i="13" s="1"/>
  <c r="G58" i="13"/>
  <c r="H58" i="13" s="1"/>
  <c r="J58" i="13" s="1"/>
  <c r="B58" i="13"/>
  <c r="C58" i="13" s="1"/>
  <c r="G57" i="13"/>
  <c r="H57" i="13" s="1"/>
  <c r="K57" i="13" s="1"/>
  <c r="B57" i="13"/>
  <c r="C57" i="13" s="1"/>
  <c r="E57" i="13" s="1"/>
  <c r="G56" i="13"/>
  <c r="H56" i="13" s="1"/>
  <c r="J56" i="13" s="1"/>
  <c r="B56" i="13"/>
  <c r="C56" i="13" s="1"/>
  <c r="G55" i="13"/>
  <c r="H55" i="13" s="1"/>
  <c r="B55" i="13"/>
  <c r="C55" i="13" s="1"/>
  <c r="G54" i="13"/>
  <c r="H54" i="13" s="1"/>
  <c r="B54" i="13"/>
  <c r="C54" i="13" s="1"/>
  <c r="G53" i="13"/>
  <c r="H53" i="13" s="1"/>
  <c r="B53" i="13"/>
  <c r="C53" i="13" s="1"/>
  <c r="G52" i="13"/>
  <c r="H52" i="13" s="1"/>
  <c r="I52" i="13" s="1"/>
  <c r="B52" i="13"/>
  <c r="C52" i="13" s="1"/>
  <c r="E52" i="13" s="1"/>
  <c r="G51" i="13"/>
  <c r="H51" i="13" s="1"/>
  <c r="B51" i="13"/>
  <c r="C51" i="13" s="1"/>
  <c r="D51" i="13" s="1"/>
  <c r="G50" i="13"/>
  <c r="H50" i="13" s="1"/>
  <c r="J50" i="13" s="1"/>
  <c r="B50" i="13"/>
  <c r="C50" i="13" s="1"/>
  <c r="D50" i="13" s="1"/>
  <c r="G49" i="13"/>
  <c r="H49" i="13" s="1"/>
  <c r="B49" i="13"/>
  <c r="C49" i="13" s="1"/>
  <c r="E49" i="13" s="1"/>
  <c r="G48" i="13"/>
  <c r="H48" i="13" s="1"/>
  <c r="B48" i="13"/>
  <c r="C48" i="13" s="1"/>
  <c r="G47" i="13"/>
  <c r="H47" i="13" s="1"/>
  <c r="J47" i="13" s="1"/>
  <c r="B47" i="13"/>
  <c r="C47" i="13" s="1"/>
  <c r="G46" i="13"/>
  <c r="H46" i="13" s="1"/>
  <c r="B46" i="13"/>
  <c r="C46" i="13" s="1"/>
  <c r="D46" i="13" s="1"/>
  <c r="G45" i="13"/>
  <c r="H45" i="13" s="1"/>
  <c r="I45" i="13" s="1"/>
  <c r="B45" i="13"/>
  <c r="C45" i="13" s="1"/>
  <c r="G44" i="13"/>
  <c r="H44" i="13" s="1"/>
  <c r="B44" i="13"/>
  <c r="C44" i="13" s="1"/>
  <c r="G43" i="13"/>
  <c r="H43" i="13" s="1"/>
  <c r="B43" i="13"/>
  <c r="C43" i="13" s="1"/>
  <c r="F43" i="13" s="1"/>
  <c r="G42" i="13"/>
  <c r="H42" i="13" s="1"/>
  <c r="K42" i="13" s="1"/>
  <c r="B42" i="13"/>
  <c r="C42" i="13" s="1"/>
  <c r="F42" i="13" s="1"/>
  <c r="G41" i="13"/>
  <c r="H41" i="13" s="1"/>
  <c r="J41" i="13" s="1"/>
  <c r="B41" i="13"/>
  <c r="C41" i="13" s="1"/>
  <c r="E41" i="13" s="1"/>
  <c r="G40" i="13"/>
  <c r="H40" i="13" s="1"/>
  <c r="J40" i="13" s="1"/>
  <c r="B40" i="13"/>
  <c r="C40" i="13" s="1"/>
  <c r="E40" i="13" s="1"/>
  <c r="G39" i="13"/>
  <c r="H39" i="13" s="1"/>
  <c r="K39" i="13" s="1"/>
  <c r="B39" i="13"/>
  <c r="C39" i="13" s="1"/>
  <c r="G38" i="13"/>
  <c r="H38" i="13" s="1"/>
  <c r="B38" i="13"/>
  <c r="C38" i="13" s="1"/>
  <c r="G37" i="13"/>
  <c r="H37" i="13" s="1"/>
  <c r="B37" i="13"/>
  <c r="C37" i="13" s="1"/>
  <c r="G36" i="13"/>
  <c r="H36" i="13" s="1"/>
  <c r="B36" i="13"/>
  <c r="C36" i="13" s="1"/>
  <c r="G35" i="13"/>
  <c r="H35" i="13" s="1"/>
  <c r="B35" i="13"/>
  <c r="C35" i="13" s="1"/>
  <c r="F35" i="13" s="1"/>
  <c r="G34" i="13"/>
  <c r="H34" i="13" s="1"/>
  <c r="I34" i="13" s="1"/>
  <c r="B34" i="13"/>
  <c r="C34" i="13" s="1"/>
  <c r="G33" i="13"/>
  <c r="H33" i="13" s="1"/>
  <c r="I33" i="13" s="1"/>
  <c r="B33" i="13"/>
  <c r="C33" i="13" s="1"/>
  <c r="G32" i="13"/>
  <c r="H32" i="13" s="1"/>
  <c r="J32" i="13" s="1"/>
  <c r="B32" i="13"/>
  <c r="C32" i="13" s="1"/>
  <c r="G31" i="13"/>
  <c r="H31" i="13" s="1"/>
  <c r="B31" i="13"/>
  <c r="C31" i="13" s="1"/>
  <c r="D31" i="13" s="1"/>
  <c r="G30" i="13"/>
  <c r="H30" i="13" s="1"/>
  <c r="K30" i="13" s="1"/>
  <c r="B30" i="13"/>
  <c r="C30" i="13" s="1"/>
  <c r="G29" i="13"/>
  <c r="H29" i="13" s="1"/>
  <c r="I29" i="13" s="1"/>
  <c r="B29" i="13"/>
  <c r="C29" i="13" s="1"/>
  <c r="G28" i="13"/>
  <c r="H28" i="13" s="1"/>
  <c r="B28" i="13"/>
  <c r="C28" i="13" s="1"/>
  <c r="G27" i="13"/>
  <c r="H27" i="13" s="1"/>
  <c r="B27" i="13"/>
  <c r="C27" i="13" s="1"/>
  <c r="F27" i="13" s="1"/>
  <c r="G26" i="13"/>
  <c r="H26" i="13" s="1"/>
  <c r="B26" i="13"/>
  <c r="C26" i="13" s="1"/>
  <c r="G25" i="13"/>
  <c r="H25" i="13" s="1"/>
  <c r="B25" i="13"/>
  <c r="C25" i="13" s="1"/>
  <c r="G24" i="13"/>
  <c r="H24" i="13" s="1"/>
  <c r="B24" i="13"/>
  <c r="C24" i="13" s="1"/>
  <c r="G23" i="13"/>
  <c r="H23" i="13" s="1"/>
  <c r="B23" i="13"/>
  <c r="C23" i="13" s="1"/>
  <c r="D23" i="13" s="1"/>
  <c r="G22" i="13"/>
  <c r="H22" i="13" s="1"/>
  <c r="I22" i="13" s="1"/>
  <c r="B22" i="13"/>
  <c r="C22" i="13" s="1"/>
  <c r="G21" i="13"/>
  <c r="H21" i="13" s="1"/>
  <c r="B21" i="13"/>
  <c r="C21" i="13" s="1"/>
  <c r="D21" i="13" s="1"/>
  <c r="G20" i="13"/>
  <c r="H20" i="13" s="1"/>
  <c r="I20" i="13" s="1"/>
  <c r="B20" i="13"/>
  <c r="C20" i="13" s="1"/>
  <c r="G19" i="13"/>
  <c r="H19" i="13" s="1"/>
  <c r="B19" i="13"/>
  <c r="C19" i="13" s="1"/>
  <c r="E19" i="13" s="1"/>
  <c r="G18" i="13"/>
  <c r="H18" i="13" s="1"/>
  <c r="K18" i="13" s="1"/>
  <c r="B18" i="13"/>
  <c r="C18" i="13" s="1"/>
  <c r="G17" i="13"/>
  <c r="H17" i="13" s="1"/>
  <c r="B17" i="13"/>
  <c r="C17" i="13" s="1"/>
  <c r="G16" i="13"/>
  <c r="H16" i="13" s="1"/>
  <c r="B16" i="13"/>
  <c r="C16" i="13" s="1"/>
  <c r="G15" i="13"/>
  <c r="H15" i="13" s="1"/>
  <c r="I15" i="13" s="1"/>
  <c r="B15" i="13"/>
  <c r="C15" i="13" s="1"/>
  <c r="G14" i="13"/>
  <c r="H14" i="13" s="1"/>
  <c r="B14" i="13"/>
  <c r="C14" i="13" s="1"/>
  <c r="G13" i="13"/>
  <c r="H13" i="13" s="1"/>
  <c r="K13" i="13" s="1"/>
  <c r="B13" i="13"/>
  <c r="C13" i="13" s="1"/>
  <c r="D13" i="13" s="1"/>
  <c r="G12" i="13"/>
  <c r="H12" i="13" s="1"/>
  <c r="B12" i="13"/>
  <c r="C12" i="13" s="1"/>
  <c r="G11" i="13"/>
  <c r="H11" i="13" s="1"/>
  <c r="B11" i="13"/>
  <c r="C11" i="13" s="1"/>
  <c r="E11" i="13" s="1"/>
  <c r="G10" i="13"/>
  <c r="H10" i="13" s="1"/>
  <c r="J10" i="13" s="1"/>
  <c r="B10" i="13"/>
  <c r="C10" i="13" s="1"/>
  <c r="G9" i="13"/>
  <c r="H9" i="13" s="1"/>
  <c r="B9" i="13"/>
  <c r="C9" i="13" s="1"/>
  <c r="G8" i="13"/>
  <c r="H8" i="13" s="1"/>
  <c r="B8" i="13"/>
  <c r="C8" i="13" s="1"/>
  <c r="G7" i="13"/>
  <c r="H7" i="13" s="1"/>
  <c r="B7" i="13"/>
  <c r="C7" i="13" s="1"/>
  <c r="G6" i="13"/>
  <c r="H6" i="13" s="1"/>
  <c r="B6" i="13"/>
  <c r="C6" i="13" s="1"/>
  <c r="G5" i="13"/>
  <c r="H5" i="13" s="1"/>
  <c r="B5" i="13"/>
  <c r="C5" i="13" s="1"/>
  <c r="F5" i="13" s="1"/>
  <c r="G4" i="13"/>
  <c r="H4" i="13" s="1"/>
  <c r="K4" i="13" s="1"/>
  <c r="B4" i="13"/>
  <c r="C4" i="13" s="1"/>
  <c r="G3" i="13"/>
  <c r="H3" i="13" s="1"/>
  <c r="B3" i="13"/>
  <c r="C3" i="13" s="1"/>
  <c r="F3" i="13" s="1"/>
  <c r="G2" i="13"/>
  <c r="H2" i="13" s="1"/>
  <c r="B2" i="13"/>
  <c r="C2" i="13" s="1"/>
  <c r="F2" i="13" s="1"/>
  <c r="B4" i="11"/>
  <c r="AE4" i="11"/>
  <c r="AE5" i="11"/>
  <c r="AE6" i="11"/>
  <c r="E6" i="18" l="1"/>
  <c r="Y41" i="16"/>
  <c r="D31" i="16"/>
  <c r="I24" i="16"/>
  <c r="J24" i="16"/>
  <c r="U51" i="16"/>
  <c r="Z16" i="16"/>
  <c r="I56" i="16"/>
  <c r="K56" i="16"/>
  <c r="S19" i="16"/>
  <c r="U19" i="16"/>
  <c r="Z59" i="16"/>
  <c r="Y59" i="16"/>
  <c r="O41" i="16"/>
  <c r="P41" i="16"/>
  <c r="J37" i="16"/>
  <c r="I52" i="16"/>
  <c r="U43" i="16"/>
  <c r="S57" i="16"/>
  <c r="Z18" i="16"/>
  <c r="X38" i="16"/>
  <c r="K59" i="16"/>
  <c r="J54" i="16"/>
  <c r="I5" i="16"/>
  <c r="K5" i="16"/>
  <c r="J5" i="16"/>
  <c r="T15" i="16"/>
  <c r="U15" i="16"/>
  <c r="S27" i="16"/>
  <c r="U27" i="16"/>
  <c r="T27" i="16"/>
  <c r="J30" i="16"/>
  <c r="K30" i="16"/>
  <c r="I30" i="16"/>
  <c r="Z39" i="16"/>
  <c r="Y39" i="16"/>
  <c r="X39" i="16"/>
  <c r="X44" i="16"/>
  <c r="Z44" i="16"/>
  <c r="P51" i="16"/>
  <c r="O51" i="16"/>
  <c r="P53" i="16"/>
  <c r="O53" i="16"/>
  <c r="N53" i="16"/>
  <c r="D59" i="16"/>
  <c r="E59" i="16"/>
  <c r="X58" i="16"/>
  <c r="Y58" i="16"/>
  <c r="I2" i="16"/>
  <c r="K2" i="16"/>
  <c r="J2" i="16"/>
  <c r="I14" i="16"/>
  <c r="J14" i="16"/>
  <c r="K14" i="16"/>
  <c r="K22" i="16"/>
  <c r="J22" i="16"/>
  <c r="I22" i="16"/>
  <c r="S42" i="16"/>
  <c r="U42" i="16"/>
  <c r="U5" i="16"/>
  <c r="S5" i="16"/>
  <c r="O11" i="16"/>
  <c r="N11" i="16"/>
  <c r="S31" i="16"/>
  <c r="T31" i="16"/>
  <c r="U46" i="16"/>
  <c r="S46" i="16"/>
  <c r="T46" i="16"/>
  <c r="P7" i="16"/>
  <c r="N7" i="16"/>
  <c r="K10" i="16"/>
  <c r="I10" i="16"/>
  <c r="J10" i="16"/>
  <c r="J16" i="16"/>
  <c r="K16" i="16"/>
  <c r="X46" i="16"/>
  <c r="Y46" i="16"/>
  <c r="J18" i="16"/>
  <c r="K18" i="16"/>
  <c r="S25" i="16"/>
  <c r="U25" i="16"/>
  <c r="T25" i="16"/>
  <c r="Z40" i="16"/>
  <c r="X40" i="16"/>
  <c r="X50" i="16"/>
  <c r="Y50" i="16"/>
  <c r="Z50" i="16"/>
  <c r="T13" i="16"/>
  <c r="U13" i="16"/>
  <c r="J43" i="16"/>
  <c r="K43" i="16"/>
  <c r="D53" i="16"/>
  <c r="F53" i="16"/>
  <c r="T58" i="16"/>
  <c r="U58" i="16"/>
  <c r="X7" i="16"/>
  <c r="D12" i="16"/>
  <c r="T23" i="16"/>
  <c r="K24" i="16"/>
  <c r="I28" i="16"/>
  <c r="X30" i="16"/>
  <c r="X32" i="16"/>
  <c r="O34" i="16"/>
  <c r="Y35" i="16"/>
  <c r="Y38" i="16"/>
  <c r="S39" i="16"/>
  <c r="S41" i="16"/>
  <c r="I46" i="16"/>
  <c r="N49" i="16"/>
  <c r="E52" i="16"/>
  <c r="N57" i="16"/>
  <c r="N59" i="16"/>
  <c r="N61" i="16"/>
  <c r="Y8" i="16"/>
  <c r="Y22" i="16"/>
  <c r="U23" i="16"/>
  <c r="J28" i="16"/>
  <c r="Y30" i="16"/>
  <c r="Z35" i="16"/>
  <c r="U36" i="16"/>
  <c r="T39" i="16"/>
  <c r="U41" i="16"/>
  <c r="J46" i="16"/>
  <c r="O49" i="16"/>
  <c r="S51" i="16"/>
  <c r="O57" i="16"/>
  <c r="O59" i="16"/>
  <c r="O61" i="16"/>
  <c r="Z8" i="16"/>
  <c r="D33" i="16"/>
  <c r="T44" i="16"/>
  <c r="I8" i="16"/>
  <c r="Z9" i="16"/>
  <c r="I12" i="16"/>
  <c r="T21" i="16"/>
  <c r="I26" i="16"/>
  <c r="Y26" i="16"/>
  <c r="K52" i="16"/>
  <c r="Y52" i="16"/>
  <c r="T54" i="16"/>
  <c r="U59" i="16"/>
  <c r="I60" i="16"/>
  <c r="Z60" i="16"/>
  <c r="U61" i="16"/>
  <c r="J8" i="16"/>
  <c r="J12" i="16"/>
  <c r="I20" i="16"/>
  <c r="Y20" i="16"/>
  <c r="U21" i="16"/>
  <c r="J26" i="16"/>
  <c r="N30" i="16"/>
  <c r="I32" i="16"/>
  <c r="I34" i="16"/>
  <c r="I36" i="16"/>
  <c r="N41" i="16"/>
  <c r="Y42" i="16"/>
  <c r="I44" i="16"/>
  <c r="S45" i="16"/>
  <c r="S49" i="16"/>
  <c r="Z52" i="16"/>
  <c r="J60" i="16"/>
  <c r="J20" i="16"/>
  <c r="J34" i="16"/>
  <c r="O39" i="16"/>
  <c r="Z42" i="16"/>
  <c r="J44" i="16"/>
  <c r="U49" i="16"/>
  <c r="Y51" i="16"/>
  <c r="X16" i="16"/>
  <c r="X18" i="16"/>
  <c r="T19" i="16"/>
  <c r="Y24" i="16"/>
  <c r="P39" i="16"/>
  <c r="X59" i="16"/>
  <c r="D41" i="16"/>
  <c r="F41" i="16"/>
  <c r="E41" i="16"/>
  <c r="D51" i="16"/>
  <c r="F51" i="16"/>
  <c r="F3" i="16"/>
  <c r="D3" i="16"/>
  <c r="D49" i="16"/>
  <c r="E49" i="16"/>
  <c r="D36" i="16"/>
  <c r="F36" i="16"/>
  <c r="E36" i="16"/>
  <c r="F44" i="16"/>
  <c r="E44" i="16"/>
  <c r="E9" i="16"/>
  <c r="F12" i="16"/>
  <c r="E31" i="16"/>
  <c r="F57" i="16"/>
  <c r="F9" i="16"/>
  <c r="F10" i="16"/>
  <c r="D52" i="16"/>
  <c r="E53" i="16"/>
  <c r="E57" i="16"/>
  <c r="F59" i="16"/>
  <c r="E60" i="16"/>
  <c r="U4" i="16"/>
  <c r="T4" i="16"/>
  <c r="S4" i="16"/>
  <c r="N6" i="16"/>
  <c r="O6" i="16"/>
  <c r="P6" i="16"/>
  <c r="E8" i="16"/>
  <c r="F8" i="16"/>
  <c r="D8" i="16"/>
  <c r="K3" i="16"/>
  <c r="J3" i="16"/>
  <c r="I3" i="16"/>
  <c r="P5" i="16"/>
  <c r="O5" i="16"/>
  <c r="N5" i="16"/>
  <c r="U6" i="16"/>
  <c r="T6" i="16"/>
  <c r="S6" i="16"/>
  <c r="S3" i="16"/>
  <c r="T3" i="16"/>
  <c r="U3" i="16"/>
  <c r="P3" i="16"/>
  <c r="O3" i="16"/>
  <c r="N3" i="16"/>
  <c r="Z3" i="16"/>
  <c r="Y3" i="16"/>
  <c r="X3" i="16"/>
  <c r="F2" i="16"/>
  <c r="E2" i="16"/>
  <c r="D2" i="16"/>
  <c r="Z2" i="16"/>
  <c r="Y2" i="16"/>
  <c r="X2" i="16"/>
  <c r="F4" i="16"/>
  <c r="E4" i="16"/>
  <c r="D4" i="16"/>
  <c r="Z5" i="16"/>
  <c r="Y5" i="16"/>
  <c r="X5" i="16"/>
  <c r="U10" i="16"/>
  <c r="S10" i="16"/>
  <c r="T10" i="16"/>
  <c r="P2" i="16"/>
  <c r="O2" i="16"/>
  <c r="N2" i="16"/>
  <c r="K4" i="16"/>
  <c r="J4" i="16"/>
  <c r="I4" i="16"/>
  <c r="F6" i="16"/>
  <c r="E6" i="16"/>
  <c r="D6" i="16"/>
  <c r="K7" i="16"/>
  <c r="I7" i="16"/>
  <c r="J7" i="16"/>
  <c r="U8" i="16"/>
  <c r="T8" i="16"/>
  <c r="S8" i="16"/>
  <c r="N4" i="16"/>
  <c r="O4" i="16"/>
  <c r="P4" i="16"/>
  <c r="K6" i="16"/>
  <c r="J6" i="16"/>
  <c r="I6" i="16"/>
  <c r="X14" i="16"/>
  <c r="Z14" i="16"/>
  <c r="Z17" i="16"/>
  <c r="Y17" i="16"/>
  <c r="X17" i="16"/>
  <c r="N29" i="16"/>
  <c r="P29" i="16"/>
  <c r="O29" i="16"/>
  <c r="T2" i="16"/>
  <c r="E3" i="16"/>
  <c r="X4" i="16"/>
  <c r="D5" i="16"/>
  <c r="T5" i="16"/>
  <c r="X6" i="16"/>
  <c r="E7" i="16"/>
  <c r="O7" i="16"/>
  <c r="Z7" i="16"/>
  <c r="T9" i="16"/>
  <c r="S9" i="16"/>
  <c r="Y10" i="16"/>
  <c r="E11" i="16"/>
  <c r="P11" i="16"/>
  <c r="P13" i="16"/>
  <c r="O13" i="16"/>
  <c r="N13" i="16"/>
  <c r="Y14" i="16"/>
  <c r="P19" i="16"/>
  <c r="O19" i="16"/>
  <c r="N19" i="16"/>
  <c r="P43" i="16"/>
  <c r="O43" i="16"/>
  <c r="N43" i="16"/>
  <c r="P8" i="16"/>
  <c r="O8" i="16"/>
  <c r="P15" i="16"/>
  <c r="O15" i="16"/>
  <c r="N15" i="16"/>
  <c r="S18" i="16"/>
  <c r="U18" i="16"/>
  <c r="U2" i="16"/>
  <c r="Y4" i="16"/>
  <c r="E5" i="16"/>
  <c r="Y6" i="16"/>
  <c r="F7" i="16"/>
  <c r="K9" i="16"/>
  <c r="I9" i="16"/>
  <c r="U9" i="16"/>
  <c r="Z10" i="16"/>
  <c r="F11" i="16"/>
  <c r="F17" i="16"/>
  <c r="E17" i="16"/>
  <c r="D17" i="16"/>
  <c r="Y27" i="16"/>
  <c r="X27" i="16"/>
  <c r="Z27" i="16"/>
  <c r="F14" i="16"/>
  <c r="E14" i="16"/>
  <c r="D14" i="16"/>
  <c r="P21" i="16"/>
  <c r="O21" i="16"/>
  <c r="N21" i="16"/>
  <c r="J9" i="16"/>
  <c r="P10" i="16"/>
  <c r="O10" i="16"/>
  <c r="T11" i="16"/>
  <c r="S11" i="16"/>
  <c r="D15" i="16"/>
  <c r="F15" i="16"/>
  <c r="O16" i="16"/>
  <c r="P16" i="16"/>
  <c r="N16" i="16"/>
  <c r="F18" i="16"/>
  <c r="E18" i="16"/>
  <c r="D18" i="16"/>
  <c r="Y25" i="16"/>
  <c r="X25" i="16"/>
  <c r="Z25" i="16"/>
  <c r="U32" i="16"/>
  <c r="T32" i="16"/>
  <c r="S32" i="16"/>
  <c r="P33" i="16"/>
  <c r="O33" i="16"/>
  <c r="N33" i="16"/>
  <c r="E20" i="16"/>
  <c r="D20" i="16"/>
  <c r="F20" i="16"/>
  <c r="T7" i="16"/>
  <c r="S7" i="16"/>
  <c r="X9" i="16"/>
  <c r="D10" i="16"/>
  <c r="N10" i="16"/>
  <c r="K11" i="16"/>
  <c r="I11" i="16"/>
  <c r="U11" i="16"/>
  <c r="P12" i="16"/>
  <c r="O12" i="16"/>
  <c r="N12" i="16"/>
  <c r="D13" i="16"/>
  <c r="F13" i="16"/>
  <c r="E15" i="16"/>
  <c r="Z15" i="16"/>
  <c r="Y15" i="16"/>
  <c r="X15" i="16"/>
  <c r="S16" i="16"/>
  <c r="U16" i="16"/>
  <c r="Y23" i="16"/>
  <c r="X23" i="16"/>
  <c r="Z23" i="16"/>
  <c r="E28" i="16"/>
  <c r="D28" i="16"/>
  <c r="F28" i="16"/>
  <c r="U12" i="16"/>
  <c r="S12" i="16"/>
  <c r="Z13" i="16"/>
  <c r="Y13" i="16"/>
  <c r="X13" i="16"/>
  <c r="P17" i="16"/>
  <c r="O17" i="16"/>
  <c r="N17" i="16"/>
  <c r="Y21" i="16"/>
  <c r="X21" i="16"/>
  <c r="Z21" i="16"/>
  <c r="E26" i="16"/>
  <c r="D26" i="16"/>
  <c r="F26" i="16"/>
  <c r="P27" i="16"/>
  <c r="O27" i="16"/>
  <c r="N27" i="16"/>
  <c r="Z28" i="16"/>
  <c r="Y28" i="16"/>
  <c r="X28" i="16"/>
  <c r="N9" i="16"/>
  <c r="X11" i="16"/>
  <c r="T12" i="16"/>
  <c r="P14" i="16"/>
  <c r="O14" i="16"/>
  <c r="N14" i="16"/>
  <c r="S17" i="16"/>
  <c r="T17" i="16"/>
  <c r="F19" i="16"/>
  <c r="E19" i="16"/>
  <c r="D19" i="16"/>
  <c r="Y19" i="16"/>
  <c r="X19" i="16"/>
  <c r="Z19" i="16"/>
  <c r="E24" i="16"/>
  <c r="D24" i="16"/>
  <c r="F24" i="16"/>
  <c r="P25" i="16"/>
  <c r="O25" i="16"/>
  <c r="N25" i="16"/>
  <c r="F29" i="16"/>
  <c r="E29" i="16"/>
  <c r="D29" i="16"/>
  <c r="N38" i="16"/>
  <c r="O38" i="16"/>
  <c r="P38" i="16"/>
  <c r="P9" i="16"/>
  <c r="Z11" i="16"/>
  <c r="X12" i="16"/>
  <c r="Z12" i="16"/>
  <c r="U14" i="16"/>
  <c r="T14" i="16"/>
  <c r="S14" i="16"/>
  <c r="F16" i="16"/>
  <c r="E16" i="16"/>
  <c r="D16" i="16"/>
  <c r="O18" i="16"/>
  <c r="P18" i="16"/>
  <c r="N18" i="16"/>
  <c r="E22" i="16"/>
  <c r="D22" i="16"/>
  <c r="F22" i="16"/>
  <c r="P23" i="16"/>
  <c r="O23" i="16"/>
  <c r="N23" i="16"/>
  <c r="U50" i="16"/>
  <c r="T50" i="16"/>
  <c r="S50" i="16"/>
  <c r="Z36" i="16"/>
  <c r="X36" i="16"/>
  <c r="T40" i="16"/>
  <c r="S40" i="16"/>
  <c r="D47" i="16"/>
  <c r="F47" i="16"/>
  <c r="E47" i="16"/>
  <c r="Z47" i="16"/>
  <c r="Y47" i="16"/>
  <c r="X47" i="16"/>
  <c r="X20" i="16"/>
  <c r="X22" i="16"/>
  <c r="X24" i="16"/>
  <c r="X26" i="16"/>
  <c r="T29" i="16"/>
  <c r="T33" i="16"/>
  <c r="S33" i="16"/>
  <c r="P35" i="16"/>
  <c r="N35" i="16"/>
  <c r="Y36" i="16"/>
  <c r="U40" i="16"/>
  <c r="D43" i="16"/>
  <c r="E43" i="16"/>
  <c r="F50" i="16"/>
  <c r="D50" i="16"/>
  <c r="T52" i="16"/>
  <c r="S52" i="16"/>
  <c r="K29" i="16"/>
  <c r="I29" i="16"/>
  <c r="U29" i="16"/>
  <c r="D34" i="16"/>
  <c r="E34" i="16"/>
  <c r="P37" i="16"/>
  <c r="N37" i="16"/>
  <c r="O37" i="16"/>
  <c r="U38" i="16"/>
  <c r="S38" i="16"/>
  <c r="T38" i="16"/>
  <c r="Z45" i="16"/>
  <c r="Y45" i="16"/>
  <c r="X45" i="16"/>
  <c r="J47" i="16"/>
  <c r="I47" i="16"/>
  <c r="D55" i="16"/>
  <c r="F55" i="16"/>
  <c r="E55" i="16"/>
  <c r="Z55" i="16"/>
  <c r="Y55" i="16"/>
  <c r="X55" i="16"/>
  <c r="I13" i="16"/>
  <c r="I15" i="16"/>
  <c r="N20" i="16"/>
  <c r="D21" i="16"/>
  <c r="N22" i="16"/>
  <c r="D23" i="16"/>
  <c r="N24" i="16"/>
  <c r="D25" i="16"/>
  <c r="N26" i="16"/>
  <c r="D27" i="16"/>
  <c r="N28" i="16"/>
  <c r="J29" i="16"/>
  <c r="K31" i="16"/>
  <c r="I31" i="16"/>
  <c r="U31" i="16"/>
  <c r="K32" i="16"/>
  <c r="Y32" i="16"/>
  <c r="E33" i="16"/>
  <c r="F34" i="16"/>
  <c r="T34" i="16"/>
  <c r="U34" i="16"/>
  <c r="P36" i="16"/>
  <c r="N36" i="16"/>
  <c r="T37" i="16"/>
  <c r="S37" i="16"/>
  <c r="F38" i="16"/>
  <c r="E38" i="16"/>
  <c r="D38" i="16"/>
  <c r="D39" i="16"/>
  <c r="E39" i="16"/>
  <c r="U44" i="16"/>
  <c r="K47" i="16"/>
  <c r="U48" i="16"/>
  <c r="T48" i="16"/>
  <c r="S48" i="16"/>
  <c r="J51" i="16"/>
  <c r="I51" i="16"/>
  <c r="J13" i="16"/>
  <c r="J15" i="16"/>
  <c r="P20" i="16"/>
  <c r="E21" i="16"/>
  <c r="P22" i="16"/>
  <c r="E23" i="16"/>
  <c r="P24" i="16"/>
  <c r="E25" i="16"/>
  <c r="P26" i="16"/>
  <c r="E27" i="16"/>
  <c r="P28" i="16"/>
  <c r="Y29" i="16"/>
  <c r="X29" i="16"/>
  <c r="J33" i="16"/>
  <c r="I33" i="16"/>
  <c r="X33" i="16"/>
  <c r="Z33" i="16"/>
  <c r="D35" i="16"/>
  <c r="F35" i="16"/>
  <c r="T35" i="16"/>
  <c r="U35" i="16"/>
  <c r="S35" i="16"/>
  <c r="J38" i="16"/>
  <c r="I38" i="16"/>
  <c r="F40" i="16"/>
  <c r="D40" i="16"/>
  <c r="E40" i="16"/>
  <c r="I42" i="16"/>
  <c r="J42" i="16"/>
  <c r="Z43" i="16"/>
  <c r="X43" i="16"/>
  <c r="J49" i="16"/>
  <c r="I49" i="16"/>
  <c r="J55" i="16"/>
  <c r="K55" i="16"/>
  <c r="I55" i="16"/>
  <c r="P56" i="16"/>
  <c r="N56" i="16"/>
  <c r="O56" i="16"/>
  <c r="J58" i="16"/>
  <c r="I58" i="16"/>
  <c r="K58" i="16"/>
  <c r="D61" i="16"/>
  <c r="F61" i="16"/>
  <c r="E61" i="16"/>
  <c r="S13" i="16"/>
  <c r="S15" i="16"/>
  <c r="I16" i="16"/>
  <c r="I17" i="16"/>
  <c r="I18" i="16"/>
  <c r="I19" i="16"/>
  <c r="U28" i="16"/>
  <c r="T28" i="16"/>
  <c r="Z29" i="16"/>
  <c r="E30" i="16"/>
  <c r="D30" i="16"/>
  <c r="P30" i="16"/>
  <c r="Y31" i="16"/>
  <c r="X31" i="16"/>
  <c r="N32" i="16"/>
  <c r="K33" i="16"/>
  <c r="Y33" i="16"/>
  <c r="X34" i="16"/>
  <c r="Y34" i="16"/>
  <c r="E35" i="16"/>
  <c r="F37" i="16"/>
  <c r="D37" i="16"/>
  <c r="K38" i="16"/>
  <c r="K40" i="16"/>
  <c r="I40" i="16"/>
  <c r="J40" i="16"/>
  <c r="K42" i="16"/>
  <c r="Y43" i="16"/>
  <c r="P47" i="16"/>
  <c r="O47" i="16"/>
  <c r="N47" i="16"/>
  <c r="K49" i="16"/>
  <c r="J61" i="16"/>
  <c r="I61" i="16"/>
  <c r="K61" i="16"/>
  <c r="J17" i="16"/>
  <c r="J19" i="16"/>
  <c r="U20" i="16"/>
  <c r="T20" i="16"/>
  <c r="K21" i="16"/>
  <c r="I21" i="16"/>
  <c r="U22" i="16"/>
  <c r="T22" i="16"/>
  <c r="K23" i="16"/>
  <c r="I23" i="16"/>
  <c r="U24" i="16"/>
  <c r="T24" i="16"/>
  <c r="K25" i="16"/>
  <c r="I25" i="16"/>
  <c r="U26" i="16"/>
  <c r="T26" i="16"/>
  <c r="K27" i="16"/>
  <c r="I27" i="16"/>
  <c r="U30" i="16"/>
  <c r="T30" i="16"/>
  <c r="N31" i="16"/>
  <c r="P31" i="16"/>
  <c r="E32" i="16"/>
  <c r="D32" i="16"/>
  <c r="P32" i="16"/>
  <c r="J35" i="16"/>
  <c r="I35" i="16"/>
  <c r="X37" i="16"/>
  <c r="Z37" i="16"/>
  <c r="N40" i="16"/>
  <c r="O40" i="16"/>
  <c r="P42" i="16"/>
  <c r="N42" i="16"/>
  <c r="O42" i="16"/>
  <c r="J53" i="16"/>
  <c r="K53" i="16"/>
  <c r="I53" i="16"/>
  <c r="X54" i="16"/>
  <c r="Z54" i="16"/>
  <c r="F56" i="16"/>
  <c r="E56" i="16"/>
  <c r="D56" i="16"/>
  <c r="S60" i="16"/>
  <c r="U60" i="16"/>
  <c r="T60" i="16"/>
  <c r="J39" i="16"/>
  <c r="K39" i="16"/>
  <c r="F42" i="16"/>
  <c r="E42" i="16"/>
  <c r="J45" i="16"/>
  <c r="K45" i="16"/>
  <c r="T47" i="16"/>
  <c r="S47" i="16"/>
  <c r="Z49" i="16"/>
  <c r="Y49" i="16"/>
  <c r="X49" i="16"/>
  <c r="K50" i="16"/>
  <c r="J50" i="16"/>
  <c r="I50" i="16"/>
  <c r="T55" i="16"/>
  <c r="U55" i="16"/>
  <c r="S55" i="16"/>
  <c r="N34" i="16"/>
  <c r="S36" i="16"/>
  <c r="I37" i="16"/>
  <c r="I39" i="16"/>
  <c r="X41" i="16"/>
  <c r="D42" i="16"/>
  <c r="T42" i="16"/>
  <c r="I45" i="16"/>
  <c r="F48" i="16"/>
  <c r="D48" i="16"/>
  <c r="P50" i="16"/>
  <c r="N50" i="16"/>
  <c r="T53" i="16"/>
  <c r="U53" i="16"/>
  <c r="F54" i="16"/>
  <c r="E54" i="16"/>
  <c r="X56" i="16"/>
  <c r="Z56" i="16"/>
  <c r="Y56" i="16"/>
  <c r="J57" i="16"/>
  <c r="K57" i="16"/>
  <c r="I57" i="16"/>
  <c r="Z57" i="16"/>
  <c r="X57" i="16"/>
  <c r="P58" i="16"/>
  <c r="N58" i="16"/>
  <c r="O58" i="16"/>
  <c r="K36" i="16"/>
  <c r="Y40" i="16"/>
  <c r="P45" i="16"/>
  <c r="O45" i="16"/>
  <c r="P46" i="16"/>
  <c r="N46" i="16"/>
  <c r="K48" i="16"/>
  <c r="J48" i="16"/>
  <c r="X48" i="16"/>
  <c r="Y48" i="16"/>
  <c r="Z53" i="16"/>
  <c r="Y53" i="16"/>
  <c r="J41" i="16"/>
  <c r="K41" i="16"/>
  <c r="D45" i="16"/>
  <c r="F45" i="16"/>
  <c r="F46" i="16"/>
  <c r="E46" i="16"/>
  <c r="P48" i="16"/>
  <c r="N48" i="16"/>
  <c r="O48" i="16"/>
  <c r="P54" i="16"/>
  <c r="N54" i="16"/>
  <c r="O55" i="16"/>
  <c r="N55" i="16"/>
  <c r="U56" i="16"/>
  <c r="T56" i="16"/>
  <c r="F58" i="16"/>
  <c r="E58" i="16"/>
  <c r="D58" i="16"/>
  <c r="P44" i="16"/>
  <c r="N44" i="16"/>
  <c r="P60" i="16"/>
  <c r="N60" i="16"/>
  <c r="I43" i="16"/>
  <c r="S43" i="16"/>
  <c r="D44" i="16"/>
  <c r="O44" i="16"/>
  <c r="Y44" i="16"/>
  <c r="F49" i="16"/>
  <c r="E51" i="16"/>
  <c r="N51" i="16"/>
  <c r="X51" i="16"/>
  <c r="I54" i="16"/>
  <c r="S54" i="16"/>
  <c r="U57" i="16"/>
  <c r="Z58" i="16"/>
  <c r="I59" i="16"/>
  <c r="S59" i="16"/>
  <c r="D60" i="16"/>
  <c r="O60" i="16"/>
  <c r="Y60" i="16"/>
  <c r="S61" i="16"/>
  <c r="U45" i="16"/>
  <c r="Z46" i="16"/>
  <c r="S58" i="16"/>
  <c r="P52" i="16"/>
  <c r="N52" i="16"/>
  <c r="Z61" i="16"/>
  <c r="Y61" i="16"/>
  <c r="Z44" i="14"/>
  <c r="Z60" i="14"/>
  <c r="X4" i="14"/>
  <c r="Z12" i="14"/>
  <c r="Y4" i="14"/>
  <c r="Z28" i="14"/>
  <c r="X50" i="14"/>
  <c r="Z50" i="14"/>
  <c r="Y22" i="14"/>
  <c r="X22" i="14"/>
  <c r="Z57" i="14"/>
  <c r="X57" i="14"/>
  <c r="Y57" i="14"/>
  <c r="Y38" i="14"/>
  <c r="X38" i="14"/>
  <c r="X20" i="14"/>
  <c r="Y20" i="14"/>
  <c r="Z20" i="14"/>
  <c r="Z9" i="14"/>
  <c r="X9" i="14"/>
  <c r="Y9" i="14"/>
  <c r="Y54" i="14"/>
  <c r="X54" i="14"/>
  <c r="X36" i="14"/>
  <c r="Y36" i="14"/>
  <c r="Z36" i="14"/>
  <c r="X18" i="14"/>
  <c r="Z18" i="14"/>
  <c r="Z25" i="14"/>
  <c r="X25" i="14"/>
  <c r="Y25" i="14"/>
  <c r="X52" i="14"/>
  <c r="Y52" i="14"/>
  <c r="Z52" i="14"/>
  <c r="X34" i="14"/>
  <c r="Z34" i="14"/>
  <c r="Y6" i="14"/>
  <c r="X6" i="14"/>
  <c r="Z41" i="14"/>
  <c r="X41" i="14"/>
  <c r="Y41" i="14"/>
  <c r="X62" i="14"/>
  <c r="X46" i="14"/>
  <c r="X30" i="14"/>
  <c r="X14" i="14"/>
  <c r="Y49" i="14"/>
  <c r="Y33" i="14"/>
  <c r="Y17" i="14"/>
  <c r="Z58" i="14"/>
  <c r="X49" i="14"/>
  <c r="Z42" i="14"/>
  <c r="X33" i="14"/>
  <c r="Z26" i="14"/>
  <c r="X17" i="14"/>
  <c r="Z10" i="14"/>
  <c r="Y60" i="14"/>
  <c r="Y44" i="14"/>
  <c r="Y28" i="14"/>
  <c r="Y12" i="14"/>
  <c r="O39" i="15"/>
  <c r="T16" i="15"/>
  <c r="U16" i="15"/>
  <c r="K36" i="15"/>
  <c r="T40" i="15"/>
  <c r="D44" i="15"/>
  <c r="I38" i="15"/>
  <c r="I49" i="15"/>
  <c r="E8" i="15"/>
  <c r="X56" i="14"/>
  <c r="Y56" i="14"/>
  <c r="Z56" i="14"/>
  <c r="X40" i="14"/>
  <c r="Y40" i="14"/>
  <c r="Z40" i="14"/>
  <c r="X24" i="14"/>
  <c r="Y24" i="14"/>
  <c r="Z24" i="14"/>
  <c r="X8" i="14"/>
  <c r="Y8" i="14"/>
  <c r="Z8" i="14"/>
  <c r="X61" i="14"/>
  <c r="Y61" i="14"/>
  <c r="Z61" i="14"/>
  <c r="X55" i="14"/>
  <c r="Y55" i="14"/>
  <c r="Z55" i="14"/>
  <c r="X45" i="14"/>
  <c r="Y45" i="14"/>
  <c r="Z45" i="14"/>
  <c r="Z39" i="14"/>
  <c r="X39" i="14"/>
  <c r="Y39" i="14"/>
  <c r="X29" i="14"/>
  <c r="Y29" i="14"/>
  <c r="Z29" i="14"/>
  <c r="Z23" i="14"/>
  <c r="X23" i="14"/>
  <c r="Y23" i="14"/>
  <c r="X13" i="14"/>
  <c r="Y13" i="14"/>
  <c r="Z13" i="14"/>
  <c r="X7" i="14"/>
  <c r="Z7" i="14"/>
  <c r="Y7" i="14"/>
  <c r="X48" i="14"/>
  <c r="Y48" i="14"/>
  <c r="Z48" i="14"/>
  <c r="X32" i="14"/>
  <c r="Y32" i="14"/>
  <c r="Z32" i="14"/>
  <c r="X16" i="14"/>
  <c r="Y16" i="14"/>
  <c r="Z16" i="14"/>
  <c r="X63" i="14"/>
  <c r="Y63" i="14"/>
  <c r="Z63" i="14"/>
  <c r="X53" i="14"/>
  <c r="Y53" i="14"/>
  <c r="Z53" i="14"/>
  <c r="X47" i="14"/>
  <c r="Z47" i="14"/>
  <c r="Y47" i="14"/>
  <c r="X37" i="14"/>
  <c r="Y37" i="14"/>
  <c r="Z37" i="14"/>
  <c r="Z31" i="14"/>
  <c r="X31" i="14"/>
  <c r="Y31" i="14"/>
  <c r="X21" i="14"/>
  <c r="Y21" i="14"/>
  <c r="Z21" i="14"/>
  <c r="Z15" i="14"/>
  <c r="X15" i="14"/>
  <c r="Y15" i="14"/>
  <c r="X5" i="14"/>
  <c r="Y5" i="14"/>
  <c r="Z5" i="14"/>
  <c r="Y58" i="14"/>
  <c r="Y50" i="14"/>
  <c r="Y42" i="14"/>
  <c r="Y34" i="14"/>
  <c r="Y26" i="14"/>
  <c r="Y18" i="14"/>
  <c r="Y10" i="14"/>
  <c r="Z59" i="14"/>
  <c r="Z51" i="14"/>
  <c r="Z43" i="14"/>
  <c r="Z35" i="14"/>
  <c r="Z27" i="14"/>
  <c r="Z19" i="14"/>
  <c r="Z11" i="14"/>
  <c r="Z62" i="14"/>
  <c r="Y59" i="14"/>
  <c r="Z54" i="14"/>
  <c r="Y51" i="14"/>
  <c r="Z46" i="14"/>
  <c r="Y43" i="14"/>
  <c r="Z38" i="14"/>
  <c r="Y35" i="14"/>
  <c r="Z30" i="14"/>
  <c r="Y27" i="14"/>
  <c r="Z22" i="14"/>
  <c r="Y19" i="14"/>
  <c r="Z14" i="14"/>
  <c r="Y11" i="14"/>
  <c r="Z6" i="14"/>
  <c r="S7" i="15"/>
  <c r="T7" i="15"/>
  <c r="E17" i="15"/>
  <c r="F17" i="15"/>
  <c r="D17" i="15"/>
  <c r="P20" i="15"/>
  <c r="N20" i="15"/>
  <c r="O11" i="15"/>
  <c r="P11" i="15"/>
  <c r="N11" i="15"/>
  <c r="D31" i="15"/>
  <c r="F31" i="15"/>
  <c r="E31" i="15"/>
  <c r="O60" i="15"/>
  <c r="P60" i="15"/>
  <c r="J2" i="15"/>
  <c r="K2" i="15"/>
  <c r="I2" i="15"/>
  <c r="T8" i="15"/>
  <c r="S8" i="15"/>
  <c r="U8" i="15"/>
  <c r="N33" i="15"/>
  <c r="P33" i="15"/>
  <c r="O33" i="15"/>
  <c r="P46" i="15"/>
  <c r="O46" i="15"/>
  <c r="N46" i="15"/>
  <c r="F48" i="15"/>
  <c r="D48" i="15"/>
  <c r="T57" i="15"/>
  <c r="U57" i="15"/>
  <c r="N10" i="15"/>
  <c r="O10" i="15"/>
  <c r="D23" i="15"/>
  <c r="E23" i="15"/>
  <c r="F23" i="15"/>
  <c r="U47" i="15"/>
  <c r="S47" i="15"/>
  <c r="J6" i="15"/>
  <c r="K6" i="15"/>
  <c r="I6" i="15"/>
  <c r="N25" i="15"/>
  <c r="O25" i="15"/>
  <c r="U43" i="15"/>
  <c r="T43" i="15"/>
  <c r="S43" i="15"/>
  <c r="K56" i="15"/>
  <c r="I56" i="15"/>
  <c r="E58" i="15"/>
  <c r="F58" i="15"/>
  <c r="S15" i="15"/>
  <c r="U15" i="15"/>
  <c r="T15" i="15"/>
  <c r="K41" i="15"/>
  <c r="I41" i="15"/>
  <c r="U55" i="15"/>
  <c r="T55" i="15"/>
  <c r="S55" i="15"/>
  <c r="I13" i="15"/>
  <c r="J13" i="15"/>
  <c r="K13" i="15"/>
  <c r="K53" i="15"/>
  <c r="I53" i="15"/>
  <c r="I14" i="15"/>
  <c r="T30" i="15"/>
  <c r="J38" i="15"/>
  <c r="E44" i="15"/>
  <c r="I45" i="15"/>
  <c r="J49" i="15"/>
  <c r="N50" i="15"/>
  <c r="K55" i="15"/>
  <c r="D56" i="15"/>
  <c r="K14" i="15"/>
  <c r="U30" i="15"/>
  <c r="E56" i="15"/>
  <c r="J5" i="15"/>
  <c r="D9" i="15"/>
  <c r="O18" i="15"/>
  <c r="T22" i="15"/>
  <c r="F9" i="15"/>
  <c r="P18" i="15"/>
  <c r="U22" i="15"/>
  <c r="D37" i="15"/>
  <c r="N39" i="15"/>
  <c r="E37" i="15"/>
  <c r="E16" i="15"/>
  <c r="S16" i="15"/>
  <c r="S18" i="15"/>
  <c r="J36" i="15"/>
  <c r="S40" i="15"/>
  <c r="P52" i="15"/>
  <c r="N53" i="15"/>
  <c r="N58" i="15"/>
  <c r="F16" i="15"/>
  <c r="J28" i="15"/>
  <c r="O58" i="15"/>
  <c r="D7" i="15"/>
  <c r="F7" i="15"/>
  <c r="E7" i="15"/>
  <c r="F12" i="15"/>
  <c r="E12" i="15"/>
  <c r="D12" i="15"/>
  <c r="I3" i="15"/>
  <c r="K3" i="15"/>
  <c r="J3" i="15"/>
  <c r="K7" i="15"/>
  <c r="J7" i="15"/>
  <c r="I7" i="15"/>
  <c r="K10" i="15"/>
  <c r="J10" i="15"/>
  <c r="I10" i="15"/>
  <c r="K12" i="15"/>
  <c r="J12" i="15"/>
  <c r="I12" i="15"/>
  <c r="P3" i="15"/>
  <c r="O3" i="15"/>
  <c r="N3" i="15"/>
  <c r="P7" i="15"/>
  <c r="O7" i="15"/>
  <c r="N7" i="15"/>
  <c r="P12" i="15"/>
  <c r="O12" i="15"/>
  <c r="N12" i="15"/>
  <c r="F5" i="15"/>
  <c r="E5" i="15"/>
  <c r="D5" i="15"/>
  <c r="U3" i="15"/>
  <c r="T3" i="15"/>
  <c r="S3" i="15"/>
  <c r="U12" i="15"/>
  <c r="T12" i="15"/>
  <c r="S12" i="15"/>
  <c r="P14" i="15"/>
  <c r="O14" i="15"/>
  <c r="N14" i="15"/>
  <c r="F4" i="15"/>
  <c r="E4" i="15"/>
  <c r="D4" i="15"/>
  <c r="F13" i="15"/>
  <c r="E13" i="15"/>
  <c r="D13" i="15"/>
  <c r="S14" i="15"/>
  <c r="U14" i="15"/>
  <c r="T14" i="15"/>
  <c r="K17" i="15"/>
  <c r="J17" i="15"/>
  <c r="I17" i="15"/>
  <c r="F3" i="15"/>
  <c r="E3" i="15"/>
  <c r="D3" i="15"/>
  <c r="F10" i="15"/>
  <c r="E10" i="15"/>
  <c r="D10" i="15"/>
  <c r="K18" i="15"/>
  <c r="J18" i="15"/>
  <c r="I18" i="15"/>
  <c r="I4" i="15"/>
  <c r="K4" i="15"/>
  <c r="J4" i="15"/>
  <c r="K9" i="15"/>
  <c r="J9" i="15"/>
  <c r="I9" i="15"/>
  <c r="D15" i="15"/>
  <c r="F15" i="15"/>
  <c r="E15" i="15"/>
  <c r="N17" i="15"/>
  <c r="P17" i="15"/>
  <c r="O17" i="15"/>
  <c r="P2" i="15"/>
  <c r="O2" i="15"/>
  <c r="N2" i="15"/>
  <c r="P6" i="15"/>
  <c r="O6" i="15"/>
  <c r="N6" i="15"/>
  <c r="N9" i="15"/>
  <c r="P9" i="15"/>
  <c r="O9" i="15"/>
  <c r="K15" i="15"/>
  <c r="J15" i="15"/>
  <c r="I15" i="15"/>
  <c r="U17" i="15"/>
  <c r="T17" i="15"/>
  <c r="S17" i="15"/>
  <c r="P4" i="15"/>
  <c r="O4" i="15"/>
  <c r="N4" i="15"/>
  <c r="S2" i="15"/>
  <c r="U2" i="15"/>
  <c r="T2" i="15"/>
  <c r="U4" i="15"/>
  <c r="T4" i="15"/>
  <c r="S4" i="15"/>
  <c r="U6" i="15"/>
  <c r="T6" i="15"/>
  <c r="S6" i="15"/>
  <c r="U9" i="15"/>
  <c r="T9" i="15"/>
  <c r="S9" i="15"/>
  <c r="U11" i="15"/>
  <c r="T11" i="15"/>
  <c r="S11" i="15"/>
  <c r="P15" i="15"/>
  <c r="O15" i="15"/>
  <c r="N15" i="15"/>
  <c r="F18" i="15"/>
  <c r="E18" i="15"/>
  <c r="D18" i="15"/>
  <c r="K31" i="15"/>
  <c r="J31" i="15"/>
  <c r="I31" i="15"/>
  <c r="E39" i="15"/>
  <c r="F39" i="15"/>
  <c r="D39" i="15"/>
  <c r="D2" i="15"/>
  <c r="K5" i="15"/>
  <c r="S5" i="15"/>
  <c r="D6" i="15"/>
  <c r="U7" i="15"/>
  <c r="F8" i="15"/>
  <c r="N8" i="15"/>
  <c r="P10" i="15"/>
  <c r="I11" i="15"/>
  <c r="S13" i="15"/>
  <c r="D14" i="15"/>
  <c r="N16" i="15"/>
  <c r="F19" i="15"/>
  <c r="D19" i="15"/>
  <c r="P21" i="15"/>
  <c r="O21" i="15"/>
  <c r="N21" i="15"/>
  <c r="P22" i="15"/>
  <c r="O22" i="15"/>
  <c r="N22" i="15"/>
  <c r="E24" i="15"/>
  <c r="D24" i="15"/>
  <c r="P32" i="15"/>
  <c r="O32" i="15"/>
  <c r="K33" i="15"/>
  <c r="J33" i="15"/>
  <c r="I33" i="15"/>
  <c r="F34" i="15"/>
  <c r="E34" i="15"/>
  <c r="D34" i="15"/>
  <c r="F35" i="15"/>
  <c r="E35" i="15"/>
  <c r="D35" i="15"/>
  <c r="F43" i="15"/>
  <c r="E43" i="15"/>
  <c r="D43" i="15"/>
  <c r="U26" i="15"/>
  <c r="T26" i="15"/>
  <c r="S26" i="15"/>
  <c r="K32" i="15"/>
  <c r="J32" i="15"/>
  <c r="I32" i="15"/>
  <c r="E2" i="15"/>
  <c r="T5" i="15"/>
  <c r="E6" i="15"/>
  <c r="O8" i="15"/>
  <c r="J11" i="15"/>
  <c r="T13" i="15"/>
  <c r="E14" i="15"/>
  <c r="O16" i="15"/>
  <c r="E19" i="15"/>
  <c r="U21" i="15"/>
  <c r="T21" i="15"/>
  <c r="F28" i="15"/>
  <c r="E28" i="15"/>
  <c r="D28" i="15"/>
  <c r="F30" i="15"/>
  <c r="E30" i="15"/>
  <c r="P31" i="15"/>
  <c r="O31" i="15"/>
  <c r="N31" i="15"/>
  <c r="N32" i="15"/>
  <c r="K35" i="15"/>
  <c r="J35" i="15"/>
  <c r="U28" i="15"/>
  <c r="T28" i="15"/>
  <c r="S28" i="15"/>
  <c r="K19" i="15"/>
  <c r="J19" i="15"/>
  <c r="E20" i="15"/>
  <c r="D20" i="15"/>
  <c r="U20" i="15"/>
  <c r="T20" i="15"/>
  <c r="S20" i="15"/>
  <c r="K23" i="15"/>
  <c r="J23" i="15"/>
  <c r="I23" i="15"/>
  <c r="K24" i="15"/>
  <c r="J24" i="15"/>
  <c r="I24" i="15"/>
  <c r="F26" i="15"/>
  <c r="E26" i="15"/>
  <c r="D26" i="15"/>
  <c r="F27" i="15"/>
  <c r="E27" i="15"/>
  <c r="D27" i="15"/>
  <c r="F29" i="15"/>
  <c r="E29" i="15"/>
  <c r="D29" i="15"/>
  <c r="T31" i="15"/>
  <c r="S31" i="15"/>
  <c r="K34" i="15"/>
  <c r="J34" i="15"/>
  <c r="I34" i="15"/>
  <c r="P38" i="15"/>
  <c r="O38" i="15"/>
  <c r="N38" i="15"/>
  <c r="O37" i="15"/>
  <c r="P37" i="15"/>
  <c r="N37" i="15"/>
  <c r="N5" i="15"/>
  <c r="I8" i="15"/>
  <c r="S10" i="15"/>
  <c r="D11" i="15"/>
  <c r="N13" i="15"/>
  <c r="I16" i="15"/>
  <c r="T18" i="15"/>
  <c r="I19" i="15"/>
  <c r="F20" i="15"/>
  <c r="P24" i="15"/>
  <c r="O24" i="15"/>
  <c r="K25" i="15"/>
  <c r="J25" i="15"/>
  <c r="I25" i="15"/>
  <c r="K27" i="15"/>
  <c r="J27" i="15"/>
  <c r="J29" i="15"/>
  <c r="I29" i="15"/>
  <c r="U31" i="15"/>
  <c r="O34" i="15"/>
  <c r="N34" i="15"/>
  <c r="J40" i="15"/>
  <c r="K40" i="15"/>
  <c r="I40" i="15"/>
  <c r="F53" i="15"/>
  <c r="E53" i="15"/>
  <c r="D53" i="15"/>
  <c r="U25" i="15"/>
  <c r="T25" i="15"/>
  <c r="S25" i="15"/>
  <c r="O5" i="15"/>
  <c r="J8" i="15"/>
  <c r="T10" i="15"/>
  <c r="E11" i="15"/>
  <c r="O13" i="15"/>
  <c r="J16" i="15"/>
  <c r="I20" i="15"/>
  <c r="K20" i="15"/>
  <c r="F22" i="15"/>
  <c r="E22" i="15"/>
  <c r="P23" i="15"/>
  <c r="O23" i="15"/>
  <c r="N23" i="15"/>
  <c r="N24" i="15"/>
  <c r="K26" i="15"/>
  <c r="J26" i="15"/>
  <c r="I26" i="15"/>
  <c r="I27" i="15"/>
  <c r="P34" i="15"/>
  <c r="P36" i="15"/>
  <c r="O36" i="15"/>
  <c r="N36" i="15"/>
  <c r="D38" i="15"/>
  <c r="F38" i="15"/>
  <c r="E38" i="15"/>
  <c r="N40" i="15"/>
  <c r="P40" i="15"/>
  <c r="O40" i="15"/>
  <c r="P42" i="15"/>
  <c r="O42" i="15"/>
  <c r="N42" i="15"/>
  <c r="U27" i="15"/>
  <c r="T27" i="15"/>
  <c r="S27" i="15"/>
  <c r="P19" i="15"/>
  <c r="O19" i="15"/>
  <c r="N19" i="15"/>
  <c r="F21" i="15"/>
  <c r="E21" i="15"/>
  <c r="D21" i="15"/>
  <c r="T23" i="15"/>
  <c r="S23" i="15"/>
  <c r="O26" i="15"/>
  <c r="N26" i="15"/>
  <c r="P28" i="15"/>
  <c r="O28" i="15"/>
  <c r="N28" i="15"/>
  <c r="P29" i="15"/>
  <c r="O29" i="15"/>
  <c r="N29" i="15"/>
  <c r="P30" i="15"/>
  <c r="O30" i="15"/>
  <c r="N30" i="15"/>
  <c r="E32" i="15"/>
  <c r="D32" i="15"/>
  <c r="U33" i="15"/>
  <c r="T33" i="15"/>
  <c r="S33" i="15"/>
  <c r="U34" i="15"/>
  <c r="T34" i="15"/>
  <c r="S34" i="15"/>
  <c r="U35" i="15"/>
  <c r="T35" i="15"/>
  <c r="S35" i="15"/>
  <c r="P41" i="15"/>
  <c r="O41" i="15"/>
  <c r="N41" i="15"/>
  <c r="K44" i="15"/>
  <c r="J44" i="15"/>
  <c r="I44" i="15"/>
  <c r="F36" i="15"/>
  <c r="E36" i="15"/>
  <c r="D36" i="15"/>
  <c r="T19" i="15"/>
  <c r="S19" i="15"/>
  <c r="J21" i="15"/>
  <c r="I21" i="15"/>
  <c r="U23" i="15"/>
  <c r="P26" i="15"/>
  <c r="U29" i="15"/>
  <c r="T29" i="15"/>
  <c r="F32" i="15"/>
  <c r="U36" i="15"/>
  <c r="T36" i="15"/>
  <c r="S36" i="15"/>
  <c r="K57" i="15"/>
  <c r="J57" i="15"/>
  <c r="I57" i="15"/>
  <c r="P25" i="15"/>
  <c r="K28" i="15"/>
  <c r="J43" i="15"/>
  <c r="I43" i="15"/>
  <c r="O44" i="15"/>
  <c r="N44" i="15"/>
  <c r="F47" i="15"/>
  <c r="E47" i="15"/>
  <c r="D47" i="15"/>
  <c r="P49" i="15"/>
  <c r="O49" i="15"/>
  <c r="N49" i="15"/>
  <c r="K51" i="15"/>
  <c r="J51" i="15"/>
  <c r="I51" i="15"/>
  <c r="K52" i="15"/>
  <c r="J52" i="15"/>
  <c r="I52" i="15"/>
  <c r="F54" i="15"/>
  <c r="E54" i="15"/>
  <c r="D54" i="15"/>
  <c r="F55" i="15"/>
  <c r="E55" i="15"/>
  <c r="D55" i="15"/>
  <c r="F60" i="15"/>
  <c r="E60" i="15"/>
  <c r="D60" i="15"/>
  <c r="D40" i="15"/>
  <c r="K43" i="15"/>
  <c r="P44" i="15"/>
  <c r="J47" i="15"/>
  <c r="I47" i="15"/>
  <c r="D49" i="15"/>
  <c r="F49" i="15"/>
  <c r="T49" i="15"/>
  <c r="S49" i="15"/>
  <c r="N51" i="15"/>
  <c r="P51" i="15"/>
  <c r="I54" i="15"/>
  <c r="K54" i="15"/>
  <c r="P56" i="15"/>
  <c r="O56" i="15"/>
  <c r="N56" i="15"/>
  <c r="P57" i="15"/>
  <c r="O57" i="15"/>
  <c r="N57" i="15"/>
  <c r="K58" i="15"/>
  <c r="J58" i="15"/>
  <c r="I58" i="15"/>
  <c r="F59" i="15"/>
  <c r="E59" i="15"/>
  <c r="D59" i="15"/>
  <c r="F61" i="15"/>
  <c r="E61" i="15"/>
  <c r="D61" i="15"/>
  <c r="E40" i="15"/>
  <c r="E42" i="15"/>
  <c r="U42" i="15"/>
  <c r="T42" i="15"/>
  <c r="S42" i="15"/>
  <c r="N43" i="15"/>
  <c r="P43" i="15"/>
  <c r="U44" i="15"/>
  <c r="T44" i="15"/>
  <c r="S44" i="15"/>
  <c r="K47" i="15"/>
  <c r="E49" i="15"/>
  <c r="U49" i="15"/>
  <c r="O51" i="15"/>
  <c r="J54" i="15"/>
  <c r="S56" i="15"/>
  <c r="U56" i="15"/>
  <c r="K59" i="15"/>
  <c r="J59" i="15"/>
  <c r="I59" i="15"/>
  <c r="K60" i="15"/>
  <c r="J60" i="15"/>
  <c r="I60" i="15"/>
  <c r="K61" i="15"/>
  <c r="J61" i="15"/>
  <c r="F42" i="15"/>
  <c r="U45" i="15"/>
  <c r="T45" i="15"/>
  <c r="S45" i="15"/>
  <c r="P47" i="15"/>
  <c r="O47" i="15"/>
  <c r="N47" i="15"/>
  <c r="U51" i="15"/>
  <c r="T51" i="15"/>
  <c r="S51" i="15"/>
  <c r="P54" i="15"/>
  <c r="O54" i="15"/>
  <c r="N54" i="15"/>
  <c r="N59" i="15"/>
  <c r="P59" i="15"/>
  <c r="I61" i="15"/>
  <c r="O20" i="15"/>
  <c r="I22" i="15"/>
  <c r="V22" i="15" s="1"/>
  <c r="S24" i="15"/>
  <c r="D25" i="15"/>
  <c r="N27" i="15"/>
  <c r="I30" i="15"/>
  <c r="S32" i="15"/>
  <c r="D33" i="15"/>
  <c r="N35" i="15"/>
  <c r="I37" i="15"/>
  <c r="T37" i="15"/>
  <c r="S38" i="15"/>
  <c r="J39" i="15"/>
  <c r="S39" i="15"/>
  <c r="D41" i="15"/>
  <c r="T41" i="15"/>
  <c r="K42" i="15"/>
  <c r="I42" i="15"/>
  <c r="E50" i="15"/>
  <c r="D50" i="15"/>
  <c r="U52" i="15"/>
  <c r="T52" i="15"/>
  <c r="S52" i="15"/>
  <c r="P55" i="15"/>
  <c r="O55" i="15"/>
  <c r="N55" i="15"/>
  <c r="O59" i="15"/>
  <c r="P61" i="15"/>
  <c r="O61" i="15"/>
  <c r="N61" i="15"/>
  <c r="J22" i="15"/>
  <c r="T24" i="15"/>
  <c r="E25" i="15"/>
  <c r="O27" i="15"/>
  <c r="J30" i="15"/>
  <c r="T32" i="15"/>
  <c r="E33" i="15"/>
  <c r="O35" i="15"/>
  <c r="J37" i="15"/>
  <c r="U37" i="15"/>
  <c r="U38" i="15"/>
  <c r="K39" i="15"/>
  <c r="T39" i="15"/>
  <c r="E41" i="15"/>
  <c r="U41" i="15"/>
  <c r="F45" i="15"/>
  <c r="E45" i="15"/>
  <c r="D45" i="15"/>
  <c r="F46" i="15"/>
  <c r="E46" i="15"/>
  <c r="D46" i="15"/>
  <c r="U46" i="15"/>
  <c r="T46" i="15"/>
  <c r="S46" i="15"/>
  <c r="P48" i="15"/>
  <c r="O48" i="15"/>
  <c r="N48" i="15"/>
  <c r="F50" i="15"/>
  <c r="U54" i="15"/>
  <c r="T54" i="15"/>
  <c r="S54" i="15"/>
  <c r="D57" i="15"/>
  <c r="F57" i="15"/>
  <c r="U59" i="15"/>
  <c r="T59" i="15"/>
  <c r="S59" i="15"/>
  <c r="U61" i="15"/>
  <c r="T61" i="15"/>
  <c r="S61" i="15"/>
  <c r="I46" i="15"/>
  <c r="K46" i="15"/>
  <c r="S48" i="15"/>
  <c r="U48" i="15"/>
  <c r="K50" i="15"/>
  <c r="J50" i="15"/>
  <c r="I50" i="15"/>
  <c r="F52" i="15"/>
  <c r="E52" i="15"/>
  <c r="D52" i="15"/>
  <c r="U53" i="15"/>
  <c r="T53" i="15"/>
  <c r="S53" i="15"/>
  <c r="E57" i="15"/>
  <c r="U58" i="15"/>
  <c r="T58" i="15"/>
  <c r="S58" i="15"/>
  <c r="U60" i="15"/>
  <c r="T60" i="15"/>
  <c r="S60" i="15"/>
  <c r="J45" i="15"/>
  <c r="T47" i="15"/>
  <c r="E48" i="15"/>
  <c r="O50" i="15"/>
  <c r="J53" i="15"/>
  <c r="J41" i="15"/>
  <c r="N45" i="15"/>
  <c r="I48" i="15"/>
  <c r="S50" i="15"/>
  <c r="D51" i="15"/>
  <c r="O45" i="15"/>
  <c r="J48" i="15"/>
  <c r="T50" i="15"/>
  <c r="E51" i="15"/>
  <c r="N52" i="15"/>
  <c r="O53" i="15"/>
  <c r="I55" i="15"/>
  <c r="J56" i="15"/>
  <c r="S57" i="15"/>
  <c r="D58" i="15"/>
  <c r="N60" i="15"/>
  <c r="U9" i="14"/>
  <c r="S9" i="14"/>
  <c r="S60" i="14"/>
  <c r="U60" i="14"/>
  <c r="S44" i="14"/>
  <c r="U44" i="14"/>
  <c r="S50" i="14"/>
  <c r="U50" i="14"/>
  <c r="S28" i="14"/>
  <c r="U28" i="14"/>
  <c r="U57" i="14"/>
  <c r="S57" i="14"/>
  <c r="U41" i="14"/>
  <c r="S41" i="14"/>
  <c r="U25" i="14"/>
  <c r="S25" i="14"/>
  <c r="S4" i="14"/>
  <c r="U34" i="14"/>
  <c r="U18" i="14"/>
  <c r="T54" i="14"/>
  <c r="S54" i="14"/>
  <c r="T22" i="14"/>
  <c r="S22" i="14"/>
  <c r="S52" i="14"/>
  <c r="T52" i="14"/>
  <c r="U52" i="14"/>
  <c r="S36" i="14"/>
  <c r="T36" i="14"/>
  <c r="U36" i="14"/>
  <c r="S20" i="14"/>
  <c r="T20" i="14"/>
  <c r="U20" i="14"/>
  <c r="T62" i="14"/>
  <c r="S62" i="14"/>
  <c r="T46" i="14"/>
  <c r="S46" i="14"/>
  <c r="T30" i="14"/>
  <c r="S30" i="14"/>
  <c r="T14" i="14"/>
  <c r="S14" i="14"/>
  <c r="T38" i="14"/>
  <c r="S38" i="14"/>
  <c r="D17" i="14"/>
  <c r="F17" i="14"/>
  <c r="E17" i="14"/>
  <c r="T6" i="14"/>
  <c r="S6" i="14"/>
  <c r="J12" i="14"/>
  <c r="T49" i="14"/>
  <c r="T33" i="14"/>
  <c r="T17" i="14"/>
  <c r="U58" i="14"/>
  <c r="S49" i="14"/>
  <c r="U42" i="14"/>
  <c r="S33" i="14"/>
  <c r="U26" i="14"/>
  <c r="S17" i="14"/>
  <c r="U10" i="14"/>
  <c r="U12" i="14"/>
  <c r="T4" i="14"/>
  <c r="T60" i="14"/>
  <c r="T44" i="14"/>
  <c r="T28" i="14"/>
  <c r="T12" i="14"/>
  <c r="T57" i="14"/>
  <c r="T41" i="14"/>
  <c r="T25" i="14"/>
  <c r="T9" i="14"/>
  <c r="U47" i="14"/>
  <c r="S47" i="14"/>
  <c r="T47" i="14"/>
  <c r="S5" i="14"/>
  <c r="T5" i="14"/>
  <c r="U5" i="14"/>
  <c r="S56" i="14"/>
  <c r="T56" i="14"/>
  <c r="U56" i="14"/>
  <c r="S40" i="14"/>
  <c r="T40" i="14"/>
  <c r="U40" i="14"/>
  <c r="S24" i="14"/>
  <c r="T24" i="14"/>
  <c r="U24" i="14"/>
  <c r="S8" i="14"/>
  <c r="T8" i="14"/>
  <c r="U8" i="14"/>
  <c r="U63" i="14"/>
  <c r="S63" i="14"/>
  <c r="T63" i="14"/>
  <c r="U31" i="14"/>
  <c r="S31" i="14"/>
  <c r="T31" i="14"/>
  <c r="S61" i="14"/>
  <c r="T61" i="14"/>
  <c r="U61" i="14"/>
  <c r="S55" i="14"/>
  <c r="U55" i="14"/>
  <c r="T55" i="14"/>
  <c r="S45" i="14"/>
  <c r="T45" i="14"/>
  <c r="U45" i="14"/>
  <c r="U39" i="14"/>
  <c r="S39" i="14"/>
  <c r="T39" i="14"/>
  <c r="S29" i="14"/>
  <c r="T29" i="14"/>
  <c r="U29" i="14"/>
  <c r="S23" i="14"/>
  <c r="U23" i="14"/>
  <c r="T23" i="14"/>
  <c r="S13" i="14"/>
  <c r="T13" i="14"/>
  <c r="U13" i="14"/>
  <c r="S7" i="14"/>
  <c r="U7" i="14"/>
  <c r="T7" i="14"/>
  <c r="S53" i="14"/>
  <c r="T53" i="14"/>
  <c r="U53" i="14"/>
  <c r="U15" i="14"/>
  <c r="S15" i="14"/>
  <c r="T15" i="14"/>
  <c r="S37" i="14"/>
  <c r="T37" i="14"/>
  <c r="U37" i="14"/>
  <c r="S21" i="14"/>
  <c r="T21" i="14"/>
  <c r="U21" i="14"/>
  <c r="S48" i="14"/>
  <c r="T48" i="14"/>
  <c r="U48" i="14"/>
  <c r="S32" i="14"/>
  <c r="T32" i="14"/>
  <c r="U32" i="14"/>
  <c r="S16" i="14"/>
  <c r="T16" i="14"/>
  <c r="U16" i="14"/>
  <c r="T58" i="14"/>
  <c r="T50" i="14"/>
  <c r="T42" i="14"/>
  <c r="T34" i="14"/>
  <c r="T26" i="14"/>
  <c r="T18" i="14"/>
  <c r="T10" i="14"/>
  <c r="U59" i="14"/>
  <c r="U51" i="14"/>
  <c r="U43" i="14"/>
  <c r="U35" i="14"/>
  <c r="U27" i="14"/>
  <c r="U19" i="14"/>
  <c r="U11" i="14"/>
  <c r="U62" i="14"/>
  <c r="T59" i="14"/>
  <c r="U54" i="14"/>
  <c r="T51" i="14"/>
  <c r="U46" i="14"/>
  <c r="T43" i="14"/>
  <c r="U38" i="14"/>
  <c r="T35" i="14"/>
  <c r="U30" i="14"/>
  <c r="T27" i="14"/>
  <c r="U22" i="14"/>
  <c r="T19" i="14"/>
  <c r="U14" i="14"/>
  <c r="T11" i="14"/>
  <c r="U6" i="14"/>
  <c r="E6" i="14"/>
  <c r="F6" i="14"/>
  <c r="K27" i="14"/>
  <c r="I27" i="14"/>
  <c r="F45" i="14"/>
  <c r="E45" i="14"/>
  <c r="D4" i="14"/>
  <c r="F4" i="14"/>
  <c r="P36" i="14"/>
  <c r="O36" i="14"/>
  <c r="P38" i="14"/>
  <c r="O38" i="14"/>
  <c r="P40" i="14"/>
  <c r="O40" i="14"/>
  <c r="P16" i="14"/>
  <c r="N16" i="14"/>
  <c r="O16" i="14"/>
  <c r="O9" i="14"/>
  <c r="P9" i="14"/>
  <c r="F57" i="14"/>
  <c r="E57" i="14"/>
  <c r="P60" i="14"/>
  <c r="O60" i="14"/>
  <c r="F13" i="14"/>
  <c r="E13" i="14"/>
  <c r="D13" i="14"/>
  <c r="F39" i="14"/>
  <c r="E39" i="14"/>
  <c r="K7" i="14"/>
  <c r="J7" i="14"/>
  <c r="I7" i="14"/>
  <c r="K23" i="14"/>
  <c r="I23" i="14"/>
  <c r="F61" i="14"/>
  <c r="E61" i="14"/>
  <c r="K19" i="14"/>
  <c r="I19" i="14"/>
  <c r="P10" i="14"/>
  <c r="O10" i="14"/>
  <c r="N10" i="14"/>
  <c r="P12" i="14"/>
  <c r="N12" i="14"/>
  <c r="O12" i="14"/>
  <c r="K15" i="14"/>
  <c r="I15" i="14"/>
  <c r="I31" i="14"/>
  <c r="O44" i="14"/>
  <c r="N5" i="14"/>
  <c r="O5" i="14"/>
  <c r="I55" i="14"/>
  <c r="O56" i="14"/>
  <c r="J10" i="14"/>
  <c r="K12" i="14"/>
  <c r="K14" i="14"/>
  <c r="I10" i="14"/>
  <c r="E37" i="14"/>
  <c r="E41" i="14"/>
  <c r="E9" i="14"/>
  <c r="D9" i="14"/>
  <c r="F9" i="14"/>
  <c r="O13" i="14"/>
  <c r="N13" i="14"/>
  <c r="P13" i="14"/>
  <c r="D7" i="14"/>
  <c r="F7" i="14"/>
  <c r="E7" i="14"/>
  <c r="N4" i="14"/>
  <c r="P4" i="14"/>
  <c r="O4" i="14"/>
  <c r="E12" i="14"/>
  <c r="D12" i="14"/>
  <c r="F12" i="14"/>
  <c r="K4" i="14"/>
  <c r="J4" i="14"/>
  <c r="I4" i="14"/>
  <c r="E5" i="14"/>
  <c r="D5" i="14"/>
  <c r="F5" i="14"/>
  <c r="P7" i="14"/>
  <c r="O7" i="14"/>
  <c r="N7" i="14"/>
  <c r="P8" i="14"/>
  <c r="O8" i="14"/>
  <c r="N8" i="14"/>
  <c r="I5" i="14"/>
  <c r="K5" i="14"/>
  <c r="J5" i="14"/>
  <c r="K6" i="14"/>
  <c r="J6" i="14"/>
  <c r="I6" i="14"/>
  <c r="F8" i="14"/>
  <c r="E8" i="14"/>
  <c r="D8" i="14"/>
  <c r="O11" i="14"/>
  <c r="N11" i="14"/>
  <c r="P11" i="14"/>
  <c r="P6" i="14"/>
  <c r="O6" i="14"/>
  <c r="N6" i="14"/>
  <c r="J8" i="14"/>
  <c r="K8" i="14"/>
  <c r="I8" i="14"/>
  <c r="E10" i="14"/>
  <c r="D10" i="14"/>
  <c r="F10" i="14"/>
  <c r="D6" i="14"/>
  <c r="N9" i="14"/>
  <c r="I11" i="14"/>
  <c r="F25" i="14"/>
  <c r="D25" i="14"/>
  <c r="F26" i="14"/>
  <c r="E26" i="14"/>
  <c r="D26" i="14"/>
  <c r="K32" i="14"/>
  <c r="J32" i="14"/>
  <c r="I32" i="14"/>
  <c r="E4" i="14"/>
  <c r="K11" i="14"/>
  <c r="J14" i="14"/>
  <c r="E16" i="14"/>
  <c r="D16" i="14"/>
  <c r="F16" i="14"/>
  <c r="P17" i="14"/>
  <c r="O17" i="14"/>
  <c r="N17" i="14"/>
  <c r="E20" i="14"/>
  <c r="D20" i="14"/>
  <c r="F20" i="14"/>
  <c r="P22" i="14"/>
  <c r="O22" i="14"/>
  <c r="N22" i="14"/>
  <c r="E25" i="14"/>
  <c r="I26" i="14"/>
  <c r="J26" i="14"/>
  <c r="P32" i="14"/>
  <c r="N32" i="14"/>
  <c r="P33" i="14"/>
  <c r="O33" i="14"/>
  <c r="N33" i="14"/>
  <c r="F35" i="14"/>
  <c r="D35" i="14"/>
  <c r="E35" i="14"/>
  <c r="F44" i="14"/>
  <c r="E44" i="14"/>
  <c r="D44" i="14"/>
  <c r="K20" i="14"/>
  <c r="J20" i="14"/>
  <c r="I20" i="14"/>
  <c r="F29" i="14"/>
  <c r="D29" i="14"/>
  <c r="F52" i="14"/>
  <c r="E52" i="14"/>
  <c r="D52" i="14"/>
  <c r="I9" i="14"/>
  <c r="I30" i="14"/>
  <c r="J30" i="14"/>
  <c r="J9" i="14"/>
  <c r="D11" i="14"/>
  <c r="F18" i="14"/>
  <c r="E18" i="14"/>
  <c r="D18" i="14"/>
  <c r="F23" i="14"/>
  <c r="E23" i="14"/>
  <c r="D23" i="14"/>
  <c r="K24" i="14"/>
  <c r="J24" i="14"/>
  <c r="I24" i="14"/>
  <c r="K30" i="14"/>
  <c r="O31" i="14"/>
  <c r="N31" i="14"/>
  <c r="P31" i="14"/>
  <c r="F33" i="14"/>
  <c r="D33" i="14"/>
  <c r="F34" i="14"/>
  <c r="E34" i="14"/>
  <c r="D34" i="14"/>
  <c r="P58" i="14"/>
  <c r="N58" i="14"/>
  <c r="O58" i="14"/>
  <c r="K16" i="14"/>
  <c r="J16" i="14"/>
  <c r="I16" i="14"/>
  <c r="O27" i="14"/>
  <c r="N27" i="14"/>
  <c r="P27" i="14"/>
  <c r="P20" i="14"/>
  <c r="N20" i="14"/>
  <c r="E24" i="14"/>
  <c r="D24" i="14"/>
  <c r="F24" i="14"/>
  <c r="E29" i="14"/>
  <c r="E11" i="14"/>
  <c r="I18" i="14"/>
  <c r="J18" i="14"/>
  <c r="P24" i="14"/>
  <c r="N24" i="14"/>
  <c r="P25" i="14"/>
  <c r="O25" i="14"/>
  <c r="N25" i="14"/>
  <c r="E28" i="14"/>
  <c r="D28" i="14"/>
  <c r="F28" i="14"/>
  <c r="P30" i="14"/>
  <c r="O30" i="14"/>
  <c r="N30" i="14"/>
  <c r="E33" i="14"/>
  <c r="P54" i="14"/>
  <c r="N54" i="14"/>
  <c r="O54" i="14"/>
  <c r="F15" i="14"/>
  <c r="E15" i="14"/>
  <c r="D15" i="14"/>
  <c r="F19" i="14"/>
  <c r="E19" i="14"/>
  <c r="D19" i="14"/>
  <c r="F30" i="14"/>
  <c r="E30" i="14"/>
  <c r="D30" i="14"/>
  <c r="P14" i="14"/>
  <c r="O14" i="14"/>
  <c r="P21" i="14"/>
  <c r="O21" i="14"/>
  <c r="N21" i="14"/>
  <c r="P26" i="14"/>
  <c r="O26" i="14"/>
  <c r="N26" i="14"/>
  <c r="K13" i="14"/>
  <c r="J13" i="14"/>
  <c r="I13" i="14"/>
  <c r="E14" i="14"/>
  <c r="D14" i="14"/>
  <c r="O15" i="14"/>
  <c r="N15" i="14"/>
  <c r="P15" i="14"/>
  <c r="O19" i="14"/>
  <c r="N19" i="14"/>
  <c r="P19" i="14"/>
  <c r="F21" i="14"/>
  <c r="D21" i="14"/>
  <c r="F22" i="14"/>
  <c r="E22" i="14"/>
  <c r="D22" i="14"/>
  <c r="O24" i="14"/>
  <c r="F27" i="14"/>
  <c r="E27" i="14"/>
  <c r="D27" i="14"/>
  <c r="K28" i="14"/>
  <c r="J28" i="14"/>
  <c r="I28" i="14"/>
  <c r="P18" i="14"/>
  <c r="O18" i="14"/>
  <c r="N18" i="14"/>
  <c r="I22" i="14"/>
  <c r="J22" i="14"/>
  <c r="P28" i="14"/>
  <c r="N28" i="14"/>
  <c r="P29" i="14"/>
  <c r="O29" i="14"/>
  <c r="N29" i="14"/>
  <c r="E32" i="14"/>
  <c r="D32" i="14"/>
  <c r="F32" i="14"/>
  <c r="O23" i="14"/>
  <c r="N23" i="14"/>
  <c r="P23" i="14"/>
  <c r="F31" i="14"/>
  <c r="E31" i="14"/>
  <c r="D31" i="14"/>
  <c r="K34" i="14"/>
  <c r="P39" i="14"/>
  <c r="O39" i="14"/>
  <c r="N39" i="14"/>
  <c r="F47" i="14"/>
  <c r="D47" i="14"/>
  <c r="I48" i="14"/>
  <c r="J48" i="14"/>
  <c r="K53" i="14"/>
  <c r="J53" i="14"/>
  <c r="K54" i="14"/>
  <c r="J54" i="14"/>
  <c r="I54" i="14"/>
  <c r="K57" i="14"/>
  <c r="J57" i="14"/>
  <c r="K58" i="14"/>
  <c r="J58" i="14"/>
  <c r="I58" i="14"/>
  <c r="P59" i="14"/>
  <c r="O59" i="14"/>
  <c r="N59" i="14"/>
  <c r="J15" i="14"/>
  <c r="J19" i="14"/>
  <c r="J23" i="14"/>
  <c r="J27" i="14"/>
  <c r="J31" i="14"/>
  <c r="P34" i="14"/>
  <c r="N34" i="14"/>
  <c r="F43" i="14"/>
  <c r="D43" i="14"/>
  <c r="I44" i="14"/>
  <c r="J44" i="14"/>
  <c r="K47" i="14"/>
  <c r="J47" i="14"/>
  <c r="I47" i="14"/>
  <c r="P48" i="14"/>
  <c r="O48" i="14"/>
  <c r="N48" i="14"/>
  <c r="F51" i="14"/>
  <c r="D51" i="14"/>
  <c r="I52" i="14"/>
  <c r="J52" i="14"/>
  <c r="P55" i="14"/>
  <c r="O55" i="14"/>
  <c r="N55" i="14"/>
  <c r="F63" i="14"/>
  <c r="D63" i="14"/>
  <c r="O34" i="14"/>
  <c r="K35" i="14"/>
  <c r="J35" i="14"/>
  <c r="F36" i="14"/>
  <c r="E36" i="14"/>
  <c r="D36" i="14"/>
  <c r="F40" i="14"/>
  <c r="E40" i="14"/>
  <c r="D40" i="14"/>
  <c r="E43" i="14"/>
  <c r="K44" i="14"/>
  <c r="E51" i="14"/>
  <c r="K52" i="14"/>
  <c r="F60" i="14"/>
  <c r="E60" i="14"/>
  <c r="D60" i="14"/>
  <c r="E63" i="14"/>
  <c r="I36" i="14"/>
  <c r="J36" i="14"/>
  <c r="I40" i="14"/>
  <c r="J40" i="14"/>
  <c r="K43" i="14"/>
  <c r="J43" i="14"/>
  <c r="I43" i="14"/>
  <c r="K45" i="14"/>
  <c r="J45" i="14"/>
  <c r="K46" i="14"/>
  <c r="J46" i="14"/>
  <c r="I46" i="14"/>
  <c r="P47" i="14"/>
  <c r="O47" i="14"/>
  <c r="N47" i="14"/>
  <c r="K51" i="14"/>
  <c r="J51" i="14"/>
  <c r="I51" i="14"/>
  <c r="P52" i="14"/>
  <c r="O52" i="14"/>
  <c r="N52" i="14"/>
  <c r="F55" i="14"/>
  <c r="D55" i="14"/>
  <c r="F59" i="14"/>
  <c r="D59" i="14"/>
  <c r="I60" i="14"/>
  <c r="J60" i="14"/>
  <c r="K63" i="14"/>
  <c r="J63" i="14"/>
  <c r="I63" i="14"/>
  <c r="I17" i="14"/>
  <c r="I21" i="14"/>
  <c r="I25" i="14"/>
  <c r="I29" i="14"/>
  <c r="I33" i="14"/>
  <c r="K36" i="14"/>
  <c r="K40" i="14"/>
  <c r="I45" i="14"/>
  <c r="P46" i="14"/>
  <c r="N46" i="14"/>
  <c r="F49" i="14"/>
  <c r="E49" i="14"/>
  <c r="D49" i="14"/>
  <c r="E55" i="14"/>
  <c r="F56" i="14"/>
  <c r="E56" i="14"/>
  <c r="D56" i="14"/>
  <c r="E59" i="14"/>
  <c r="K60" i="14"/>
  <c r="J17" i="14"/>
  <c r="J21" i="14"/>
  <c r="J25" i="14"/>
  <c r="J29" i="14"/>
  <c r="J33" i="14"/>
  <c r="I34" i="14"/>
  <c r="P35" i="14"/>
  <c r="O35" i="14"/>
  <c r="N35" i="14"/>
  <c r="K37" i="14"/>
  <c r="J37" i="14"/>
  <c r="K38" i="14"/>
  <c r="J38" i="14"/>
  <c r="I38" i="14"/>
  <c r="K39" i="14"/>
  <c r="J39" i="14"/>
  <c r="I39" i="14"/>
  <c r="K41" i="14"/>
  <c r="J41" i="14"/>
  <c r="K42" i="14"/>
  <c r="J42" i="14"/>
  <c r="I42" i="14"/>
  <c r="P43" i="14"/>
  <c r="O43" i="14"/>
  <c r="N43" i="14"/>
  <c r="O46" i="14"/>
  <c r="K49" i="14"/>
  <c r="J49" i="14"/>
  <c r="K50" i="14"/>
  <c r="J50" i="14"/>
  <c r="I50" i="14"/>
  <c r="P51" i="14"/>
  <c r="O51" i="14"/>
  <c r="N51" i="14"/>
  <c r="I56" i="14"/>
  <c r="J56" i="14"/>
  <c r="K59" i="14"/>
  <c r="J59" i="14"/>
  <c r="I59" i="14"/>
  <c r="K61" i="14"/>
  <c r="J61" i="14"/>
  <c r="K62" i="14"/>
  <c r="J62" i="14"/>
  <c r="I62" i="14"/>
  <c r="P63" i="14"/>
  <c r="O63" i="14"/>
  <c r="N63" i="14"/>
  <c r="I37" i="14"/>
  <c r="I41" i="14"/>
  <c r="P42" i="14"/>
  <c r="N42" i="14"/>
  <c r="F48" i="14"/>
  <c r="E48" i="14"/>
  <c r="D48" i="14"/>
  <c r="I49" i="14"/>
  <c r="P50" i="14"/>
  <c r="N50" i="14"/>
  <c r="F53" i="14"/>
  <c r="E53" i="14"/>
  <c r="D53" i="14"/>
  <c r="K56" i="14"/>
  <c r="I61" i="14"/>
  <c r="P62" i="14"/>
  <c r="N62" i="14"/>
  <c r="P37" i="14"/>
  <c r="F38" i="14"/>
  <c r="N38" i="14"/>
  <c r="D39" i="14"/>
  <c r="P41" i="14"/>
  <c r="F42" i="14"/>
  <c r="P45" i="14"/>
  <c r="F46" i="14"/>
  <c r="P49" i="14"/>
  <c r="F50" i="14"/>
  <c r="P53" i="14"/>
  <c r="F54" i="14"/>
  <c r="P57" i="14"/>
  <c r="F58" i="14"/>
  <c r="P61" i="14"/>
  <c r="F62" i="14"/>
  <c r="N36" i="14"/>
  <c r="D37" i="14"/>
  <c r="N40" i="14"/>
  <c r="D41" i="14"/>
  <c r="N44" i="14"/>
  <c r="D45" i="14"/>
  <c r="N56" i="14"/>
  <c r="D57" i="14"/>
  <c r="N60" i="14"/>
  <c r="D61" i="14"/>
  <c r="N37" i="14"/>
  <c r="D38" i="14"/>
  <c r="N41" i="14"/>
  <c r="D42" i="14"/>
  <c r="N45" i="14"/>
  <c r="D46" i="14"/>
  <c r="N49" i="14"/>
  <c r="D50" i="14"/>
  <c r="N53" i="14"/>
  <c r="D54" i="14"/>
  <c r="J55" i="14"/>
  <c r="N57" i="14"/>
  <c r="D58" i="14"/>
  <c r="N61" i="14"/>
  <c r="D62" i="14"/>
  <c r="F49" i="13"/>
  <c r="P58" i="13"/>
  <c r="N58" i="13"/>
  <c r="O58" i="13"/>
  <c r="P26" i="13"/>
  <c r="N26" i="13"/>
  <c r="N30" i="13"/>
  <c r="O30" i="13"/>
  <c r="O47" i="13"/>
  <c r="P47" i="13"/>
  <c r="N47" i="13"/>
  <c r="P8" i="13"/>
  <c r="K58" i="13"/>
  <c r="P10" i="13"/>
  <c r="N10" i="13"/>
  <c r="O10" i="13"/>
  <c r="N16" i="13"/>
  <c r="P16" i="13"/>
  <c r="P42" i="13"/>
  <c r="S42" i="13" s="1"/>
  <c r="N42" i="13"/>
  <c r="O42" i="13"/>
  <c r="N22" i="13"/>
  <c r="O22" i="13"/>
  <c r="O15" i="13"/>
  <c r="N15" i="13"/>
  <c r="P15" i="13"/>
  <c r="N38" i="13"/>
  <c r="O38" i="13"/>
  <c r="P18" i="13"/>
  <c r="O18" i="13"/>
  <c r="N18" i="13"/>
  <c r="N54" i="13"/>
  <c r="O54" i="13"/>
  <c r="P50" i="13"/>
  <c r="O50" i="13"/>
  <c r="N50" i="13"/>
  <c r="N46" i="13"/>
  <c r="O46" i="13"/>
  <c r="P34" i="13"/>
  <c r="N34" i="13"/>
  <c r="O34" i="13"/>
  <c r="O7" i="13"/>
  <c r="N7" i="13"/>
  <c r="P7" i="13"/>
  <c r="O2" i="13"/>
  <c r="P39" i="13"/>
  <c r="N2" i="13"/>
  <c r="N39" i="13"/>
  <c r="P31" i="13"/>
  <c r="N31" i="13"/>
  <c r="P23" i="13"/>
  <c r="E2" i="13"/>
  <c r="F40" i="13"/>
  <c r="D43" i="13"/>
  <c r="N55" i="13"/>
  <c r="O26" i="13"/>
  <c r="N23" i="13"/>
  <c r="N53" i="13"/>
  <c r="O53" i="13"/>
  <c r="P53" i="13"/>
  <c r="N49" i="13"/>
  <c r="O49" i="13"/>
  <c r="P49" i="13"/>
  <c r="P21" i="13"/>
  <c r="N21" i="13"/>
  <c r="O21" i="13"/>
  <c r="N17" i="13"/>
  <c r="O17" i="13"/>
  <c r="P17" i="13"/>
  <c r="N59" i="13"/>
  <c r="O59" i="13"/>
  <c r="P59" i="13"/>
  <c r="N45" i="13"/>
  <c r="O45" i="13"/>
  <c r="P45" i="13"/>
  <c r="N41" i="13"/>
  <c r="O41" i="13"/>
  <c r="R41" i="13" s="1"/>
  <c r="P41" i="13"/>
  <c r="N13" i="13"/>
  <c r="O13" i="13"/>
  <c r="P13" i="13"/>
  <c r="N9" i="13"/>
  <c r="O9" i="13"/>
  <c r="P9" i="13"/>
  <c r="N51" i="13"/>
  <c r="O51" i="13"/>
  <c r="P51" i="13"/>
  <c r="N19" i="13"/>
  <c r="O19" i="13"/>
  <c r="P19" i="13"/>
  <c r="P37" i="13"/>
  <c r="N37" i="13"/>
  <c r="O37" i="13"/>
  <c r="N33" i="13"/>
  <c r="O33" i="13"/>
  <c r="P33" i="13"/>
  <c r="N5" i="13"/>
  <c r="P5" i="13"/>
  <c r="O5" i="13"/>
  <c r="N43" i="13"/>
  <c r="O43" i="13"/>
  <c r="P43" i="13"/>
  <c r="N11" i="13"/>
  <c r="O11" i="13"/>
  <c r="P11" i="13"/>
  <c r="P29" i="13"/>
  <c r="N29" i="13"/>
  <c r="O29" i="13"/>
  <c r="N25" i="13"/>
  <c r="O25" i="13"/>
  <c r="P25" i="13"/>
  <c r="N27" i="13"/>
  <c r="O27" i="13"/>
  <c r="P27" i="13"/>
  <c r="P61" i="13"/>
  <c r="N61" i="13"/>
  <c r="O61" i="13"/>
  <c r="N57" i="13"/>
  <c r="O57" i="13"/>
  <c r="P57" i="13"/>
  <c r="N35" i="13"/>
  <c r="O35" i="13"/>
  <c r="P35" i="13"/>
  <c r="N3" i="13"/>
  <c r="O3" i="13"/>
  <c r="P3" i="13"/>
  <c r="N60" i="13"/>
  <c r="O55" i="13"/>
  <c r="N52" i="13"/>
  <c r="N44" i="13"/>
  <c r="N36" i="13"/>
  <c r="N28" i="13"/>
  <c r="N20" i="13"/>
  <c r="N12" i="13"/>
  <c r="N4" i="13"/>
  <c r="P56" i="13"/>
  <c r="P48" i="13"/>
  <c r="P40" i="13"/>
  <c r="P32" i="13"/>
  <c r="P24" i="13"/>
  <c r="O56" i="13"/>
  <c r="O48" i="13"/>
  <c r="O40" i="13"/>
  <c r="R40" i="13" s="1"/>
  <c r="O32" i="13"/>
  <c r="O24" i="13"/>
  <c r="O16" i="13"/>
  <c r="O8" i="13"/>
  <c r="P54" i="13"/>
  <c r="P46" i="13"/>
  <c r="P38" i="13"/>
  <c r="P30" i="13"/>
  <c r="P22" i="13"/>
  <c r="P14" i="13"/>
  <c r="P6" i="13"/>
  <c r="O14" i="13"/>
  <c r="O6" i="13"/>
  <c r="P60" i="13"/>
  <c r="P52" i="13"/>
  <c r="P44" i="13"/>
  <c r="P36" i="13"/>
  <c r="P28" i="13"/>
  <c r="P20" i="13"/>
  <c r="P12" i="13"/>
  <c r="P4" i="13"/>
  <c r="E26" i="13"/>
  <c r="D26" i="13"/>
  <c r="F26" i="13"/>
  <c r="F14" i="13"/>
  <c r="E14" i="13"/>
  <c r="I17" i="13"/>
  <c r="K17" i="13"/>
  <c r="D30" i="13"/>
  <c r="F30" i="13"/>
  <c r="E30" i="13"/>
  <c r="D38" i="13"/>
  <c r="E38" i="13"/>
  <c r="K55" i="13"/>
  <c r="I55" i="13"/>
  <c r="J24" i="13"/>
  <c r="K24" i="13"/>
  <c r="F56" i="13"/>
  <c r="E56" i="13"/>
  <c r="I37" i="13"/>
  <c r="J37" i="13"/>
  <c r="K37" i="13"/>
  <c r="D8" i="13"/>
  <c r="F8" i="13"/>
  <c r="E8" i="13"/>
  <c r="I31" i="13"/>
  <c r="K31" i="13"/>
  <c r="J31" i="13"/>
  <c r="F6" i="13"/>
  <c r="E6" i="13"/>
  <c r="K19" i="13"/>
  <c r="J19" i="13"/>
  <c r="I19" i="13"/>
  <c r="F48" i="13"/>
  <c r="E48" i="13"/>
  <c r="D48" i="13"/>
  <c r="I7" i="13"/>
  <c r="J7" i="13"/>
  <c r="F20" i="13"/>
  <c r="E20" i="13"/>
  <c r="D20" i="13"/>
  <c r="K5" i="13"/>
  <c r="J5" i="13"/>
  <c r="I61" i="13"/>
  <c r="K61" i="13"/>
  <c r="J61" i="13"/>
  <c r="K10" i="13"/>
  <c r="K47" i="13"/>
  <c r="D49" i="13"/>
  <c r="K50" i="13"/>
  <c r="I58" i="13"/>
  <c r="E3" i="13"/>
  <c r="D11" i="13"/>
  <c r="J13" i="13"/>
  <c r="J15" i="13"/>
  <c r="I32" i="13"/>
  <c r="J34" i="13"/>
  <c r="F46" i="13"/>
  <c r="E51" i="13"/>
  <c r="F57" i="13"/>
  <c r="J18" i="13"/>
  <c r="K32" i="13"/>
  <c r="K34" i="13"/>
  <c r="F51" i="13"/>
  <c r="D59" i="13"/>
  <c r="F19" i="13"/>
  <c r="K22" i="13"/>
  <c r="D35" i="13"/>
  <c r="E35" i="13"/>
  <c r="K40" i="13"/>
  <c r="I10" i="13"/>
  <c r="F23" i="13"/>
  <c r="K45" i="13"/>
  <c r="I47" i="13"/>
  <c r="I50" i="13"/>
  <c r="K3" i="13"/>
  <c r="J3" i="13"/>
  <c r="I3" i="13"/>
  <c r="K2" i="13"/>
  <c r="S2" i="13" s="1"/>
  <c r="J2" i="13"/>
  <c r="I2" i="13"/>
  <c r="F15" i="13"/>
  <c r="E15" i="13"/>
  <c r="D15" i="13"/>
  <c r="E17" i="13"/>
  <c r="F17" i="13"/>
  <c r="K6" i="13"/>
  <c r="J6" i="13"/>
  <c r="I6" i="13"/>
  <c r="F13" i="13"/>
  <c r="E13" i="13"/>
  <c r="D17" i="13"/>
  <c r="K21" i="13"/>
  <c r="I21" i="13"/>
  <c r="J21" i="13"/>
  <c r="E9" i="13"/>
  <c r="D9" i="13"/>
  <c r="K23" i="13"/>
  <c r="I23" i="13"/>
  <c r="J23" i="13"/>
  <c r="F4" i="13"/>
  <c r="E4" i="13"/>
  <c r="D4" i="13"/>
  <c r="D5" i="13"/>
  <c r="K7" i="13"/>
  <c r="J8" i="13"/>
  <c r="I8" i="13"/>
  <c r="F9" i="13"/>
  <c r="F22" i="13"/>
  <c r="D22" i="13"/>
  <c r="E22" i="13"/>
  <c r="E5" i="13"/>
  <c r="K8" i="13"/>
  <c r="F10" i="13"/>
  <c r="E10" i="13"/>
  <c r="F12" i="13"/>
  <c r="E12" i="13"/>
  <c r="D12" i="13"/>
  <c r="K14" i="13"/>
  <c r="J14" i="13"/>
  <c r="I14" i="13"/>
  <c r="I25" i="13"/>
  <c r="K25" i="13"/>
  <c r="J25" i="13"/>
  <c r="I4" i="13"/>
  <c r="K9" i="13"/>
  <c r="J9" i="13"/>
  <c r="D10" i="13"/>
  <c r="J12" i="13"/>
  <c r="K12" i="13"/>
  <c r="F16" i="13"/>
  <c r="E16" i="13"/>
  <c r="D16" i="13"/>
  <c r="F7" i="13"/>
  <c r="E7" i="13"/>
  <c r="D7" i="13"/>
  <c r="K11" i="13"/>
  <c r="J11" i="13"/>
  <c r="I11" i="13"/>
  <c r="J4" i="13"/>
  <c r="I9" i="13"/>
  <c r="F11" i="13"/>
  <c r="I12" i="13"/>
  <c r="K16" i="13"/>
  <c r="J16" i="13"/>
  <c r="I16" i="13"/>
  <c r="D18" i="13"/>
  <c r="F18" i="13"/>
  <c r="E18" i="13"/>
  <c r="F24" i="13"/>
  <c r="D24" i="13"/>
  <c r="F36" i="13"/>
  <c r="D36" i="13"/>
  <c r="E36" i="13"/>
  <c r="F45" i="13"/>
  <c r="E45" i="13"/>
  <c r="D45" i="13"/>
  <c r="D53" i="13"/>
  <c r="F53" i="13"/>
  <c r="E24" i="13"/>
  <c r="K28" i="13"/>
  <c r="J28" i="13"/>
  <c r="I28" i="13"/>
  <c r="F34" i="13"/>
  <c r="E34" i="13"/>
  <c r="D34" i="13"/>
  <c r="I36" i="13"/>
  <c r="K36" i="13"/>
  <c r="J38" i="13"/>
  <c r="K38" i="13"/>
  <c r="I38" i="13"/>
  <c r="J46" i="13"/>
  <c r="K46" i="13"/>
  <c r="K49" i="13"/>
  <c r="J49" i="13"/>
  <c r="I49" i="13"/>
  <c r="E53" i="13"/>
  <c r="F28" i="13"/>
  <c r="D28" i="13"/>
  <c r="E28" i="13"/>
  <c r="J30" i="13"/>
  <c r="I30" i="13"/>
  <c r="J42" i="13"/>
  <c r="I42" i="13"/>
  <c r="J54" i="13"/>
  <c r="K54" i="13"/>
  <c r="I54" i="13"/>
  <c r="D58" i="13"/>
  <c r="F58" i="13"/>
  <c r="E58" i="13"/>
  <c r="E27" i="13"/>
  <c r="D27" i="13"/>
  <c r="J36" i="13"/>
  <c r="K41" i="13"/>
  <c r="I41" i="13"/>
  <c r="I46" i="13"/>
  <c r="J48" i="13"/>
  <c r="K48" i="13"/>
  <c r="I48" i="13"/>
  <c r="F52" i="13"/>
  <c r="D52" i="13"/>
  <c r="E61" i="13"/>
  <c r="F61" i="13"/>
  <c r="K15" i="13"/>
  <c r="E33" i="13"/>
  <c r="F33" i="13"/>
  <c r="D33" i="13"/>
  <c r="K35" i="13"/>
  <c r="I35" i="13"/>
  <c r="I53" i="13"/>
  <c r="K53" i="13"/>
  <c r="J53" i="13"/>
  <c r="D2" i="13"/>
  <c r="D3" i="13"/>
  <c r="I5" i="13"/>
  <c r="D6" i="13"/>
  <c r="I13" i="13"/>
  <c r="D14" i="13"/>
  <c r="J17" i="13"/>
  <c r="I18" i="13"/>
  <c r="J22" i="13"/>
  <c r="E23" i="13"/>
  <c r="I24" i="13"/>
  <c r="E31" i="13"/>
  <c r="F31" i="13"/>
  <c r="K33" i="13"/>
  <c r="J33" i="13"/>
  <c r="J35" i="13"/>
  <c r="E39" i="13"/>
  <c r="F39" i="13"/>
  <c r="D39" i="13"/>
  <c r="F50" i="13"/>
  <c r="E50" i="13"/>
  <c r="K52" i="13"/>
  <c r="J52" i="13"/>
  <c r="R52" i="13" s="1"/>
  <c r="E55" i="13"/>
  <c r="F55" i="13"/>
  <c r="D55" i="13"/>
  <c r="F25" i="13"/>
  <c r="D25" i="13"/>
  <c r="K26" i="13"/>
  <c r="J26" i="13"/>
  <c r="E29" i="13"/>
  <c r="D29" i="13"/>
  <c r="F32" i="13"/>
  <c r="E32" i="13"/>
  <c r="D32" i="13"/>
  <c r="F37" i="13"/>
  <c r="E37" i="13"/>
  <c r="J44" i="13"/>
  <c r="I44" i="13"/>
  <c r="E47" i="13"/>
  <c r="D47" i="13"/>
  <c r="D19" i="13"/>
  <c r="K20" i="13"/>
  <c r="J20" i="13"/>
  <c r="F21" i="13"/>
  <c r="E21" i="13"/>
  <c r="E25" i="13"/>
  <c r="I26" i="13"/>
  <c r="F29" i="13"/>
  <c r="D37" i="13"/>
  <c r="J39" i="13"/>
  <c r="I39" i="13"/>
  <c r="K43" i="13"/>
  <c r="I43" i="13"/>
  <c r="J43" i="13"/>
  <c r="K44" i="13"/>
  <c r="F47" i="13"/>
  <c r="K51" i="13"/>
  <c r="I51" i="13"/>
  <c r="J51" i="13"/>
  <c r="D54" i="13"/>
  <c r="F54" i="13"/>
  <c r="E54" i="13"/>
  <c r="J60" i="13"/>
  <c r="R60" i="13" s="1"/>
  <c r="K60" i="13"/>
  <c r="K59" i="13"/>
  <c r="I59" i="13"/>
  <c r="I40" i="13"/>
  <c r="J45" i="13"/>
  <c r="D56" i="13"/>
  <c r="D57" i="13"/>
  <c r="J59" i="13"/>
  <c r="F60" i="13"/>
  <c r="D60" i="13"/>
  <c r="K27" i="13"/>
  <c r="I27" i="13"/>
  <c r="F44" i="13"/>
  <c r="D44" i="13"/>
  <c r="J27" i="13"/>
  <c r="J29" i="13"/>
  <c r="F38" i="13"/>
  <c r="D40" i="13"/>
  <c r="D41" i="13"/>
  <c r="D42" i="13"/>
  <c r="E43" i="13"/>
  <c r="E44" i="13"/>
  <c r="J55" i="13"/>
  <c r="I56" i="13"/>
  <c r="I57" i="13"/>
  <c r="E59" i="13"/>
  <c r="K29" i="13"/>
  <c r="F41" i="13"/>
  <c r="E42" i="13"/>
  <c r="E46" i="13"/>
  <c r="K56" i="13"/>
  <c r="J57" i="13"/>
  <c r="B56" i="11"/>
  <c r="C56" i="11" s="1"/>
  <c r="F56" i="11" s="1"/>
  <c r="B48" i="11"/>
  <c r="C48" i="11" s="1"/>
  <c r="E48" i="11" s="1"/>
  <c r="B40" i="11"/>
  <c r="C40" i="11" s="1"/>
  <c r="F40" i="11" s="1"/>
  <c r="B32" i="11"/>
  <c r="C32" i="11" s="1"/>
  <c r="E32" i="11" s="1"/>
  <c r="B24" i="11"/>
  <c r="C24" i="11" s="1"/>
  <c r="F24" i="11" s="1"/>
  <c r="B41" i="11"/>
  <c r="C41" i="11" s="1"/>
  <c r="D41" i="11" s="1"/>
  <c r="B63" i="11"/>
  <c r="C63" i="11" s="1"/>
  <c r="E63" i="11" s="1"/>
  <c r="B47" i="11"/>
  <c r="C47" i="11" s="1"/>
  <c r="F47" i="11" s="1"/>
  <c r="B39" i="11"/>
  <c r="C39" i="11" s="1"/>
  <c r="F39" i="11" s="1"/>
  <c r="B31" i="11"/>
  <c r="C31" i="11" s="1"/>
  <c r="E31" i="11" s="1"/>
  <c r="B23" i="11"/>
  <c r="C23" i="11" s="1"/>
  <c r="F23" i="11" s="1"/>
  <c r="B57" i="11"/>
  <c r="C57" i="11" s="1"/>
  <c r="D57" i="11" s="1"/>
  <c r="B33" i="11"/>
  <c r="C33" i="11" s="1"/>
  <c r="D33" i="11" s="1"/>
  <c r="B55" i="11"/>
  <c r="C55" i="11" s="1"/>
  <c r="F55" i="11" s="1"/>
  <c r="B62" i="11"/>
  <c r="C62" i="11" s="1"/>
  <c r="E62" i="11" s="1"/>
  <c r="B54" i="11"/>
  <c r="C54" i="11" s="1"/>
  <c r="D54" i="11" s="1"/>
  <c r="B46" i="11"/>
  <c r="C46" i="11" s="1"/>
  <c r="E46" i="11" s="1"/>
  <c r="B38" i="11"/>
  <c r="C38" i="11" s="1"/>
  <c r="D38" i="11" s="1"/>
  <c r="B30" i="11"/>
  <c r="C30" i="11" s="1"/>
  <c r="E30" i="11" s="1"/>
  <c r="B22" i="11"/>
  <c r="C22" i="11" s="1"/>
  <c r="E22" i="11" s="1"/>
  <c r="B49" i="11"/>
  <c r="C49" i="11" s="1"/>
  <c r="D49" i="11" s="1"/>
  <c r="B25" i="11"/>
  <c r="C25" i="11" s="1"/>
  <c r="D25" i="11" s="1"/>
  <c r="B61" i="11"/>
  <c r="C61" i="11" s="1"/>
  <c r="F61" i="11" s="1"/>
  <c r="B53" i="11"/>
  <c r="C53" i="11" s="1"/>
  <c r="D53" i="11" s="1"/>
  <c r="B45" i="11"/>
  <c r="C45" i="11" s="1"/>
  <c r="E45" i="11" s="1"/>
  <c r="B37" i="11"/>
  <c r="C37" i="11" s="1"/>
  <c r="F37" i="11" s="1"/>
  <c r="B29" i="11"/>
  <c r="C29" i="11" s="1"/>
  <c r="E29" i="11" s="1"/>
  <c r="B21" i="11"/>
  <c r="C21" i="11" s="1"/>
  <c r="D21" i="11" s="1"/>
  <c r="B52" i="11"/>
  <c r="C52" i="11" s="1"/>
  <c r="E52" i="11" s="1"/>
  <c r="B36" i="11"/>
  <c r="C36" i="11" s="1"/>
  <c r="F36" i="11" s="1"/>
  <c r="B20" i="11"/>
  <c r="C20" i="11" s="1"/>
  <c r="E20" i="11" s="1"/>
  <c r="B59" i="11"/>
  <c r="C59" i="11" s="1"/>
  <c r="E59" i="11" s="1"/>
  <c r="B51" i="11"/>
  <c r="C51" i="11" s="1"/>
  <c r="D51" i="11" s="1"/>
  <c r="B43" i="11"/>
  <c r="C43" i="11" s="1"/>
  <c r="D43" i="11" s="1"/>
  <c r="B35" i="11"/>
  <c r="C35" i="11" s="1"/>
  <c r="D35" i="11" s="1"/>
  <c r="B27" i="11"/>
  <c r="C27" i="11" s="1"/>
  <c r="D27" i="11" s="1"/>
  <c r="B19" i="11"/>
  <c r="C19" i="11" s="1"/>
  <c r="E19" i="11" s="1"/>
  <c r="B60" i="11"/>
  <c r="C60" i="11" s="1"/>
  <c r="E60" i="11" s="1"/>
  <c r="B44" i="11"/>
  <c r="C44" i="11" s="1"/>
  <c r="D44" i="11" s="1"/>
  <c r="B28" i="11"/>
  <c r="C28" i="11" s="1"/>
  <c r="F28" i="11" s="1"/>
  <c r="B58" i="11"/>
  <c r="C58" i="11" s="1"/>
  <c r="F58" i="11" s="1"/>
  <c r="B50" i="11"/>
  <c r="C50" i="11" s="1"/>
  <c r="D50" i="11" s="1"/>
  <c r="B42" i="11"/>
  <c r="C42" i="11" s="1"/>
  <c r="E42" i="11" s="1"/>
  <c r="B34" i="11"/>
  <c r="C34" i="11" s="1"/>
  <c r="D34" i="11" s="1"/>
  <c r="B26" i="11"/>
  <c r="C26" i="11" s="1"/>
  <c r="E26" i="11" s="1"/>
  <c r="AM25" i="7"/>
  <c r="AM24" i="7"/>
  <c r="AB54" i="16" l="1"/>
  <c r="AB21" i="16"/>
  <c r="AC51" i="16"/>
  <c r="AC21" i="16"/>
  <c r="AB51" i="16"/>
  <c r="AB52" i="16"/>
  <c r="AB41" i="16"/>
  <c r="AB50" i="16"/>
  <c r="AC19" i="16"/>
  <c r="AC27" i="16"/>
  <c r="AC23" i="16"/>
  <c r="AB13" i="16"/>
  <c r="AA46" i="16"/>
  <c r="AC54" i="16"/>
  <c r="AA53" i="16"/>
  <c r="AC25" i="16"/>
  <c r="AB25" i="16"/>
  <c r="AB44" i="16"/>
  <c r="AC41" i="16"/>
  <c r="AC39" i="16"/>
  <c r="AA33" i="16"/>
  <c r="AA44" i="16"/>
  <c r="AC43" i="16"/>
  <c r="AB60" i="16"/>
  <c r="AB49" i="16"/>
  <c r="AC33" i="16"/>
  <c r="AB36" i="16"/>
  <c r="AB10" i="16"/>
  <c r="AC59" i="16"/>
  <c r="AB46" i="16"/>
  <c r="AC57" i="16"/>
  <c r="AC30" i="16"/>
  <c r="AC16" i="16"/>
  <c r="AC52" i="16"/>
  <c r="AA9" i="16"/>
  <c r="AA59" i="16"/>
  <c r="AC49" i="16"/>
  <c r="AB53" i="16"/>
  <c r="AA41" i="16"/>
  <c r="AA31" i="16"/>
  <c r="AA61" i="16"/>
  <c r="AC12" i="16"/>
  <c r="AC10" i="16"/>
  <c r="AB59" i="16"/>
  <c r="AC18" i="16"/>
  <c r="AB45" i="16"/>
  <c r="AC37" i="16"/>
  <c r="AB31" i="16"/>
  <c r="AB37" i="16"/>
  <c r="AC32" i="16"/>
  <c r="AA11" i="16"/>
  <c r="AA28" i="16"/>
  <c r="AC3" i="16"/>
  <c r="AB57" i="16"/>
  <c r="AC44" i="16"/>
  <c r="AB48" i="16"/>
  <c r="AA36" i="16"/>
  <c r="AC24" i="16"/>
  <c r="AC9" i="16"/>
  <c r="AA7" i="16"/>
  <c r="AC5" i="16"/>
  <c r="AA32" i="16"/>
  <c r="AA30" i="16"/>
  <c r="AA51" i="16"/>
  <c r="AB15" i="16"/>
  <c r="AB20" i="16"/>
  <c r="AB11" i="16"/>
  <c r="AC2" i="16"/>
  <c r="AC8" i="16"/>
  <c r="AA54" i="16"/>
  <c r="AA39" i="16"/>
  <c r="AC31" i="16"/>
  <c r="AA5" i="16"/>
  <c r="AA6" i="16"/>
  <c r="AB58" i="16"/>
  <c r="AB23" i="16"/>
  <c r="AC17" i="16"/>
  <c r="AA52" i="16"/>
  <c r="AB61" i="16"/>
  <c r="AA12" i="16"/>
  <c r="AB3" i="16"/>
  <c r="AA8" i="16"/>
  <c r="AB9" i="16"/>
  <c r="AA3" i="16"/>
  <c r="AC11" i="16"/>
  <c r="AC46" i="16"/>
  <c r="AA57" i="16"/>
  <c r="AA42" i="16"/>
  <c r="AA37" i="16"/>
  <c r="AC61" i="16"/>
  <c r="AB39" i="16"/>
  <c r="AA23" i="16"/>
  <c r="AB22" i="16"/>
  <c r="AB19" i="16"/>
  <c r="AA20" i="16"/>
  <c r="AB2" i="16"/>
  <c r="AB8" i="16"/>
  <c r="AC45" i="16"/>
  <c r="AA45" i="16"/>
  <c r="AC36" i="16"/>
  <c r="AC53" i="16"/>
  <c r="AB32" i="16"/>
  <c r="AB40" i="16"/>
  <c r="AA38" i="16"/>
  <c r="AA21" i="16"/>
  <c r="AC55" i="16"/>
  <c r="AC47" i="16"/>
  <c r="AA24" i="16"/>
  <c r="AC13" i="16"/>
  <c r="AC15" i="16"/>
  <c r="AB6" i="16"/>
  <c r="AB4" i="16"/>
  <c r="AB55" i="16"/>
  <c r="AB47" i="16"/>
  <c r="AA58" i="16"/>
  <c r="AB35" i="16"/>
  <c r="AA40" i="16"/>
  <c r="AC35" i="16"/>
  <c r="AB38" i="16"/>
  <c r="AC34" i="16"/>
  <c r="AA55" i="16"/>
  <c r="AB34" i="16"/>
  <c r="AA47" i="16"/>
  <c r="AA29" i="16"/>
  <c r="AB24" i="16"/>
  <c r="AC26" i="16"/>
  <c r="AA13" i="16"/>
  <c r="AA10" i="16"/>
  <c r="AA15" i="16"/>
  <c r="AC6" i="16"/>
  <c r="AC4" i="16"/>
  <c r="AA4" i="16"/>
  <c r="AA48" i="16"/>
  <c r="AB42" i="16"/>
  <c r="AA56" i="16"/>
  <c r="AA49" i="16"/>
  <c r="AC40" i="16"/>
  <c r="AA35" i="16"/>
  <c r="AB27" i="16"/>
  <c r="AC38" i="16"/>
  <c r="AB33" i="16"/>
  <c r="AA27" i="16"/>
  <c r="AA34" i="16"/>
  <c r="AA50" i="16"/>
  <c r="AA16" i="16"/>
  <c r="AB29" i="16"/>
  <c r="AA26" i="16"/>
  <c r="AA18" i="16"/>
  <c r="AA14" i="16"/>
  <c r="AA17" i="16"/>
  <c r="AC7" i="16"/>
  <c r="AB7" i="16"/>
  <c r="AA60" i="16"/>
  <c r="AC58" i="16"/>
  <c r="AC48" i="16"/>
  <c r="AC42" i="16"/>
  <c r="AB56" i="16"/>
  <c r="AB30" i="16"/>
  <c r="AC50" i="16"/>
  <c r="AB16" i="16"/>
  <c r="AC29" i="16"/>
  <c r="AB26" i="16"/>
  <c r="AC28" i="16"/>
  <c r="AB12" i="16"/>
  <c r="AB18" i="16"/>
  <c r="AB14" i="16"/>
  <c r="AB17" i="16"/>
  <c r="AC60" i="16"/>
  <c r="AC56" i="16"/>
  <c r="AA25" i="16"/>
  <c r="AB43" i="16"/>
  <c r="AC22" i="16"/>
  <c r="AC14" i="16"/>
  <c r="AB5" i="16"/>
  <c r="AA43" i="16"/>
  <c r="AA22" i="16"/>
  <c r="AA19" i="16"/>
  <c r="AB28" i="16"/>
  <c r="AC20" i="16"/>
  <c r="AA2" i="16"/>
  <c r="AA12" i="14"/>
  <c r="AB62" i="14"/>
  <c r="AC33" i="14"/>
  <c r="AB4" i="14"/>
  <c r="AC17" i="14"/>
  <c r="AB46" i="14"/>
  <c r="AA43" i="14"/>
  <c r="AA10" i="14"/>
  <c r="AA51" i="14"/>
  <c r="AA58" i="14"/>
  <c r="AC60" i="14"/>
  <c r="AC12" i="14"/>
  <c r="AA42" i="14"/>
  <c r="AA19" i="14"/>
  <c r="AB14" i="14"/>
  <c r="AB43" i="14"/>
  <c r="AC37" i="14"/>
  <c r="AA29" i="14"/>
  <c r="AC24" i="14"/>
  <c r="AC28" i="14"/>
  <c r="AB30" i="14"/>
  <c r="AA26" i="14"/>
  <c r="AA33" i="14"/>
  <c r="AC25" i="14"/>
  <c r="AB27" i="14"/>
  <c r="AC47" i="14"/>
  <c r="AA48" i="14"/>
  <c r="AA61" i="14"/>
  <c r="AC50" i="14"/>
  <c r="AC44" i="14"/>
  <c r="AA27" i="14"/>
  <c r="AA11" i="14"/>
  <c r="AC49" i="14"/>
  <c r="AA59" i="14"/>
  <c r="AA35" i="14"/>
  <c r="AA30" i="14"/>
  <c r="AC18" i="14"/>
  <c r="AA20" i="14"/>
  <c r="AC26" i="14"/>
  <c r="AA4" i="14"/>
  <c r="AC30" i="14"/>
  <c r="AC62" i="14"/>
  <c r="AB10" i="14"/>
  <c r="AB5" i="14"/>
  <c r="AB31" i="14"/>
  <c r="AA47" i="14"/>
  <c r="AB16" i="14"/>
  <c r="AB7" i="14"/>
  <c r="AC23" i="14"/>
  <c r="AB45" i="14"/>
  <c r="AC8" i="14"/>
  <c r="AA40" i="14"/>
  <c r="AB60" i="14"/>
  <c r="AA46" i="14"/>
  <c r="AB9" i="14"/>
  <c r="AB38" i="14"/>
  <c r="AC34" i="14"/>
  <c r="AB35" i="14"/>
  <c r="AC11" i="14"/>
  <c r="AB18" i="14"/>
  <c r="AA5" i="14"/>
  <c r="AA31" i="14"/>
  <c r="AC53" i="14"/>
  <c r="AA16" i="14"/>
  <c r="AC7" i="14"/>
  <c r="AC29" i="14"/>
  <c r="AA45" i="14"/>
  <c r="AB8" i="14"/>
  <c r="AC56" i="14"/>
  <c r="AA49" i="14"/>
  <c r="AA62" i="14"/>
  <c r="AA34" i="14"/>
  <c r="AA9" i="14"/>
  <c r="AB57" i="14"/>
  <c r="AC4" i="14"/>
  <c r="AC6" i="14"/>
  <c r="AC38" i="14"/>
  <c r="AC19" i="14"/>
  <c r="AB26" i="14"/>
  <c r="AB15" i="14"/>
  <c r="AC31" i="14"/>
  <c r="AB53" i="14"/>
  <c r="AC32" i="14"/>
  <c r="AA7" i="14"/>
  <c r="AB29" i="14"/>
  <c r="AC55" i="14"/>
  <c r="AA8" i="14"/>
  <c r="AB56" i="14"/>
  <c r="AB41" i="14"/>
  <c r="AC52" i="14"/>
  <c r="AA18" i="14"/>
  <c r="AC9" i="14"/>
  <c r="AA57" i="14"/>
  <c r="AB11" i="14"/>
  <c r="AC27" i="14"/>
  <c r="AB34" i="14"/>
  <c r="AA15" i="14"/>
  <c r="AA53" i="14"/>
  <c r="AB32" i="14"/>
  <c r="AC13" i="14"/>
  <c r="AB55" i="14"/>
  <c r="AA56" i="14"/>
  <c r="AA41" i="14"/>
  <c r="AB52" i="14"/>
  <c r="AC36" i="14"/>
  <c r="AC57" i="14"/>
  <c r="AC58" i="14"/>
  <c r="AC42" i="14"/>
  <c r="AA60" i="14"/>
  <c r="AC14" i="14"/>
  <c r="AC46" i="14"/>
  <c r="AC35" i="14"/>
  <c r="AB42" i="14"/>
  <c r="AC15" i="14"/>
  <c r="AB37" i="14"/>
  <c r="AC63" i="14"/>
  <c r="AA32" i="14"/>
  <c r="AB13" i="14"/>
  <c r="AB39" i="14"/>
  <c r="AA55" i="14"/>
  <c r="AB24" i="14"/>
  <c r="AB33" i="14"/>
  <c r="AC41" i="14"/>
  <c r="AB36" i="14"/>
  <c r="AC20" i="14"/>
  <c r="AA22" i="14"/>
  <c r="AB17" i="14"/>
  <c r="AB19" i="14"/>
  <c r="AB51" i="14"/>
  <c r="AC43" i="14"/>
  <c r="AB50" i="14"/>
  <c r="AC21" i="14"/>
  <c r="AA37" i="14"/>
  <c r="AB63" i="14"/>
  <c r="AC48" i="14"/>
  <c r="AA13" i="14"/>
  <c r="AA39" i="14"/>
  <c r="AC61" i="14"/>
  <c r="AA24" i="14"/>
  <c r="AB12" i="14"/>
  <c r="AA17" i="14"/>
  <c r="AB49" i="14"/>
  <c r="AB25" i="14"/>
  <c r="AB20" i="14"/>
  <c r="AB22" i="14"/>
  <c r="AA36" i="14"/>
  <c r="AA28" i="14"/>
  <c r="AA52" i="14"/>
  <c r="AA44" i="14"/>
  <c r="AC10" i="14"/>
  <c r="AC22" i="14"/>
  <c r="AC54" i="14"/>
  <c r="AC51" i="14"/>
  <c r="AB58" i="14"/>
  <c r="AB21" i="14"/>
  <c r="AB47" i="14"/>
  <c r="AA63" i="14"/>
  <c r="AB48" i="14"/>
  <c r="AB23" i="14"/>
  <c r="AC39" i="14"/>
  <c r="AB61" i="14"/>
  <c r="AC40" i="14"/>
  <c r="AB28" i="14"/>
  <c r="AA14" i="14"/>
  <c r="AA6" i="14"/>
  <c r="AA25" i="14"/>
  <c r="AA54" i="14"/>
  <c r="AB59" i="14"/>
  <c r="AC59" i="14"/>
  <c r="AC5" i="14"/>
  <c r="AA21" i="14"/>
  <c r="AC16" i="14"/>
  <c r="AA23" i="14"/>
  <c r="AC45" i="14"/>
  <c r="AB40" i="14"/>
  <c r="AB44" i="14"/>
  <c r="AB6" i="14"/>
  <c r="AB54" i="14"/>
  <c r="AA38" i="14"/>
  <c r="AA50" i="14"/>
  <c r="X16" i="15"/>
  <c r="W33" i="15"/>
  <c r="W52" i="15"/>
  <c r="X3" i="15"/>
  <c r="X45" i="15"/>
  <c r="X15" i="15"/>
  <c r="V11" i="15"/>
  <c r="X18" i="15"/>
  <c r="V25" i="15"/>
  <c r="V40" i="15"/>
  <c r="X22" i="15"/>
  <c r="V33" i="15"/>
  <c r="X52" i="15"/>
  <c r="X5" i="15"/>
  <c r="X29" i="15"/>
  <c r="X12" i="15"/>
  <c r="W14" i="15"/>
  <c r="V52" i="15"/>
  <c r="V41" i="15"/>
  <c r="W41" i="15"/>
  <c r="V59" i="15"/>
  <c r="X44" i="15"/>
  <c r="X24" i="15"/>
  <c r="X8" i="15"/>
  <c r="X13" i="15"/>
  <c r="V58" i="15"/>
  <c r="V20" i="15"/>
  <c r="W49" i="15"/>
  <c r="W6" i="15"/>
  <c r="X14" i="15"/>
  <c r="X51" i="15"/>
  <c r="W42" i="15"/>
  <c r="W38" i="15"/>
  <c r="X40" i="15"/>
  <c r="V14" i="15"/>
  <c r="V16" i="15"/>
  <c r="V30" i="15"/>
  <c r="X55" i="15"/>
  <c r="X21" i="15"/>
  <c r="X25" i="15"/>
  <c r="W48" i="15"/>
  <c r="V51" i="15"/>
  <c r="W57" i="15"/>
  <c r="V8" i="15"/>
  <c r="V42" i="15"/>
  <c r="X32" i="15"/>
  <c r="W9" i="15"/>
  <c r="X11" i="15"/>
  <c r="W25" i="15"/>
  <c r="X37" i="15"/>
  <c r="X6" i="15"/>
  <c r="W11" i="15"/>
  <c r="X56" i="15"/>
  <c r="W51" i="15"/>
  <c r="X57" i="15"/>
  <c r="X33" i="15"/>
  <c r="V3" i="15"/>
  <c r="X41" i="15"/>
  <c r="X61" i="15"/>
  <c r="V54" i="15"/>
  <c r="V53" i="15"/>
  <c r="W28" i="15"/>
  <c r="X35" i="15"/>
  <c r="X39" i="15"/>
  <c r="W13" i="15"/>
  <c r="X23" i="15"/>
  <c r="X48" i="15"/>
  <c r="X31" i="15"/>
  <c r="X17" i="15"/>
  <c r="V50" i="15"/>
  <c r="W54" i="15"/>
  <c r="W53" i="15"/>
  <c r="V27" i="15"/>
  <c r="W20" i="15"/>
  <c r="X28" i="15"/>
  <c r="V34" i="15"/>
  <c r="V24" i="15"/>
  <c r="V19" i="15"/>
  <c r="W39" i="15"/>
  <c r="V15" i="15"/>
  <c r="W7" i="15"/>
  <c r="V37" i="15"/>
  <c r="W56" i="15"/>
  <c r="W44" i="15"/>
  <c r="W23" i="15"/>
  <c r="V31" i="15"/>
  <c r="W17" i="15"/>
  <c r="V44" i="15"/>
  <c r="V46" i="15"/>
  <c r="W50" i="15"/>
  <c r="W59" i="15"/>
  <c r="V60" i="15"/>
  <c r="X54" i="15"/>
  <c r="X53" i="15"/>
  <c r="X20" i="15"/>
  <c r="W27" i="15"/>
  <c r="W34" i="15"/>
  <c r="W24" i="15"/>
  <c r="X19" i="15"/>
  <c r="V4" i="15"/>
  <c r="X7" i="15"/>
  <c r="X58" i="15"/>
  <c r="V23" i="15"/>
  <c r="AC23" i="15" s="1"/>
  <c r="X50" i="15"/>
  <c r="W46" i="15"/>
  <c r="X59" i="15"/>
  <c r="X49" i="15"/>
  <c r="W60" i="15"/>
  <c r="W22" i="15"/>
  <c r="X27" i="15"/>
  <c r="V43" i="15"/>
  <c r="X34" i="15"/>
  <c r="V6" i="15"/>
  <c r="V10" i="15"/>
  <c r="W4" i="15"/>
  <c r="V7" i="15"/>
  <c r="W58" i="15"/>
  <c r="X46" i="15"/>
  <c r="X42" i="15"/>
  <c r="V49" i="15"/>
  <c r="X60" i="15"/>
  <c r="V47" i="15"/>
  <c r="V36" i="15"/>
  <c r="V26" i="15"/>
  <c r="W19" i="15"/>
  <c r="W43" i="15"/>
  <c r="W10" i="15"/>
  <c r="X4" i="15"/>
  <c r="X9" i="15"/>
  <c r="V56" i="15"/>
  <c r="V45" i="15"/>
  <c r="W40" i="15"/>
  <c r="V55" i="15"/>
  <c r="W47" i="15"/>
  <c r="W36" i="15"/>
  <c r="V21" i="15"/>
  <c r="X38" i="15"/>
  <c r="W26" i="15"/>
  <c r="W30" i="15"/>
  <c r="X43" i="15"/>
  <c r="V18" i="15"/>
  <c r="X10" i="15"/>
  <c r="W45" i="15"/>
  <c r="V61" i="15"/>
  <c r="W55" i="15"/>
  <c r="X47" i="15"/>
  <c r="X36" i="15"/>
  <c r="V32" i="15"/>
  <c r="W21" i="15"/>
  <c r="V38" i="15"/>
  <c r="V29" i="15"/>
  <c r="X26" i="15"/>
  <c r="X30" i="15"/>
  <c r="V35" i="15"/>
  <c r="W18" i="15"/>
  <c r="V5" i="15"/>
  <c r="V12" i="15"/>
  <c r="W16" i="15"/>
  <c r="W8" i="15"/>
  <c r="V57" i="15"/>
  <c r="W61" i="15"/>
  <c r="W32" i="15"/>
  <c r="W29" i="15"/>
  <c r="V28" i="15"/>
  <c r="W35" i="15"/>
  <c r="V39" i="15"/>
  <c r="W15" i="15"/>
  <c r="W3" i="15"/>
  <c r="V13" i="15"/>
  <c r="W5" i="15"/>
  <c r="W12" i="15"/>
  <c r="W37" i="15"/>
  <c r="V9" i="15"/>
  <c r="V48" i="15"/>
  <c r="W31" i="15"/>
  <c r="V17" i="15"/>
  <c r="W2" i="15"/>
  <c r="X2" i="15"/>
  <c r="V2" i="15"/>
  <c r="S35" i="13"/>
  <c r="Q21" i="13"/>
  <c r="S47" i="13"/>
  <c r="S3" i="13"/>
  <c r="Z3" i="13" s="1"/>
  <c r="Q29" i="13"/>
  <c r="Q58" i="13"/>
  <c r="R57" i="13"/>
  <c r="R44" i="13"/>
  <c r="Q61" i="13"/>
  <c r="Q28" i="13"/>
  <c r="S54" i="13"/>
  <c r="Q42" i="13"/>
  <c r="Q3" i="13"/>
  <c r="R58" i="13"/>
  <c r="S43" i="13"/>
  <c r="Z43" i="13" s="1"/>
  <c r="R5" i="13"/>
  <c r="Q33" i="13"/>
  <c r="R49" i="13"/>
  <c r="S39" i="13"/>
  <c r="Q46" i="13"/>
  <c r="Q51" i="13"/>
  <c r="S22" i="13"/>
  <c r="Q37" i="13"/>
  <c r="R23" i="13"/>
  <c r="R47" i="13"/>
  <c r="R43" i="13"/>
  <c r="Q20" i="13"/>
  <c r="Q41" i="13"/>
  <c r="Q50" i="13"/>
  <c r="Q8" i="13"/>
  <c r="S59" i="13"/>
  <c r="R32" i="13"/>
  <c r="R10" i="13"/>
  <c r="Q54" i="13"/>
  <c r="S53" i="13"/>
  <c r="S49" i="13"/>
  <c r="Q34" i="13"/>
  <c r="S17" i="13"/>
  <c r="S50" i="13"/>
  <c r="S33" i="13"/>
  <c r="S38" i="13"/>
  <c r="Q25" i="13"/>
  <c r="R4" i="13"/>
  <c r="Q32" i="13"/>
  <c r="Q47" i="13"/>
  <c r="Q14" i="13"/>
  <c r="Q6" i="13"/>
  <c r="Q39" i="13"/>
  <c r="S11" i="13"/>
  <c r="Q23" i="13"/>
  <c r="Q19" i="13"/>
  <c r="S24" i="13"/>
  <c r="S5" i="13"/>
  <c r="Q31" i="13"/>
  <c r="R6" i="13"/>
  <c r="R14" i="13"/>
  <c r="R19" i="13"/>
  <c r="Q16" i="13"/>
  <c r="R12" i="13"/>
  <c r="R28" i="13"/>
  <c r="S12" i="13"/>
  <c r="Q38" i="13"/>
  <c r="S26" i="13"/>
  <c r="R54" i="13"/>
  <c r="S45" i="13"/>
  <c r="Q22" i="13"/>
  <c r="S29" i="13"/>
  <c r="S32" i="13"/>
  <c r="S55" i="13"/>
  <c r="R39" i="13"/>
  <c r="Q2" i="13"/>
  <c r="R33" i="13"/>
  <c r="R34" i="13"/>
  <c r="Q45" i="13"/>
  <c r="R18" i="13"/>
  <c r="R17" i="13"/>
  <c r="R35" i="13"/>
  <c r="Q11" i="13"/>
  <c r="S6" i="13"/>
  <c r="R38" i="13"/>
  <c r="R11" i="13"/>
  <c r="S20" i="13"/>
  <c r="Q53" i="13"/>
  <c r="Q57" i="13"/>
  <c r="R25" i="13"/>
  <c r="Q55" i="13"/>
  <c r="S7" i="13"/>
  <c r="S18" i="13"/>
  <c r="R46" i="13"/>
  <c r="Q44" i="13"/>
  <c r="R36" i="13"/>
  <c r="R50" i="13"/>
  <c r="Q13" i="13"/>
  <c r="Q12" i="13"/>
  <c r="Y41" i="13"/>
  <c r="S14" i="13"/>
  <c r="R42" i="13"/>
  <c r="Y42" i="13" s="1"/>
  <c r="R29" i="13"/>
  <c r="R45" i="13"/>
  <c r="S9" i="13"/>
  <c r="Q35" i="13"/>
  <c r="Q48" i="13"/>
  <c r="S41" i="13"/>
  <c r="Z42" i="13" s="1"/>
  <c r="R21" i="13"/>
  <c r="S61" i="13"/>
  <c r="Q18" i="13"/>
  <c r="S16" i="13"/>
  <c r="R13" i="13"/>
  <c r="R15" i="13"/>
  <c r="R51" i="13"/>
  <c r="Y52" i="13" s="1"/>
  <c r="R48" i="13"/>
  <c r="R56" i="13"/>
  <c r="R30" i="13"/>
  <c r="Q26" i="13"/>
  <c r="Q43" i="13"/>
  <c r="S21" i="13"/>
  <c r="R37" i="13"/>
  <c r="R61" i="13"/>
  <c r="Y61" i="13" s="1"/>
  <c r="S28" i="13"/>
  <c r="S10" i="13"/>
  <c r="S13" i="13"/>
  <c r="S15" i="13"/>
  <c r="S19" i="13"/>
  <c r="S46" i="13"/>
  <c r="S48" i="13"/>
  <c r="S56" i="13"/>
  <c r="S30" i="13"/>
  <c r="R26" i="13"/>
  <c r="S40" i="13"/>
  <c r="Q56" i="13"/>
  <c r="Q17" i="13"/>
  <c r="R3" i="13"/>
  <c r="R59" i="13"/>
  <c r="Q40" i="13"/>
  <c r="S27" i="13"/>
  <c r="S37" i="13"/>
  <c r="S31" i="13"/>
  <c r="Q52" i="13"/>
  <c r="R53" i="13"/>
  <c r="Y53" i="13" s="1"/>
  <c r="Q36" i="13"/>
  <c r="Q9" i="13"/>
  <c r="Q59" i="13"/>
  <c r="Q49" i="13"/>
  <c r="R8" i="13"/>
  <c r="Q30" i="13"/>
  <c r="R2" i="13"/>
  <c r="R55" i="13"/>
  <c r="S58" i="13"/>
  <c r="S4" i="13"/>
  <c r="S44" i="13"/>
  <c r="S34" i="13"/>
  <c r="R16" i="13"/>
  <c r="Q15" i="13"/>
  <c r="S57" i="13"/>
  <c r="Q60" i="13"/>
  <c r="S25" i="13"/>
  <c r="R31" i="13"/>
  <c r="S52" i="13"/>
  <c r="Q27" i="13"/>
  <c r="R24" i="13"/>
  <c r="S36" i="13"/>
  <c r="Z36" i="13" s="1"/>
  <c r="Q7" i="13"/>
  <c r="Q10" i="13"/>
  <c r="Q5" i="13"/>
  <c r="R9" i="13"/>
  <c r="S23" i="13"/>
  <c r="S51" i="13"/>
  <c r="R20" i="13"/>
  <c r="S8" i="13"/>
  <c r="S60" i="13"/>
  <c r="R27" i="13"/>
  <c r="Q24" i="13"/>
  <c r="R7" i="13"/>
  <c r="R22" i="13"/>
  <c r="Q4" i="13"/>
  <c r="D23" i="11"/>
  <c r="E40" i="11"/>
  <c r="F41" i="11"/>
  <c r="M41" i="11" s="1"/>
  <c r="D36" i="11"/>
  <c r="E36" i="11"/>
  <c r="F25" i="11"/>
  <c r="M25" i="11" s="1"/>
  <c r="E41" i="11"/>
  <c r="D55" i="11"/>
  <c r="K55" i="11" s="1"/>
  <c r="E55" i="11"/>
  <c r="E25" i="11"/>
  <c r="F57" i="11"/>
  <c r="M58" i="11" s="1"/>
  <c r="E57" i="11"/>
  <c r="F49" i="11"/>
  <c r="D60" i="11"/>
  <c r="F60" i="11"/>
  <c r="M61" i="11" s="1"/>
  <c r="D24" i="11"/>
  <c r="E24" i="11"/>
  <c r="E49" i="11"/>
  <c r="L49" i="11" s="1"/>
  <c r="O49" i="11" s="1"/>
  <c r="F52" i="11"/>
  <c r="D19" i="11"/>
  <c r="F26" i="11"/>
  <c r="E23" i="11"/>
  <c r="E35" i="11"/>
  <c r="F42" i="11"/>
  <c r="D40" i="11"/>
  <c r="F30" i="11"/>
  <c r="F29" i="11"/>
  <c r="M29" i="11" s="1"/>
  <c r="P29" i="11" s="1"/>
  <c r="F35" i="11"/>
  <c r="D30" i="11"/>
  <c r="F44" i="11"/>
  <c r="D63" i="11"/>
  <c r="D20" i="11"/>
  <c r="K21" i="11" s="1"/>
  <c r="D62" i="11"/>
  <c r="E21" i="11"/>
  <c r="E27" i="11"/>
  <c r="L27" i="11" s="1"/>
  <c r="O27" i="11" s="1"/>
  <c r="F32" i="11"/>
  <c r="D22" i="11"/>
  <c r="F19" i="11"/>
  <c r="D59" i="11"/>
  <c r="D42" i="11"/>
  <c r="E33" i="11"/>
  <c r="F33" i="11"/>
  <c r="D29" i="11"/>
  <c r="F54" i="11"/>
  <c r="M55" i="11" s="1"/>
  <c r="K34" i="11"/>
  <c r="D52" i="11"/>
  <c r="K52" i="11" s="1"/>
  <c r="N52" i="11" s="1"/>
  <c r="K50" i="11"/>
  <c r="E44" i="11"/>
  <c r="L45" i="11" s="1"/>
  <c r="D37" i="11"/>
  <c r="E61" i="11"/>
  <c r="L61" i="11" s="1"/>
  <c r="F46" i="11"/>
  <c r="M47" i="11" s="1"/>
  <c r="F43" i="11"/>
  <c r="F20" i="11"/>
  <c r="F27" i="11"/>
  <c r="D61" i="11"/>
  <c r="F34" i="11"/>
  <c r="D56" i="11"/>
  <c r="F63" i="11"/>
  <c r="L60" i="11"/>
  <c r="F62" i="11"/>
  <c r="M62" i="11" s="1"/>
  <c r="P62" i="11" s="1"/>
  <c r="D32" i="11"/>
  <c r="K33" i="11" s="1"/>
  <c r="F45" i="11"/>
  <c r="F21" i="11"/>
  <c r="F22" i="11"/>
  <c r="M23" i="11" s="1"/>
  <c r="E34" i="11"/>
  <c r="E50" i="11"/>
  <c r="E43" i="11"/>
  <c r="L43" i="11" s="1"/>
  <c r="O43" i="11" s="1"/>
  <c r="D28" i="11"/>
  <c r="K28" i="11" s="1"/>
  <c r="E39" i="11"/>
  <c r="D46" i="11"/>
  <c r="F53" i="11"/>
  <c r="E54" i="11"/>
  <c r="E28" i="11"/>
  <c r="F31" i="11"/>
  <c r="D39" i="11"/>
  <c r="D26" i="11"/>
  <c r="K26" i="11" s="1"/>
  <c r="N26" i="11" s="1"/>
  <c r="D31" i="11"/>
  <c r="E53" i="11"/>
  <c r="E47" i="11"/>
  <c r="L48" i="11" s="1"/>
  <c r="F48" i="11"/>
  <c r="M48" i="11" s="1"/>
  <c r="P48" i="11" s="1"/>
  <c r="E37" i="11"/>
  <c r="F50" i="11"/>
  <c r="F38" i="11"/>
  <c r="M38" i="11" s="1"/>
  <c r="D47" i="11"/>
  <c r="D48" i="11"/>
  <c r="K49" i="11" s="1"/>
  <c r="E51" i="11"/>
  <c r="L52" i="11" s="1"/>
  <c r="F59" i="11"/>
  <c r="M59" i="11" s="1"/>
  <c r="P59" i="11" s="1"/>
  <c r="E38" i="11"/>
  <c r="D45" i="11"/>
  <c r="K45" i="11" s="1"/>
  <c r="N45" i="11" s="1"/>
  <c r="D58" i="11"/>
  <c r="K58" i="11" s="1"/>
  <c r="F51" i="11"/>
  <c r="E56" i="11"/>
  <c r="E58" i="11"/>
  <c r="M40" i="11"/>
  <c r="M56" i="11"/>
  <c r="M24" i="11"/>
  <c r="L32" i="11"/>
  <c r="K54" i="11"/>
  <c r="K44" i="11"/>
  <c r="K51" i="11"/>
  <c r="K35" i="11"/>
  <c r="L46" i="11"/>
  <c r="M37" i="11"/>
  <c r="L31" i="11"/>
  <c r="L30" i="11"/>
  <c r="L20" i="11"/>
  <c r="L63" i="11"/>
  <c r="G17" i="7"/>
  <c r="H17" i="7" s="1"/>
  <c r="G18" i="7"/>
  <c r="H18" i="7" s="1"/>
  <c r="G19" i="7"/>
  <c r="H19" i="7" s="1"/>
  <c r="J19" i="7" s="1"/>
  <c r="G20" i="7"/>
  <c r="H20" i="7" s="1"/>
  <c r="G21" i="7"/>
  <c r="H21" i="7" s="1"/>
  <c r="G22" i="7"/>
  <c r="H22" i="7" s="1"/>
  <c r="G23" i="7"/>
  <c r="H23" i="7" s="1"/>
  <c r="G24" i="7"/>
  <c r="H24" i="7" s="1"/>
  <c r="G25" i="7"/>
  <c r="H25" i="7" s="1"/>
  <c r="G26" i="7"/>
  <c r="H26" i="7" s="1"/>
  <c r="J26" i="7" s="1"/>
  <c r="G27" i="7"/>
  <c r="H27" i="7" s="1"/>
  <c r="K27" i="7" s="1"/>
  <c r="G28" i="7"/>
  <c r="H28" i="7" s="1"/>
  <c r="G29" i="7"/>
  <c r="H29" i="7" s="1"/>
  <c r="G30" i="7"/>
  <c r="H30" i="7" s="1"/>
  <c r="J30" i="7" s="1"/>
  <c r="G31" i="7"/>
  <c r="H31" i="7" s="1"/>
  <c r="G32" i="7"/>
  <c r="H32" i="7" s="1"/>
  <c r="G33" i="7"/>
  <c r="H33" i="7" s="1"/>
  <c r="G34" i="7"/>
  <c r="H34" i="7" s="1"/>
  <c r="G35" i="7"/>
  <c r="H35" i="7" s="1"/>
  <c r="J35" i="7" s="1"/>
  <c r="G36" i="7"/>
  <c r="H36" i="7" s="1"/>
  <c r="G37" i="7"/>
  <c r="H37" i="7" s="1"/>
  <c r="G38" i="7"/>
  <c r="H38" i="7" s="1"/>
  <c r="J38" i="7" s="1"/>
  <c r="G39" i="7"/>
  <c r="H39" i="7" s="1"/>
  <c r="G40" i="7"/>
  <c r="H40" i="7" s="1"/>
  <c r="G41" i="7"/>
  <c r="H41" i="7" s="1"/>
  <c r="G42" i="7"/>
  <c r="H42" i="7" s="1"/>
  <c r="G43" i="7"/>
  <c r="H43" i="7" s="1"/>
  <c r="J43" i="7" s="1"/>
  <c r="G44" i="7"/>
  <c r="H44" i="7" s="1"/>
  <c r="G45" i="7"/>
  <c r="H45" i="7" s="1"/>
  <c r="K45" i="7" s="1"/>
  <c r="G46" i="7"/>
  <c r="H46" i="7" s="1"/>
  <c r="K46" i="7" s="1"/>
  <c r="G47" i="7"/>
  <c r="H47" i="7" s="1"/>
  <c r="J47" i="7" s="1"/>
  <c r="G48" i="7"/>
  <c r="H48" i="7" s="1"/>
  <c r="G49" i="7"/>
  <c r="H49" i="7" s="1"/>
  <c r="G50" i="7"/>
  <c r="H50" i="7" s="1"/>
  <c r="K50" i="7" s="1"/>
  <c r="G51" i="7"/>
  <c r="H51" i="7" s="1"/>
  <c r="K51" i="7" s="1"/>
  <c r="G52" i="7"/>
  <c r="H52" i="7" s="1"/>
  <c r="G53" i="7"/>
  <c r="H53" i="7" s="1"/>
  <c r="I53" i="7" s="1"/>
  <c r="G54" i="7"/>
  <c r="H54" i="7" s="1"/>
  <c r="G55" i="7"/>
  <c r="H55" i="7" s="1"/>
  <c r="K55" i="7" s="1"/>
  <c r="G56" i="7"/>
  <c r="H56" i="7" s="1"/>
  <c r="G57" i="7"/>
  <c r="H57" i="7" s="1"/>
  <c r="G58" i="7"/>
  <c r="H58" i="7" s="1"/>
  <c r="J58" i="7" s="1"/>
  <c r="G59" i="7"/>
  <c r="H59" i="7" s="1"/>
  <c r="J59" i="7" s="1"/>
  <c r="G60" i="7"/>
  <c r="H60" i="7" s="1"/>
  <c r="G61" i="7"/>
  <c r="H61" i="7" s="1"/>
  <c r="K61" i="7" s="1"/>
  <c r="B17" i="7"/>
  <c r="C17" i="7" s="1"/>
  <c r="B18" i="7"/>
  <c r="C18" i="7" s="1"/>
  <c r="B19" i="7"/>
  <c r="C19" i="7" s="1"/>
  <c r="B20" i="7"/>
  <c r="C20" i="7" s="1"/>
  <c r="B21" i="7"/>
  <c r="C21" i="7" s="1"/>
  <c r="B22" i="7"/>
  <c r="C22" i="7" s="1"/>
  <c r="B23" i="7"/>
  <c r="C23" i="7" s="1"/>
  <c r="B24" i="7"/>
  <c r="C24" i="7" s="1"/>
  <c r="E24" i="7" s="1"/>
  <c r="B25" i="7"/>
  <c r="C25" i="7" s="1"/>
  <c r="B26" i="7"/>
  <c r="C26" i="7" s="1"/>
  <c r="B27" i="7"/>
  <c r="C27" i="7" s="1"/>
  <c r="B28" i="7"/>
  <c r="C28" i="7" s="1"/>
  <c r="E28" i="7" s="1"/>
  <c r="B29" i="7"/>
  <c r="C29" i="7" s="1"/>
  <c r="B30" i="7"/>
  <c r="C30" i="7" s="1"/>
  <c r="B31" i="7"/>
  <c r="C31" i="7" s="1"/>
  <c r="B32" i="7"/>
  <c r="C32" i="7" s="1"/>
  <c r="E32" i="7" s="1"/>
  <c r="B33" i="7"/>
  <c r="C33" i="7" s="1"/>
  <c r="B34" i="7"/>
  <c r="C34" i="7" s="1"/>
  <c r="B35" i="7"/>
  <c r="C35" i="7" s="1"/>
  <c r="B36" i="7"/>
  <c r="C36" i="7" s="1"/>
  <c r="B37" i="7"/>
  <c r="C37" i="7" s="1"/>
  <c r="B38" i="7"/>
  <c r="C38" i="7" s="1"/>
  <c r="B39" i="7"/>
  <c r="C39" i="7" s="1"/>
  <c r="B40" i="7"/>
  <c r="C40" i="7" s="1"/>
  <c r="E40" i="7" s="1"/>
  <c r="B41" i="7"/>
  <c r="C41" i="7" s="1"/>
  <c r="B42" i="7"/>
  <c r="C42" i="7" s="1"/>
  <c r="B43" i="7"/>
  <c r="C43" i="7" s="1"/>
  <c r="D43" i="7" s="1"/>
  <c r="B44" i="7"/>
  <c r="C44" i="7" s="1"/>
  <c r="B45" i="7"/>
  <c r="C45" i="7" s="1"/>
  <c r="B46" i="7"/>
  <c r="C46" i="7" s="1"/>
  <c r="B47" i="7"/>
  <c r="C47" i="7" s="1"/>
  <c r="B48" i="7"/>
  <c r="C48" i="7" s="1"/>
  <c r="F48" i="7" s="1"/>
  <c r="B49" i="7"/>
  <c r="C49" i="7" s="1"/>
  <c r="B50" i="7"/>
  <c r="C50" i="7" s="1"/>
  <c r="B51" i="7"/>
  <c r="C51" i="7" s="1"/>
  <c r="D51" i="7" s="1"/>
  <c r="B52" i="7"/>
  <c r="C52" i="7" s="1"/>
  <c r="B53" i="7"/>
  <c r="C53" i="7" s="1"/>
  <c r="B54" i="7"/>
  <c r="C54" i="7" s="1"/>
  <c r="B55" i="7"/>
  <c r="C55" i="7" s="1"/>
  <c r="B56" i="7"/>
  <c r="C56" i="7" s="1"/>
  <c r="D56" i="7" s="1"/>
  <c r="B57" i="7"/>
  <c r="C57" i="7" s="1"/>
  <c r="B58" i="7"/>
  <c r="C58" i="7" s="1"/>
  <c r="B59" i="7"/>
  <c r="C59" i="7" s="1"/>
  <c r="D59" i="7" s="1"/>
  <c r="B60" i="7"/>
  <c r="C60" i="7" s="1"/>
  <c r="B61" i="7"/>
  <c r="C61" i="7" s="1"/>
  <c r="E3" i="12"/>
  <c r="F3" i="12"/>
  <c r="G3" i="12"/>
  <c r="E4" i="12"/>
  <c r="F4" i="12"/>
  <c r="G4" i="12"/>
  <c r="E5" i="12"/>
  <c r="F5" i="12"/>
  <c r="G5" i="12"/>
  <c r="E6" i="12"/>
  <c r="F6" i="12"/>
  <c r="G6" i="12"/>
  <c r="E7" i="12"/>
  <c r="F7" i="12"/>
  <c r="G7" i="12"/>
  <c r="E8" i="12"/>
  <c r="F8" i="12"/>
  <c r="G8" i="12"/>
  <c r="E9" i="12"/>
  <c r="F9" i="12"/>
  <c r="G9" i="12"/>
  <c r="E10" i="12"/>
  <c r="F10" i="12"/>
  <c r="G10" i="12"/>
  <c r="E11" i="12"/>
  <c r="F11" i="12"/>
  <c r="G11" i="12"/>
  <c r="E12" i="12"/>
  <c r="F12" i="12"/>
  <c r="G12" i="12"/>
  <c r="E13" i="12"/>
  <c r="F13" i="12"/>
  <c r="G13" i="12"/>
  <c r="E14" i="12"/>
  <c r="F14" i="12"/>
  <c r="G14" i="12"/>
  <c r="E15" i="12"/>
  <c r="F15" i="12"/>
  <c r="G15" i="12"/>
  <c r="E16" i="12"/>
  <c r="F16" i="12"/>
  <c r="G16" i="12"/>
  <c r="E17" i="12"/>
  <c r="F17" i="12"/>
  <c r="G17" i="12"/>
  <c r="E18" i="12"/>
  <c r="F18" i="12"/>
  <c r="G18" i="12"/>
  <c r="E19" i="12"/>
  <c r="F19" i="12"/>
  <c r="G19" i="12"/>
  <c r="E20" i="12"/>
  <c r="F20" i="12"/>
  <c r="G20" i="12"/>
  <c r="E21" i="12"/>
  <c r="F21" i="12"/>
  <c r="G21" i="12"/>
  <c r="E22" i="12"/>
  <c r="F22" i="12"/>
  <c r="G22" i="12"/>
  <c r="E23" i="12"/>
  <c r="F23" i="12"/>
  <c r="G23" i="12"/>
  <c r="E24" i="12"/>
  <c r="F24" i="12"/>
  <c r="G24" i="12"/>
  <c r="E25" i="12"/>
  <c r="F25" i="12"/>
  <c r="G25" i="12"/>
  <c r="E26" i="12"/>
  <c r="F26" i="12"/>
  <c r="G26" i="12"/>
  <c r="E27" i="12"/>
  <c r="F27" i="12"/>
  <c r="G27" i="12"/>
  <c r="E28" i="12"/>
  <c r="F28" i="12"/>
  <c r="G28" i="12"/>
  <c r="E29" i="12"/>
  <c r="F29" i="12"/>
  <c r="G29" i="12"/>
  <c r="E30" i="12"/>
  <c r="F30" i="12"/>
  <c r="G30" i="12"/>
  <c r="E31" i="12"/>
  <c r="F31" i="12"/>
  <c r="G31" i="12"/>
  <c r="E32" i="12"/>
  <c r="F32" i="12"/>
  <c r="G32" i="12"/>
  <c r="E33" i="12"/>
  <c r="F33" i="12"/>
  <c r="G33" i="12"/>
  <c r="E34" i="12"/>
  <c r="F34" i="12"/>
  <c r="G34" i="12"/>
  <c r="E35" i="12"/>
  <c r="F35" i="12"/>
  <c r="G35" i="12"/>
  <c r="E36" i="12"/>
  <c r="F36" i="12"/>
  <c r="G36" i="12"/>
  <c r="E37" i="12"/>
  <c r="F37" i="12"/>
  <c r="G37" i="12"/>
  <c r="E38" i="12"/>
  <c r="F38" i="12"/>
  <c r="G38" i="12"/>
  <c r="E39" i="12"/>
  <c r="F39" i="12"/>
  <c r="G39" i="12"/>
  <c r="E40" i="12"/>
  <c r="F40" i="12"/>
  <c r="G40" i="12"/>
  <c r="E41" i="12"/>
  <c r="F41" i="12"/>
  <c r="G41" i="12"/>
  <c r="E42" i="12"/>
  <c r="F42" i="12"/>
  <c r="G42" i="12"/>
  <c r="E43" i="12"/>
  <c r="F43" i="12"/>
  <c r="G43" i="12"/>
  <c r="E44" i="12"/>
  <c r="F44" i="12"/>
  <c r="G44" i="12"/>
  <c r="E45" i="12"/>
  <c r="F45" i="12"/>
  <c r="G45" i="12"/>
  <c r="E46" i="12"/>
  <c r="F46" i="12"/>
  <c r="G46" i="12"/>
  <c r="E47" i="12"/>
  <c r="F47" i="12"/>
  <c r="G47" i="12"/>
  <c r="E48" i="12"/>
  <c r="F48" i="12"/>
  <c r="G48" i="12"/>
  <c r="E49" i="12"/>
  <c r="F49" i="12"/>
  <c r="G49" i="12"/>
  <c r="E50" i="12"/>
  <c r="F50" i="12"/>
  <c r="G50" i="12"/>
  <c r="E51" i="12"/>
  <c r="F51" i="12"/>
  <c r="G51" i="12"/>
  <c r="E52" i="12"/>
  <c r="F52" i="12"/>
  <c r="G52" i="12"/>
  <c r="E53" i="12"/>
  <c r="F53" i="12"/>
  <c r="G53" i="12"/>
  <c r="E54" i="12"/>
  <c r="F54" i="12"/>
  <c r="G54" i="12"/>
  <c r="E55" i="12"/>
  <c r="F55" i="12"/>
  <c r="G55" i="12"/>
  <c r="E56" i="12"/>
  <c r="F56" i="12"/>
  <c r="G56" i="12"/>
  <c r="E57" i="12"/>
  <c r="F57" i="12"/>
  <c r="G57" i="12"/>
  <c r="E58" i="12"/>
  <c r="F58" i="12"/>
  <c r="G58" i="12"/>
  <c r="E59" i="12"/>
  <c r="F59" i="12"/>
  <c r="G59" i="12"/>
  <c r="E60" i="12"/>
  <c r="F60" i="12"/>
  <c r="G60" i="12"/>
  <c r="E61" i="12"/>
  <c r="F61" i="12"/>
  <c r="G61" i="12"/>
  <c r="F2" i="12"/>
  <c r="G2" i="12"/>
  <c r="E2" i="12"/>
  <c r="B5" i="11"/>
  <c r="B6" i="11"/>
  <c r="C6" i="11" s="1"/>
  <c r="D6" i="11" s="1"/>
  <c r="B7" i="11"/>
  <c r="C7" i="11" s="1"/>
  <c r="B8" i="11"/>
  <c r="C8" i="11" s="1"/>
  <c r="B9" i="11"/>
  <c r="C9" i="11" s="1"/>
  <c r="B10" i="11"/>
  <c r="C10" i="11" s="1"/>
  <c r="B11" i="11"/>
  <c r="C11" i="11" s="1"/>
  <c r="B12" i="11"/>
  <c r="C12" i="11" s="1"/>
  <c r="B13" i="11"/>
  <c r="C13" i="11" s="1"/>
  <c r="D13" i="11" s="1"/>
  <c r="B14" i="11"/>
  <c r="C14" i="11" s="1"/>
  <c r="D14" i="11" s="1"/>
  <c r="B15" i="11"/>
  <c r="C15" i="11" s="1"/>
  <c r="F15" i="11" s="1"/>
  <c r="B16" i="11"/>
  <c r="C16" i="11" s="1"/>
  <c r="B17" i="11"/>
  <c r="C17" i="11" s="1"/>
  <c r="B18" i="11"/>
  <c r="C18" i="11" s="1"/>
  <c r="C4" i="11"/>
  <c r="N3" i="4"/>
  <c r="O3" i="4"/>
  <c r="P3" i="4"/>
  <c r="N4" i="4"/>
  <c r="O4" i="4"/>
  <c r="P4" i="4"/>
  <c r="N5" i="4"/>
  <c r="O5" i="4"/>
  <c r="P5" i="4"/>
  <c r="N6" i="4"/>
  <c r="O6" i="4"/>
  <c r="P6" i="4"/>
  <c r="N7" i="4"/>
  <c r="O7" i="4"/>
  <c r="P7" i="4"/>
  <c r="N8" i="4"/>
  <c r="O8" i="4"/>
  <c r="P8" i="4"/>
  <c r="N9" i="4"/>
  <c r="O9" i="4"/>
  <c r="P9" i="4"/>
  <c r="N10" i="4"/>
  <c r="O10" i="4"/>
  <c r="P10" i="4"/>
  <c r="N11" i="4"/>
  <c r="O11" i="4"/>
  <c r="P11" i="4"/>
  <c r="N12" i="4"/>
  <c r="O12" i="4"/>
  <c r="P12" i="4"/>
  <c r="N13" i="4"/>
  <c r="O13" i="4"/>
  <c r="P13" i="4"/>
  <c r="N14" i="4"/>
  <c r="O14" i="4"/>
  <c r="P14" i="4"/>
  <c r="N15" i="4"/>
  <c r="O15" i="4"/>
  <c r="P15" i="4"/>
  <c r="P2" i="4"/>
  <c r="O2" i="4"/>
  <c r="N2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K2" i="4"/>
  <c r="C5" i="11" l="1"/>
  <c r="D5" i="11" s="1"/>
  <c r="AI55" i="16"/>
  <c r="AL55" i="16" s="1"/>
  <c r="AJ22" i="16"/>
  <c r="AM22" i="16" s="1"/>
  <c r="AI53" i="16"/>
  <c r="AL53" i="16" s="1"/>
  <c r="AJ52" i="16"/>
  <c r="AM52" i="16" s="1"/>
  <c r="AH12" i="16"/>
  <c r="AK12" i="16" s="1"/>
  <c r="AI22" i="16"/>
  <c r="AL22" i="16" s="1"/>
  <c r="AI21" i="16"/>
  <c r="AL21" i="16" s="1"/>
  <c r="AH59" i="16"/>
  <c r="AK59" i="16" s="1"/>
  <c r="AN51" i="16"/>
  <c r="AI51" i="16"/>
  <c r="AL51" i="16" s="1"/>
  <c r="AI42" i="16"/>
  <c r="AL42" i="16" s="1"/>
  <c r="AH53" i="16"/>
  <c r="AK53" i="16" s="1"/>
  <c r="AI52" i="16"/>
  <c r="AL52" i="16" s="1"/>
  <c r="AH39" i="16"/>
  <c r="AK39" i="16" s="1"/>
  <c r="AI49" i="16"/>
  <c r="AL49" i="16" s="1"/>
  <c r="AH32" i="16"/>
  <c r="AK32" i="16" s="1"/>
  <c r="AH51" i="16"/>
  <c r="AK51" i="16" s="1"/>
  <c r="AJ16" i="16"/>
  <c r="AM16" i="16" s="1"/>
  <c r="AI25" i="16"/>
  <c r="AL25" i="16" s="1"/>
  <c r="AH30" i="16"/>
  <c r="AK30" i="16" s="1"/>
  <c r="AJ44" i="16"/>
  <c r="AM44" i="16" s="1"/>
  <c r="AJ24" i="16"/>
  <c r="AM24" i="16" s="1"/>
  <c r="AI36" i="16"/>
  <c r="AL36" i="16" s="1"/>
  <c r="AI43" i="16"/>
  <c r="AL43" i="16" s="1"/>
  <c r="AH31" i="16"/>
  <c r="AK31" i="16" s="1"/>
  <c r="AJ42" i="16"/>
  <c r="AM42" i="16" s="1"/>
  <c r="AJ26" i="16"/>
  <c r="AM26" i="16" s="1"/>
  <c r="AJ38" i="16"/>
  <c r="AM38" i="16" s="1"/>
  <c r="AJ31" i="16"/>
  <c r="AM31" i="16" s="1"/>
  <c r="AI50" i="16"/>
  <c r="AL50" i="16" s="1"/>
  <c r="AI61" i="16"/>
  <c r="AL61" i="16" s="1"/>
  <c r="AJ37" i="16"/>
  <c r="AM37" i="16" s="1"/>
  <c r="AI20" i="16"/>
  <c r="AL20" i="16" s="1"/>
  <c r="AI60" i="16"/>
  <c r="AL60" i="16" s="1"/>
  <c r="AJ13" i="16"/>
  <c r="AM13" i="16" s="1"/>
  <c r="AJ45" i="16"/>
  <c r="AM45" i="16" s="1"/>
  <c r="AH33" i="16"/>
  <c r="AK33" i="16" s="1"/>
  <c r="AI11" i="16"/>
  <c r="AL11" i="16" s="1"/>
  <c r="AI12" i="16"/>
  <c r="AL12" i="16" s="1"/>
  <c r="AG51" i="16"/>
  <c r="AI33" i="16"/>
  <c r="AL33" i="16" s="1"/>
  <c r="AJ34" i="16"/>
  <c r="AM34" i="16" s="1"/>
  <c r="AJ11" i="16"/>
  <c r="AM11" i="16" s="1"/>
  <c r="AN61" i="16"/>
  <c r="AJ40" i="16"/>
  <c r="AM40" i="16" s="1"/>
  <c r="AN41" i="16"/>
  <c r="AI14" i="16"/>
  <c r="AL14" i="16" s="1"/>
  <c r="AI10" i="16"/>
  <c r="AL10" i="16" s="1"/>
  <c r="AI32" i="16"/>
  <c r="AL32" i="16" s="1"/>
  <c r="AI3" i="16"/>
  <c r="AL3" i="16" s="1"/>
  <c r="AN39" i="16"/>
  <c r="AJ53" i="16"/>
  <c r="AM53" i="16" s="1"/>
  <c r="AI56" i="16"/>
  <c r="AL56" i="16" s="1"/>
  <c r="AH28" i="16"/>
  <c r="AK28" i="16" s="1"/>
  <c r="AH52" i="16"/>
  <c r="AK52" i="16" s="1"/>
  <c r="AJ33" i="16"/>
  <c r="AM33" i="16" s="1"/>
  <c r="AI26" i="16"/>
  <c r="AL26" i="16" s="1"/>
  <c r="AG61" i="16"/>
  <c r="AI4" i="16"/>
  <c r="AL4" i="16" s="1"/>
  <c r="AG52" i="16"/>
  <c r="AI45" i="16"/>
  <c r="AL45" i="16" s="1"/>
  <c r="AJ28" i="16"/>
  <c r="AM28" i="16" s="1"/>
  <c r="AI38" i="16"/>
  <c r="AL38" i="16" s="1"/>
  <c r="AJ20" i="16"/>
  <c r="AM20" i="16" s="1"/>
  <c r="AJ17" i="16"/>
  <c r="AM17" i="16" s="1"/>
  <c r="AJ19" i="16"/>
  <c r="AM19" i="16" s="1"/>
  <c r="AG44" i="16"/>
  <c r="AN8" i="16"/>
  <c r="AN54" i="16"/>
  <c r="AH8" i="16"/>
  <c r="AK8" i="16" s="1"/>
  <c r="AH7" i="16"/>
  <c r="AK7" i="16" s="1"/>
  <c r="AJ60" i="16"/>
  <c r="AM60" i="16" s="1"/>
  <c r="AI24" i="16"/>
  <c r="AL24" i="16" s="1"/>
  <c r="AJ50" i="16"/>
  <c r="AM50" i="16" s="1"/>
  <c r="AI47" i="16"/>
  <c r="AL47" i="16" s="1"/>
  <c r="AG31" i="16"/>
  <c r="AJ7" i="16"/>
  <c r="AM7" i="16" s="1"/>
  <c r="AG5" i="16"/>
  <c r="AI54" i="16"/>
  <c r="AL54" i="16" s="1"/>
  <c r="AG54" i="16"/>
  <c r="AJ55" i="16"/>
  <c r="AM55" i="16" s="1"/>
  <c r="AH54" i="16"/>
  <c r="AK54" i="16" s="1"/>
  <c r="AG53" i="16"/>
  <c r="AN44" i="16"/>
  <c r="AN53" i="16"/>
  <c r="AN52" i="16"/>
  <c r="AH9" i="16"/>
  <c r="AK9" i="16" s="1"/>
  <c r="AJ4" i="16"/>
  <c r="AM4" i="16" s="1"/>
  <c r="AI18" i="16"/>
  <c r="AL18" i="16" s="1"/>
  <c r="AI58" i="16"/>
  <c r="AL58" i="16" s="1"/>
  <c r="AN9" i="16"/>
  <c r="AI37" i="16"/>
  <c r="AL37" i="16" s="1"/>
  <c r="AJ8" i="16"/>
  <c r="AM8" i="16" s="1"/>
  <c r="AG6" i="16"/>
  <c r="AG7" i="16"/>
  <c r="AH6" i="16"/>
  <c r="AK6" i="16" s="1"/>
  <c r="AG3" i="16"/>
  <c r="AH3" i="16"/>
  <c r="AK3" i="16" s="1"/>
  <c r="AJ56" i="16"/>
  <c r="AM56" i="16" s="1"/>
  <c r="AJ48" i="16"/>
  <c r="AM48" i="16" s="1"/>
  <c r="AG32" i="16"/>
  <c r="AN3" i="16"/>
  <c r="AJ25" i="16"/>
  <c r="AM25" i="16" s="1"/>
  <c r="AG36" i="16"/>
  <c r="AN5" i="16"/>
  <c r="AJ14" i="16"/>
  <c r="AM14" i="16" s="1"/>
  <c r="AI46" i="16"/>
  <c r="AL46" i="16" s="1"/>
  <c r="AN31" i="16"/>
  <c r="AH5" i="16"/>
  <c r="AK5" i="16" s="1"/>
  <c r="AG8" i="16"/>
  <c r="AI16" i="16"/>
  <c r="AL16" i="16" s="1"/>
  <c r="AJ6" i="16"/>
  <c r="AM6" i="16" s="1"/>
  <c r="AG41" i="16"/>
  <c r="AJ3" i="16"/>
  <c r="AM3" i="16" s="1"/>
  <c r="AJ18" i="16"/>
  <c r="AM18" i="16" s="1"/>
  <c r="AI59" i="16"/>
  <c r="AL59" i="16" s="1"/>
  <c r="AJ9" i="16"/>
  <c r="AM9" i="16" s="1"/>
  <c r="AI28" i="16"/>
  <c r="AL28" i="16" s="1"/>
  <c r="AH36" i="16"/>
  <c r="AK36" i="16" s="1"/>
  <c r="AG9" i="16"/>
  <c r="AN59" i="16"/>
  <c r="AJ10" i="16"/>
  <c r="AM10" i="16" s="1"/>
  <c r="AG59" i="16"/>
  <c r="AJ32" i="16"/>
  <c r="AM32" i="16" s="1"/>
  <c r="AJ5" i="16"/>
  <c r="AM5" i="16" s="1"/>
  <c r="AJ49" i="16"/>
  <c r="AM49" i="16" s="1"/>
  <c r="AI7" i="16"/>
  <c r="AL7" i="16" s="1"/>
  <c r="AG39" i="16"/>
  <c r="AI40" i="16"/>
  <c r="AL40" i="16" s="1"/>
  <c r="AI17" i="16"/>
  <c r="AL17" i="16" s="1"/>
  <c r="AN6" i="16"/>
  <c r="AI30" i="16"/>
  <c r="AL30" i="16" s="1"/>
  <c r="AJ21" i="16"/>
  <c r="AM21" i="16" s="1"/>
  <c r="AJ46" i="16"/>
  <c r="AM46" i="16" s="1"/>
  <c r="AJ41" i="16"/>
  <c r="AM41" i="16" s="1"/>
  <c r="AI5" i="16"/>
  <c r="AL5" i="16" s="1"/>
  <c r="AI27" i="16"/>
  <c r="AL27" i="16" s="1"/>
  <c r="AN36" i="16"/>
  <c r="AH26" i="16"/>
  <c r="AK26" i="16" s="1"/>
  <c r="AN26" i="16"/>
  <c r="AG26" i="16"/>
  <c r="AI15" i="16"/>
  <c r="AL15" i="16" s="1"/>
  <c r="AN32" i="16"/>
  <c r="AJ47" i="16"/>
  <c r="AM47" i="16" s="1"/>
  <c r="AI39" i="16"/>
  <c r="AL39" i="16" s="1"/>
  <c r="AJ54" i="16"/>
  <c r="AM54" i="16" s="1"/>
  <c r="AG28" i="16"/>
  <c r="AI29" i="16"/>
  <c r="AL29" i="16" s="1"/>
  <c r="AG35" i="16"/>
  <c r="AH35" i="16"/>
  <c r="AK35" i="16" s="1"/>
  <c r="AN35" i="16"/>
  <c r="AG48" i="16"/>
  <c r="AH48" i="16"/>
  <c r="AK48" i="16" s="1"/>
  <c r="AN48" i="16"/>
  <c r="AJ35" i="16"/>
  <c r="AM35" i="16" s="1"/>
  <c r="AJ36" i="16"/>
  <c r="AM36" i="16" s="1"/>
  <c r="AI23" i="16"/>
  <c r="AL23" i="16" s="1"/>
  <c r="AN7" i="16"/>
  <c r="AI13" i="16"/>
  <c r="AL13" i="16" s="1"/>
  <c r="AH19" i="16"/>
  <c r="AK19" i="16" s="1"/>
  <c r="AG19" i="16"/>
  <c r="AN19" i="16"/>
  <c r="AN28" i="16"/>
  <c r="AJ58" i="16"/>
  <c r="AM58" i="16" s="1"/>
  <c r="AJ59" i="16"/>
  <c r="AM59" i="16" s="1"/>
  <c r="AH16" i="16"/>
  <c r="AK16" i="16" s="1"/>
  <c r="AN16" i="16"/>
  <c r="AG16" i="16"/>
  <c r="AI44" i="16"/>
  <c r="AL44" i="16" s="1"/>
  <c r="AG29" i="16"/>
  <c r="AN29" i="16"/>
  <c r="AH29" i="16"/>
  <c r="AK29" i="16" s="1"/>
  <c r="AG40" i="16"/>
  <c r="AH40" i="16"/>
  <c r="AK40" i="16" s="1"/>
  <c r="AN40" i="16"/>
  <c r="AH21" i="16"/>
  <c r="AK21" i="16" s="1"/>
  <c r="AG21" i="16"/>
  <c r="AN21" i="16"/>
  <c r="AH45" i="16"/>
  <c r="AK45" i="16" s="1"/>
  <c r="AN45" i="16"/>
  <c r="AG45" i="16"/>
  <c r="AI8" i="16"/>
  <c r="AL8" i="16" s="1"/>
  <c r="AJ61" i="16"/>
  <c r="AM61" i="16" s="1"/>
  <c r="AI9" i="16"/>
  <c r="AL9" i="16" s="1"/>
  <c r="AJ57" i="16"/>
  <c r="AM57" i="16" s="1"/>
  <c r="AJ39" i="16"/>
  <c r="AM39" i="16" s="1"/>
  <c r="AJ23" i="16"/>
  <c r="AM23" i="16" s="1"/>
  <c r="AJ12" i="16"/>
  <c r="AM12" i="16" s="1"/>
  <c r="AH22" i="16"/>
  <c r="AK22" i="16" s="1"/>
  <c r="AN22" i="16"/>
  <c r="AG22" i="16"/>
  <c r="AJ29" i="16"/>
  <c r="AM29" i="16" s="1"/>
  <c r="AG60" i="16"/>
  <c r="AN60" i="16"/>
  <c r="AH60" i="16"/>
  <c r="AK60" i="16" s="1"/>
  <c r="AG50" i="16"/>
  <c r="AH50" i="16"/>
  <c r="AK50" i="16" s="1"/>
  <c r="AN50" i="16"/>
  <c r="AN49" i="16"/>
  <c r="AH49" i="16"/>
  <c r="AK49" i="16" s="1"/>
  <c r="AG49" i="16"/>
  <c r="AI57" i="16"/>
  <c r="AL57" i="16" s="1"/>
  <c r="AG47" i="16"/>
  <c r="AN47" i="16"/>
  <c r="AH47" i="16"/>
  <c r="AK47" i="16" s="1"/>
  <c r="AI35" i="16"/>
  <c r="AL35" i="16" s="1"/>
  <c r="AG38" i="16"/>
  <c r="AN38" i="16"/>
  <c r="AH38" i="16"/>
  <c r="AK38" i="16" s="1"/>
  <c r="AG37" i="16"/>
  <c r="AN37" i="16"/>
  <c r="AH37" i="16"/>
  <c r="AK37" i="16" s="1"/>
  <c r="AN12" i="16"/>
  <c r="AJ43" i="16"/>
  <c r="AM43" i="16" s="1"/>
  <c r="AN46" i="16"/>
  <c r="AJ27" i="16"/>
  <c r="AM27" i="16" s="1"/>
  <c r="AJ30" i="16"/>
  <c r="AM30" i="16" s="1"/>
  <c r="AN2" i="16"/>
  <c r="AG2" i="16"/>
  <c r="AG43" i="16"/>
  <c r="AN43" i="16"/>
  <c r="AH43" i="16"/>
  <c r="AK43" i="16" s="1"/>
  <c r="AH34" i="16"/>
  <c r="AK34" i="16" s="1"/>
  <c r="AN34" i="16"/>
  <c r="AG34" i="16"/>
  <c r="AG30" i="16"/>
  <c r="AG4" i="16"/>
  <c r="AN4" i="16"/>
  <c r="AH4" i="16"/>
  <c r="AK4" i="16" s="1"/>
  <c r="AJ51" i="16"/>
  <c r="AM51" i="16" s="1"/>
  <c r="AG58" i="16"/>
  <c r="AN58" i="16"/>
  <c r="AH58" i="16"/>
  <c r="AK58" i="16" s="1"/>
  <c r="AI6" i="16"/>
  <c r="AL6" i="16" s="1"/>
  <c r="AH44" i="16"/>
  <c r="AK44" i="16" s="1"/>
  <c r="AH20" i="16"/>
  <c r="AK20" i="16" s="1"/>
  <c r="AN20" i="16"/>
  <c r="AG20" i="16"/>
  <c r="AG42" i="16"/>
  <c r="AN42" i="16"/>
  <c r="AH42" i="16"/>
  <c r="AK42" i="16" s="1"/>
  <c r="AG12" i="16"/>
  <c r="AI41" i="16"/>
  <c r="AL41" i="16" s="1"/>
  <c r="AH46" i="16"/>
  <c r="AK46" i="16" s="1"/>
  <c r="AI48" i="16"/>
  <c r="AL48" i="16" s="1"/>
  <c r="AH41" i="16"/>
  <c r="AK41" i="16" s="1"/>
  <c r="AN17" i="16"/>
  <c r="AH17" i="16"/>
  <c r="AK17" i="16" s="1"/>
  <c r="AG17" i="16"/>
  <c r="AH27" i="16"/>
  <c r="AK27" i="16" s="1"/>
  <c r="AG27" i="16"/>
  <c r="AN27" i="16"/>
  <c r="AN30" i="16"/>
  <c r="AH61" i="16"/>
  <c r="AK61" i="16" s="1"/>
  <c r="AN15" i="16"/>
  <c r="AH15" i="16"/>
  <c r="AK15" i="16" s="1"/>
  <c r="AG15" i="16"/>
  <c r="AI34" i="16"/>
  <c r="AL34" i="16" s="1"/>
  <c r="AJ15" i="16"/>
  <c r="AM15" i="16" s="1"/>
  <c r="AI19" i="16"/>
  <c r="AL19" i="16" s="1"/>
  <c r="AH57" i="16"/>
  <c r="AK57" i="16" s="1"/>
  <c r="AG57" i="16"/>
  <c r="AN57" i="16"/>
  <c r="AG46" i="16"/>
  <c r="AN11" i="16"/>
  <c r="AH14" i="16"/>
  <c r="AK14" i="16" s="1"/>
  <c r="AG14" i="16"/>
  <c r="AN14" i="16"/>
  <c r="AG33" i="16"/>
  <c r="AH10" i="16"/>
  <c r="AK10" i="16" s="1"/>
  <c r="AN10" i="16"/>
  <c r="AG10" i="16"/>
  <c r="AN55" i="16"/>
  <c r="AH55" i="16"/>
  <c r="AK55" i="16" s="1"/>
  <c r="AG55" i="16"/>
  <c r="AI31" i="16"/>
  <c r="AL31" i="16" s="1"/>
  <c r="AG11" i="16"/>
  <c r="AH25" i="16"/>
  <c r="AK25" i="16" s="1"/>
  <c r="AG25" i="16"/>
  <c r="AN25" i="16"/>
  <c r="AH18" i="16"/>
  <c r="AK18" i="16" s="1"/>
  <c r="AN18" i="16"/>
  <c r="AG18" i="16"/>
  <c r="AG56" i="16"/>
  <c r="AH56" i="16"/>
  <c r="AK56" i="16" s="1"/>
  <c r="AN56" i="16"/>
  <c r="AN33" i="16"/>
  <c r="AH13" i="16"/>
  <c r="AK13" i="16" s="1"/>
  <c r="AG13" i="16"/>
  <c r="AN13" i="16"/>
  <c r="AH24" i="16"/>
  <c r="AK24" i="16" s="1"/>
  <c r="AN24" i="16"/>
  <c r="AG24" i="16"/>
  <c r="AH23" i="16"/>
  <c r="AK23" i="16" s="1"/>
  <c r="AG23" i="16"/>
  <c r="AN23" i="16"/>
  <c r="AH11" i="16"/>
  <c r="AK11" i="16" s="1"/>
  <c r="AI62" i="14"/>
  <c r="AL62" i="14" s="1"/>
  <c r="AI63" i="14"/>
  <c r="AL63" i="14" s="1"/>
  <c r="AI43" i="14"/>
  <c r="AL43" i="14" s="1"/>
  <c r="AI50" i="14"/>
  <c r="AL50" i="14" s="1"/>
  <c r="AI51" i="14"/>
  <c r="AL51" i="14" s="1"/>
  <c r="AH14" i="14"/>
  <c r="AK14" i="14" s="1"/>
  <c r="AH15" i="14"/>
  <c r="AK15" i="14" s="1"/>
  <c r="AE17" i="15"/>
  <c r="AH17" i="15" s="1"/>
  <c r="AD41" i="15"/>
  <c r="AG41" i="15" s="1"/>
  <c r="AE26" i="15"/>
  <c r="AH26" i="15" s="1"/>
  <c r="AE46" i="15"/>
  <c r="AH46" i="15" s="1"/>
  <c r="AD33" i="15"/>
  <c r="AG33" i="15" s="1"/>
  <c r="AD34" i="15"/>
  <c r="AG34" i="15" s="1"/>
  <c r="AC11" i="15"/>
  <c r="AF11" i="15" s="1"/>
  <c r="AE34" i="15"/>
  <c r="AH34" i="15" s="1"/>
  <c r="AC39" i="15"/>
  <c r="AF39" i="15" s="1"/>
  <c r="AD52" i="15"/>
  <c r="AG52" i="15" s="1"/>
  <c r="AE53" i="15"/>
  <c r="AH53" i="15" s="1"/>
  <c r="AI33" i="15"/>
  <c r="AD10" i="15"/>
  <c r="AG10" i="15" s="1"/>
  <c r="AC41" i="15"/>
  <c r="AF41" i="15" s="1"/>
  <c r="AE12" i="15"/>
  <c r="AH12" i="15" s="1"/>
  <c r="AE23" i="15"/>
  <c r="AH23" i="15" s="1"/>
  <c r="AE22" i="15"/>
  <c r="AH22" i="15" s="1"/>
  <c r="AD12" i="15"/>
  <c r="AG12" i="15" s="1"/>
  <c r="AE13" i="15"/>
  <c r="AH13" i="15" s="1"/>
  <c r="AD15" i="15"/>
  <c r="AG15" i="15" s="1"/>
  <c r="AE52" i="15"/>
  <c r="AH52" i="15" s="1"/>
  <c r="AE14" i="15"/>
  <c r="AH14" i="15" s="1"/>
  <c r="AC42" i="15"/>
  <c r="AF42" i="15" s="1"/>
  <c r="AC16" i="15"/>
  <c r="AF16" i="15" s="1"/>
  <c r="AC50" i="15"/>
  <c r="AF50" i="15" s="1"/>
  <c r="AD9" i="15"/>
  <c r="AG9" i="15" s="1"/>
  <c r="AD54" i="15"/>
  <c r="AG54" i="15" s="1"/>
  <c r="AE36" i="15"/>
  <c r="AH36" i="15" s="1"/>
  <c r="AE47" i="15"/>
  <c r="AH47" i="15" s="1"/>
  <c r="AD26" i="15"/>
  <c r="AG26" i="15" s="1"/>
  <c r="AC49" i="15"/>
  <c r="AF49" i="15" s="1"/>
  <c r="AB33" i="15"/>
  <c r="AE20" i="15"/>
  <c r="AH20" i="15" s="1"/>
  <c r="AE59" i="15"/>
  <c r="AH59" i="15" s="1"/>
  <c r="AC46" i="15"/>
  <c r="AF46" i="15" s="1"/>
  <c r="AE58" i="15"/>
  <c r="AH58" i="15" s="1"/>
  <c r="AE25" i="15"/>
  <c r="AH25" i="15" s="1"/>
  <c r="AD11" i="15"/>
  <c r="AG11" i="15" s="1"/>
  <c r="AE28" i="15"/>
  <c r="AH28" i="15" s="1"/>
  <c r="AI46" i="15"/>
  <c r="AD37" i="15"/>
  <c r="AG37" i="15" s="1"/>
  <c r="AE54" i="15"/>
  <c r="AH54" i="15" s="1"/>
  <c r="AE32" i="15"/>
  <c r="AH32" i="15" s="1"/>
  <c r="AE57" i="15"/>
  <c r="AH57" i="15" s="1"/>
  <c r="AI11" i="15"/>
  <c r="AD6" i="15"/>
  <c r="AG6" i="15" s="1"/>
  <c r="AE18" i="15"/>
  <c r="AH18" i="15" s="1"/>
  <c r="AB49" i="15"/>
  <c r="AB11" i="15"/>
  <c r="AE8" i="15"/>
  <c r="AH8" i="15" s="1"/>
  <c r="AB9" i="15"/>
  <c r="AE41" i="15"/>
  <c r="AH41" i="15" s="1"/>
  <c r="AD44" i="15"/>
  <c r="AG44" i="15" s="1"/>
  <c r="AB8" i="15"/>
  <c r="AD49" i="15"/>
  <c r="AG49" i="15" s="1"/>
  <c r="AI2" i="15"/>
  <c r="AB18" i="15"/>
  <c r="AB28" i="15"/>
  <c r="AI8" i="15"/>
  <c r="AE35" i="15"/>
  <c r="AH35" i="15" s="1"/>
  <c r="AC56" i="15"/>
  <c r="AF56" i="15" s="1"/>
  <c r="AD24" i="15"/>
  <c r="AG24" i="15" s="1"/>
  <c r="AD50" i="15"/>
  <c r="AG50" i="15" s="1"/>
  <c r="AD20" i="15"/>
  <c r="AG20" i="15" s="1"/>
  <c r="AD60" i="15"/>
  <c r="AG60" i="15" s="1"/>
  <c r="AD53" i="15"/>
  <c r="AG53" i="15" s="1"/>
  <c r="AD45" i="15"/>
  <c r="AG45" i="15" s="1"/>
  <c r="AC18" i="15"/>
  <c r="AF18" i="15" s="1"/>
  <c r="AE31" i="15"/>
  <c r="AH31" i="15" s="1"/>
  <c r="AE39" i="15"/>
  <c r="AH39" i="15" s="1"/>
  <c r="AE9" i="15"/>
  <c r="AH9" i="15" s="1"/>
  <c r="AD7" i="15"/>
  <c r="AG7" i="15" s="1"/>
  <c r="AB25" i="15"/>
  <c r="AE33" i="15"/>
  <c r="AH33" i="15" s="1"/>
  <c r="AF23" i="15"/>
  <c r="AB16" i="15"/>
  <c r="AD43" i="15"/>
  <c r="AG43" i="15" s="1"/>
  <c r="AC31" i="15"/>
  <c r="AF31" i="15" s="1"/>
  <c r="AD19" i="15"/>
  <c r="AG19" i="15" s="1"/>
  <c r="AE56" i="15"/>
  <c r="AH56" i="15" s="1"/>
  <c r="AE29" i="15"/>
  <c r="AH29" i="15" s="1"/>
  <c r="AC38" i="15"/>
  <c r="AF38" i="15" s="1"/>
  <c r="AE38" i="15"/>
  <c r="AH38" i="15" s="1"/>
  <c r="AC51" i="15"/>
  <c r="AF51" i="15" s="1"/>
  <c r="AB40" i="15"/>
  <c r="AI58" i="15"/>
  <c r="AB46" i="15"/>
  <c r="AC28" i="15"/>
  <c r="AF28" i="15" s="1"/>
  <c r="AD48" i="15"/>
  <c r="AG48" i="15" s="1"/>
  <c r="AD38" i="15"/>
  <c r="AG38" i="15" s="1"/>
  <c r="AD59" i="15"/>
  <c r="AG59" i="15" s="1"/>
  <c r="AD28" i="15"/>
  <c r="AG28" i="15" s="1"/>
  <c r="AB14" i="15"/>
  <c r="AI44" i="15"/>
  <c r="AC9" i="15"/>
  <c r="AF9" i="15" s="1"/>
  <c r="AD39" i="15"/>
  <c r="AG39" i="15" s="1"/>
  <c r="AE42" i="15"/>
  <c r="AH42" i="15" s="1"/>
  <c r="AB44" i="15"/>
  <c r="AD29" i="15"/>
  <c r="AG29" i="15" s="1"/>
  <c r="AC36" i="15"/>
  <c r="AF36" i="15" s="1"/>
  <c r="AI28" i="15"/>
  <c r="AB48" i="15"/>
  <c r="AE7" i="15"/>
  <c r="AH7" i="15" s="1"/>
  <c r="AD58" i="15"/>
  <c r="AG58" i="15" s="1"/>
  <c r="AI9" i="15"/>
  <c r="AE45" i="15"/>
  <c r="AH45" i="15" s="1"/>
  <c r="AI25" i="15"/>
  <c r="AI14" i="15"/>
  <c r="AB10" i="15"/>
  <c r="AI16" i="15"/>
  <c r="AI40" i="15"/>
  <c r="AD57" i="15"/>
  <c r="AG57" i="15" s="1"/>
  <c r="AI18" i="15"/>
  <c r="AD18" i="15"/>
  <c r="AG18" i="15" s="1"/>
  <c r="AE37" i="15"/>
  <c r="AH37" i="15" s="1"/>
  <c r="AI51" i="15"/>
  <c r="AB51" i="15"/>
  <c r="AD5" i="15"/>
  <c r="AG5" i="15" s="1"/>
  <c r="AI56" i="15"/>
  <c r="AD32" i="15"/>
  <c r="AG32" i="15" s="1"/>
  <c r="AD4" i="15"/>
  <c r="AG4" i="15" s="1"/>
  <c r="AC57" i="15"/>
  <c r="AF57" i="15" s="1"/>
  <c r="AC10" i="15"/>
  <c r="AF10" i="15" s="1"/>
  <c r="AE49" i="15"/>
  <c r="AH49" i="15" s="1"/>
  <c r="AB56" i="15"/>
  <c r="AE24" i="15"/>
  <c r="AH24" i="15" s="1"/>
  <c r="AI48" i="15"/>
  <c r="AI49" i="15"/>
  <c r="AD21" i="15"/>
  <c r="AG21" i="15" s="1"/>
  <c r="AI23" i="15"/>
  <c r="AD3" i="15"/>
  <c r="AG3" i="15" s="1"/>
  <c r="AB23" i="15"/>
  <c r="AB57" i="15"/>
  <c r="AD31" i="15"/>
  <c r="AG31" i="15" s="1"/>
  <c r="AB37" i="15"/>
  <c r="AC37" i="15"/>
  <c r="AF37" i="15" s="1"/>
  <c r="AI50" i="15"/>
  <c r="AD51" i="15"/>
  <c r="AG51" i="15" s="1"/>
  <c r="AI37" i="15"/>
  <c r="AC58" i="15"/>
  <c r="AF58" i="15" s="1"/>
  <c r="AB50" i="15"/>
  <c r="AD47" i="15"/>
  <c r="AG47" i="15" s="1"/>
  <c r="AC40" i="15"/>
  <c r="AF40" i="15" s="1"/>
  <c r="AB58" i="15"/>
  <c r="AB53" i="15"/>
  <c r="AD40" i="15"/>
  <c r="AG40" i="15" s="1"/>
  <c r="AE19" i="15"/>
  <c r="AH19" i="15" s="1"/>
  <c r="AD22" i="15"/>
  <c r="AG22" i="15" s="1"/>
  <c r="AD23" i="15"/>
  <c r="AG23" i="15" s="1"/>
  <c r="AE4" i="15"/>
  <c r="AH4" i="15" s="1"/>
  <c r="AB2" i="15"/>
  <c r="AI10" i="15"/>
  <c r="AI31" i="15"/>
  <c r="AD13" i="15"/>
  <c r="AG13" i="15" s="1"/>
  <c r="AD36" i="15"/>
  <c r="AG36" i="15" s="1"/>
  <c r="AI57" i="15"/>
  <c r="AD17" i="15"/>
  <c r="AG17" i="15" s="1"/>
  <c r="AB31" i="15"/>
  <c r="AE30" i="15"/>
  <c r="AH30" i="15" s="1"/>
  <c r="AD30" i="15"/>
  <c r="AG30" i="15" s="1"/>
  <c r="AE3" i="15"/>
  <c r="AH3" i="15" s="1"/>
  <c r="AE61" i="15"/>
  <c r="AH61" i="15" s="1"/>
  <c r="AC43" i="15"/>
  <c r="AF43" i="15" s="1"/>
  <c r="AB43" i="15"/>
  <c r="AI43" i="15"/>
  <c r="AI41" i="15"/>
  <c r="AI39" i="15"/>
  <c r="AE60" i="15"/>
  <c r="AH60" i="15" s="1"/>
  <c r="AC53" i="15"/>
  <c r="AF53" i="15" s="1"/>
  <c r="AI36" i="15"/>
  <c r="AI12" i="15"/>
  <c r="AB12" i="15"/>
  <c r="AC12" i="15"/>
  <c r="AF12" i="15" s="1"/>
  <c r="AE10" i="15"/>
  <c r="AH10" i="15" s="1"/>
  <c r="AE11" i="15"/>
  <c r="AH11" i="15" s="1"/>
  <c r="AI38" i="15"/>
  <c r="AC32" i="15"/>
  <c r="AF32" i="15" s="1"/>
  <c r="AB32" i="15"/>
  <c r="AI32" i="15"/>
  <c r="AB39" i="15"/>
  <c r="AB54" i="15"/>
  <c r="AI54" i="15"/>
  <c r="AC54" i="15"/>
  <c r="AF54" i="15" s="1"/>
  <c r="AC33" i="15"/>
  <c r="AF33" i="15" s="1"/>
  <c r="AI53" i="15"/>
  <c r="AB36" i="15"/>
  <c r="AI3" i="15"/>
  <c r="AB3" i="15"/>
  <c r="AC3" i="15"/>
  <c r="AF3" i="15" s="1"/>
  <c r="AC55" i="15"/>
  <c r="AF55" i="15" s="1"/>
  <c r="AB55" i="15"/>
  <c r="AI55" i="15"/>
  <c r="AD46" i="15"/>
  <c r="AG46" i="15" s="1"/>
  <c r="AC6" i="15"/>
  <c r="AF6" i="15" s="1"/>
  <c r="AB6" i="15"/>
  <c r="AI6" i="15"/>
  <c r="AE21" i="15"/>
  <c r="AH21" i="15" s="1"/>
  <c r="AI4" i="15"/>
  <c r="AB4" i="15"/>
  <c r="AC4" i="15"/>
  <c r="AF4" i="15" s="1"/>
  <c r="AC21" i="15"/>
  <c r="AF21" i="15" s="1"/>
  <c r="AB21" i="15"/>
  <c r="AI21" i="15"/>
  <c r="AB41" i="15"/>
  <c r="AB13" i="15"/>
  <c r="AI13" i="15"/>
  <c r="AC13" i="15"/>
  <c r="AF13" i="15" s="1"/>
  <c r="AB5" i="15"/>
  <c r="AI5" i="15"/>
  <c r="AC5" i="15"/>
  <c r="AF5" i="15" s="1"/>
  <c r="AI35" i="15"/>
  <c r="AC35" i="15"/>
  <c r="AF35" i="15" s="1"/>
  <c r="AB35" i="15"/>
  <c r="AD61" i="15"/>
  <c r="AG61" i="15" s="1"/>
  <c r="AE43" i="15"/>
  <c r="AH43" i="15" s="1"/>
  <c r="AC47" i="15"/>
  <c r="AF47" i="15" s="1"/>
  <c r="AB47" i="15"/>
  <c r="AI47" i="15"/>
  <c r="AE44" i="15"/>
  <c r="AH44" i="15" s="1"/>
  <c r="AD8" i="15"/>
  <c r="AG8" i="15" s="1"/>
  <c r="AB20" i="15"/>
  <c r="AI20" i="15"/>
  <c r="AC20" i="15"/>
  <c r="AF20" i="15" s="1"/>
  <c r="AC24" i="15"/>
  <c r="AF24" i="15" s="1"/>
  <c r="AB24" i="15"/>
  <c r="AI24" i="15"/>
  <c r="AC60" i="15"/>
  <c r="AF60" i="15" s="1"/>
  <c r="AB60" i="15"/>
  <c r="AI60" i="15"/>
  <c r="AE55" i="15"/>
  <c r="AH55" i="15" s="1"/>
  <c r="AD55" i="15"/>
  <c r="AG55" i="15" s="1"/>
  <c r="AD14" i="15"/>
  <c r="AG14" i="15" s="1"/>
  <c r="AB61" i="15"/>
  <c r="AE40" i="15"/>
  <c r="AH40" i="15" s="1"/>
  <c r="AD56" i="15"/>
  <c r="AG56" i="15" s="1"/>
  <c r="AC22" i="15"/>
  <c r="AF22" i="15" s="1"/>
  <c r="AI27" i="15"/>
  <c r="AC27" i="15"/>
  <c r="AF27" i="15" s="1"/>
  <c r="AB27" i="15"/>
  <c r="AC34" i="15"/>
  <c r="AF34" i="15" s="1"/>
  <c r="AB34" i="15"/>
  <c r="AI34" i="15"/>
  <c r="AC17" i="15"/>
  <c r="AF17" i="15" s="1"/>
  <c r="AB17" i="15"/>
  <c r="AI17" i="15"/>
  <c r="AD35" i="15"/>
  <c r="AG35" i="15" s="1"/>
  <c r="AC59" i="15"/>
  <c r="AF59" i="15" s="1"/>
  <c r="AB59" i="15"/>
  <c r="AI59" i="15"/>
  <c r="AE50" i="15"/>
  <c r="AH50" i="15" s="1"/>
  <c r="AC14" i="15"/>
  <c r="AF14" i="15" s="1"/>
  <c r="AD27" i="15"/>
  <c r="AG27" i="15" s="1"/>
  <c r="AC61" i="15"/>
  <c r="AF61" i="15" s="1"/>
  <c r="AE51" i="15"/>
  <c r="AH51" i="15" s="1"/>
  <c r="AI42" i="15"/>
  <c r="AI30" i="15"/>
  <c r="AI19" i="15"/>
  <c r="AC19" i="15"/>
  <c r="AF19" i="15" s="1"/>
  <c r="AB19" i="15"/>
  <c r="AE5" i="15"/>
  <c r="AH5" i="15" s="1"/>
  <c r="AC15" i="15"/>
  <c r="AF15" i="15" s="1"/>
  <c r="AB15" i="15"/>
  <c r="AI15" i="15"/>
  <c r="AE15" i="15"/>
  <c r="AH15" i="15" s="1"/>
  <c r="AE16" i="15"/>
  <c r="AH16" i="15" s="1"/>
  <c r="AC25" i="15"/>
  <c r="AF25" i="15" s="1"/>
  <c r="AI45" i="15"/>
  <c r="AC45" i="15"/>
  <c r="AF45" i="15" s="1"/>
  <c r="AB45" i="15"/>
  <c r="AC44" i="15"/>
  <c r="AF44" i="15" s="1"/>
  <c r="AE27" i="15"/>
  <c r="AH27" i="15" s="1"/>
  <c r="AI61" i="15"/>
  <c r="AI22" i="15"/>
  <c r="AB42" i="15"/>
  <c r="AC48" i="15"/>
  <c r="AF48" i="15" s="1"/>
  <c r="AB30" i="15"/>
  <c r="AC52" i="15"/>
  <c r="AF52" i="15" s="1"/>
  <c r="AB52" i="15"/>
  <c r="AI52" i="15"/>
  <c r="AC7" i="15"/>
  <c r="AF7" i="15" s="1"/>
  <c r="AB7" i="15"/>
  <c r="AI7" i="15"/>
  <c r="AD42" i="15"/>
  <c r="AG42" i="15" s="1"/>
  <c r="AC8" i="15"/>
  <c r="AF8" i="15" s="1"/>
  <c r="AC29" i="15"/>
  <c r="AF29" i="15" s="1"/>
  <c r="AB29" i="15"/>
  <c r="AI29" i="15"/>
  <c r="AC26" i="15"/>
  <c r="AF26" i="15" s="1"/>
  <c r="AB26" i="15"/>
  <c r="AI26" i="15"/>
  <c r="AD25" i="15"/>
  <c r="AG25" i="15" s="1"/>
  <c r="AE48" i="15"/>
  <c r="AH48" i="15" s="1"/>
  <c r="AB38" i="15"/>
  <c r="AD16" i="15"/>
  <c r="AG16" i="15" s="1"/>
  <c r="AB22" i="15"/>
  <c r="AE6" i="15"/>
  <c r="AH6" i="15" s="1"/>
  <c r="AC30" i="15"/>
  <c r="AF30" i="15" s="1"/>
  <c r="AI33" i="14"/>
  <c r="AL33" i="14" s="1"/>
  <c r="AJ48" i="14"/>
  <c r="AM48" i="14" s="1"/>
  <c r="AJ49" i="14"/>
  <c r="AM49" i="14" s="1"/>
  <c r="AJ34" i="14"/>
  <c r="AM34" i="14" s="1"/>
  <c r="AJ9" i="14"/>
  <c r="AM9" i="14" s="1"/>
  <c r="AI60" i="14"/>
  <c r="AL60" i="14" s="1"/>
  <c r="AI55" i="14"/>
  <c r="AL55" i="14" s="1"/>
  <c r="AJ15" i="14"/>
  <c r="AM15" i="14" s="1"/>
  <c r="AI22" i="14"/>
  <c r="AL22" i="14" s="1"/>
  <c r="AG14" i="14"/>
  <c r="AJ10" i="14"/>
  <c r="AM10" i="14" s="1"/>
  <c r="AJ6" i="14"/>
  <c r="AM6" i="14" s="1"/>
  <c r="AH17" i="14"/>
  <c r="AK17" i="14" s="1"/>
  <c r="AN17" i="14"/>
  <c r="AJ18" i="14"/>
  <c r="AM18" i="14" s="1"/>
  <c r="AJ23" i="14"/>
  <c r="AM23" i="14" s="1"/>
  <c r="AJ30" i="14"/>
  <c r="AM30" i="14" s="1"/>
  <c r="AJ29" i="14"/>
  <c r="AM29" i="14" s="1"/>
  <c r="AJ13" i="14"/>
  <c r="AM13" i="14" s="1"/>
  <c r="AJ40" i="14"/>
  <c r="AM40" i="14" s="1"/>
  <c r="AJ39" i="14"/>
  <c r="AM39" i="14" s="1"/>
  <c r="AJ33" i="14"/>
  <c r="AM33" i="14" s="1"/>
  <c r="AJ38" i="14"/>
  <c r="AM38" i="14" s="1"/>
  <c r="AJ17" i="14"/>
  <c r="AM17" i="14" s="1"/>
  <c r="AH7" i="14"/>
  <c r="AK7" i="14" s="1"/>
  <c r="AJ24" i="14"/>
  <c r="AM24" i="14" s="1"/>
  <c r="AH62" i="14"/>
  <c r="AK62" i="14" s="1"/>
  <c r="AN62" i="14"/>
  <c r="AI26" i="14"/>
  <c r="AL26" i="14" s="1"/>
  <c r="AH54" i="14"/>
  <c r="AK54" i="14" s="1"/>
  <c r="AJ11" i="14"/>
  <c r="AM11" i="14" s="1"/>
  <c r="AJ14" i="14"/>
  <c r="AM14" i="14" s="1"/>
  <c r="AI5" i="14"/>
  <c r="AL5" i="14" s="1"/>
  <c r="AN4" i="14"/>
  <c r="AI12" i="14"/>
  <c r="AL12" i="14" s="1"/>
  <c r="AH13" i="14"/>
  <c r="AK13" i="14" s="1"/>
  <c r="AI54" i="14"/>
  <c r="AL54" i="14" s="1"/>
  <c r="AJ7" i="14"/>
  <c r="AM7" i="14" s="1"/>
  <c r="AG38" i="14"/>
  <c r="AJ37" i="14"/>
  <c r="AM37" i="14" s="1"/>
  <c r="AJ56" i="14"/>
  <c r="AM56" i="14" s="1"/>
  <c r="AJ43" i="14"/>
  <c r="AM43" i="14" s="1"/>
  <c r="AI38" i="14"/>
  <c r="AL38" i="14" s="1"/>
  <c r="AI48" i="14"/>
  <c r="AL48" i="14" s="1"/>
  <c r="AN38" i="14"/>
  <c r="AH8" i="14"/>
  <c r="AK8" i="14" s="1"/>
  <c r="AN12" i="14"/>
  <c r="AG12" i="14"/>
  <c r="AI13" i="14"/>
  <c r="AL13" i="14" s="1"/>
  <c r="AI30" i="14"/>
  <c r="AL30" i="14" s="1"/>
  <c r="AN13" i="14"/>
  <c r="AJ55" i="14"/>
  <c r="AM55" i="14" s="1"/>
  <c r="AJ46" i="14"/>
  <c r="AM46" i="14" s="1"/>
  <c r="AJ58" i="14"/>
  <c r="AM58" i="14" s="1"/>
  <c r="AG4" i="14"/>
  <c r="AJ19" i="14"/>
  <c r="AM19" i="14" s="1"/>
  <c r="AN10" i="14"/>
  <c r="AI39" i="14"/>
  <c r="AL39" i="14" s="1"/>
  <c r="AJ42" i="14"/>
  <c r="AM42" i="14" s="1"/>
  <c r="AI28" i="14"/>
  <c r="AL28" i="14" s="1"/>
  <c r="AI46" i="14"/>
  <c r="AL46" i="14" s="1"/>
  <c r="AI40" i="14"/>
  <c r="AL40" i="14" s="1"/>
  <c r="AN14" i="14"/>
  <c r="AI15" i="14"/>
  <c r="AL15" i="14" s="1"/>
  <c r="AG19" i="14"/>
  <c r="AG10" i="14"/>
  <c r="AI10" i="14"/>
  <c r="AL10" i="14" s="1"/>
  <c r="AI58" i="14"/>
  <c r="AL58" i="14" s="1"/>
  <c r="AN47" i="14"/>
  <c r="AI59" i="14"/>
  <c r="AL59" i="14" s="1"/>
  <c r="AI34" i="14"/>
  <c r="AL34" i="14" s="1"/>
  <c r="AH32" i="14"/>
  <c r="AK32" i="14" s="1"/>
  <c r="AI11" i="14"/>
  <c r="AL11" i="14" s="1"/>
  <c r="AG50" i="14"/>
  <c r="AJ62" i="14"/>
  <c r="AM62" i="14" s="1"/>
  <c r="AN21" i="14"/>
  <c r="AI41" i="14"/>
  <c r="AL41" i="14" s="1"/>
  <c r="AI18" i="14"/>
  <c r="AL18" i="14" s="1"/>
  <c r="AG17" i="14"/>
  <c r="AI42" i="14"/>
  <c r="AL42" i="14" s="1"/>
  <c r="AG36" i="14"/>
  <c r="AN6" i="14"/>
  <c r="AG40" i="14"/>
  <c r="AI7" i="14"/>
  <c r="AL7" i="14" s="1"/>
  <c r="AH50" i="14"/>
  <c r="AK50" i="14" s="1"/>
  <c r="AI20" i="14"/>
  <c r="AL20" i="14" s="1"/>
  <c r="AG62" i="14"/>
  <c r="AI56" i="14"/>
  <c r="AL56" i="14" s="1"/>
  <c r="AJ63" i="14"/>
  <c r="AM63" i="14" s="1"/>
  <c r="AJ60" i="14"/>
  <c r="AM60" i="14" s="1"/>
  <c r="AH53" i="14"/>
  <c r="AK53" i="14" s="1"/>
  <c r="AJ5" i="14"/>
  <c r="AM5" i="14" s="1"/>
  <c r="AH47" i="14"/>
  <c r="AK47" i="14" s="1"/>
  <c r="AH24" i="14"/>
  <c r="AK24" i="14" s="1"/>
  <c r="AJ50" i="14"/>
  <c r="AM50" i="14" s="1"/>
  <c r="AJ61" i="14"/>
  <c r="AM61" i="14" s="1"/>
  <c r="AG47" i="14"/>
  <c r="AG24" i="14"/>
  <c r="AH51" i="14"/>
  <c r="AK51" i="14" s="1"/>
  <c r="AH48" i="14"/>
  <c r="AK48" i="14" s="1"/>
  <c r="AJ25" i="14"/>
  <c r="AM25" i="14" s="1"/>
  <c r="AJ35" i="14"/>
  <c r="AM35" i="14" s="1"/>
  <c r="AG27" i="14"/>
  <c r="AJ21" i="14"/>
  <c r="AM21" i="14" s="1"/>
  <c r="AG21" i="14"/>
  <c r="AH6" i="14"/>
  <c r="AK6" i="14" s="1"/>
  <c r="AJ32" i="14"/>
  <c r="AM32" i="14" s="1"/>
  <c r="AJ8" i="14"/>
  <c r="AM8" i="14" s="1"/>
  <c r="AH46" i="14"/>
  <c r="AK46" i="14" s="1"/>
  <c r="AJ57" i="14"/>
  <c r="AM57" i="14" s="1"/>
  <c r="AH36" i="14"/>
  <c r="AK36" i="14" s="1"/>
  <c r="AJ44" i="14"/>
  <c r="AM44" i="14" s="1"/>
  <c r="AN8" i="14"/>
  <c r="AH19" i="14"/>
  <c r="AK19" i="14" s="1"/>
  <c r="AI6" i="14"/>
  <c r="AL6" i="14" s="1"/>
  <c r="AJ22" i="14"/>
  <c r="AM22" i="14" s="1"/>
  <c r="AJ26" i="14"/>
  <c r="AM26" i="14" s="1"/>
  <c r="AI47" i="14"/>
  <c r="AL47" i="14" s="1"/>
  <c r="AI16" i="14"/>
  <c r="AL16" i="14" s="1"/>
  <c r="AN61" i="14"/>
  <c r="AG7" i="14"/>
  <c r="AH18" i="14"/>
  <c r="AK18" i="14" s="1"/>
  <c r="AN36" i="14"/>
  <c r="AJ12" i="14"/>
  <c r="AM12" i="14" s="1"/>
  <c r="AI49" i="14"/>
  <c r="AL49" i="14" s="1"/>
  <c r="AJ36" i="14"/>
  <c r="AM36" i="14" s="1"/>
  <c r="AG61" i="14"/>
  <c r="AG54" i="14"/>
  <c r="AJ52" i="14"/>
  <c r="AM52" i="14" s="1"/>
  <c r="AI52" i="14"/>
  <c r="AL52" i="14" s="1"/>
  <c r="AH21" i="14"/>
  <c r="AK21" i="14" s="1"/>
  <c r="AI35" i="14"/>
  <c r="AL35" i="14" s="1"/>
  <c r="AI44" i="14"/>
  <c r="AL44" i="14" s="1"/>
  <c r="AG15" i="14"/>
  <c r="AI14" i="14"/>
  <c r="AL14" i="14" s="1"/>
  <c r="AJ16" i="14"/>
  <c r="AM16" i="14" s="1"/>
  <c r="AN40" i="14"/>
  <c r="AI53" i="14"/>
  <c r="AL53" i="14" s="1"/>
  <c r="AJ27" i="14"/>
  <c r="AM27" i="14" s="1"/>
  <c r="AI24" i="14"/>
  <c r="AL24" i="14" s="1"/>
  <c r="AG48" i="14"/>
  <c r="AI8" i="14"/>
  <c r="AL8" i="14" s="1"/>
  <c r="AG6" i="14"/>
  <c r="AG13" i="14"/>
  <c r="AH9" i="14"/>
  <c r="AK9" i="14" s="1"/>
  <c r="AG9" i="14"/>
  <c r="AN9" i="14"/>
  <c r="AH20" i="14"/>
  <c r="AK20" i="14" s="1"/>
  <c r="AG20" i="14"/>
  <c r="AN20" i="14"/>
  <c r="AH26" i="14"/>
  <c r="AK26" i="14" s="1"/>
  <c r="AG26" i="14"/>
  <c r="AN26" i="14"/>
  <c r="AH45" i="14"/>
  <c r="AK45" i="14" s="1"/>
  <c r="AG45" i="14"/>
  <c r="AN45" i="14"/>
  <c r="AJ31" i="14"/>
  <c r="AM31" i="14" s="1"/>
  <c r="AH41" i="14"/>
  <c r="AK41" i="14" s="1"/>
  <c r="AG41" i="14"/>
  <c r="AN41" i="14"/>
  <c r="AH16" i="14"/>
  <c r="AK16" i="14" s="1"/>
  <c r="AG16" i="14"/>
  <c r="AN16" i="14"/>
  <c r="AI36" i="14"/>
  <c r="AL36" i="14" s="1"/>
  <c r="AN24" i="14"/>
  <c r="AN7" i="14"/>
  <c r="AI25" i="14"/>
  <c r="AL25" i="14" s="1"/>
  <c r="AJ51" i="14"/>
  <c r="AM51" i="14" s="1"/>
  <c r="AG8" i="14"/>
  <c r="AN25" i="14"/>
  <c r="AG25" i="14"/>
  <c r="AH25" i="14"/>
  <c r="AK25" i="14" s="1"/>
  <c r="AH42" i="14"/>
  <c r="AK42" i="14" s="1"/>
  <c r="AG42" i="14"/>
  <c r="AN42" i="14"/>
  <c r="AH44" i="14"/>
  <c r="AK44" i="14" s="1"/>
  <c r="AG44" i="14"/>
  <c r="AN44" i="14"/>
  <c r="AN39" i="14"/>
  <c r="AG39" i="14"/>
  <c r="AH39" i="14"/>
  <c r="AK39" i="14" s="1"/>
  <c r="AH40" i="14"/>
  <c r="AK40" i="14" s="1"/>
  <c r="AN11" i="14"/>
  <c r="AG11" i="14"/>
  <c r="AH11" i="14"/>
  <c r="AK11" i="14" s="1"/>
  <c r="AJ53" i="14"/>
  <c r="AM53" i="14" s="1"/>
  <c r="AH22" i="14"/>
  <c r="AK22" i="14" s="1"/>
  <c r="AG22" i="14"/>
  <c r="AN22" i="14"/>
  <c r="AN46" i="14"/>
  <c r="AN35" i="14"/>
  <c r="AG35" i="14"/>
  <c r="AH35" i="14"/>
  <c r="AK35" i="14" s="1"/>
  <c r="AH52" i="14"/>
  <c r="AK52" i="14" s="1"/>
  <c r="AG52" i="14"/>
  <c r="AN52" i="14"/>
  <c r="AG34" i="14"/>
  <c r="AN34" i="14"/>
  <c r="AH34" i="14"/>
  <c r="AK34" i="14" s="1"/>
  <c r="AH49" i="14"/>
  <c r="AK49" i="14" s="1"/>
  <c r="AG49" i="14"/>
  <c r="AN49" i="14"/>
  <c r="AN18" i="14"/>
  <c r="AN27" i="14"/>
  <c r="AJ41" i="14"/>
  <c r="AM41" i="14" s="1"/>
  <c r="AH30" i="14"/>
  <c r="AK30" i="14" s="1"/>
  <c r="AG30" i="14"/>
  <c r="AN30" i="14"/>
  <c r="AH57" i="14"/>
  <c r="AK57" i="14" s="1"/>
  <c r="AG57" i="14"/>
  <c r="AN57" i="14"/>
  <c r="AN55" i="14"/>
  <c r="AG55" i="14"/>
  <c r="AH55" i="14"/>
  <c r="AK55" i="14" s="1"/>
  <c r="AN59" i="14"/>
  <c r="AG59" i="14"/>
  <c r="AH59" i="14"/>
  <c r="AK59" i="14" s="1"/>
  <c r="AH23" i="14"/>
  <c r="AK23" i="14" s="1"/>
  <c r="AG23" i="14"/>
  <c r="AN23" i="14"/>
  <c r="AH58" i="14"/>
  <c r="AK58" i="14" s="1"/>
  <c r="AG58" i="14"/>
  <c r="AN58" i="14"/>
  <c r="AJ20" i="14"/>
  <c r="AM20" i="14" s="1"/>
  <c r="AG46" i="14"/>
  <c r="AJ59" i="14"/>
  <c r="AM59" i="14" s="1"/>
  <c r="AN19" i="14"/>
  <c r="AN43" i="14"/>
  <c r="AG43" i="14"/>
  <c r="AH43" i="14"/>
  <c r="AK43" i="14" s="1"/>
  <c r="AN48" i="14"/>
  <c r="AG18" i="14"/>
  <c r="AI57" i="14"/>
  <c r="AL57" i="14" s="1"/>
  <c r="AI37" i="14"/>
  <c r="AL37" i="14" s="1"/>
  <c r="AN29" i="14"/>
  <c r="AG29" i="14"/>
  <c r="AH29" i="14"/>
  <c r="AK29" i="14" s="1"/>
  <c r="AH37" i="14"/>
  <c r="AK37" i="14" s="1"/>
  <c r="AG37" i="14"/>
  <c r="AN37" i="14"/>
  <c r="AH27" i="14"/>
  <c r="AK27" i="14" s="1"/>
  <c r="AI45" i="14"/>
  <c r="AL45" i="14" s="1"/>
  <c r="AI23" i="14"/>
  <c r="AL23" i="14" s="1"/>
  <c r="AN32" i="14"/>
  <c r="AH28" i="14"/>
  <c r="AK28" i="14" s="1"/>
  <c r="AG28" i="14"/>
  <c r="AN28" i="14"/>
  <c r="AN63" i="14"/>
  <c r="AG63" i="14"/>
  <c r="AH63" i="14"/>
  <c r="AK63" i="14" s="1"/>
  <c r="AH56" i="14"/>
  <c r="AK56" i="14" s="1"/>
  <c r="AG56" i="14"/>
  <c r="AN56" i="14"/>
  <c r="AN53" i="14"/>
  <c r="AI27" i="14"/>
  <c r="AL27" i="14" s="1"/>
  <c r="AH12" i="14"/>
  <c r="AK12" i="14" s="1"/>
  <c r="AI29" i="14"/>
  <c r="AL29" i="14" s="1"/>
  <c r="AI21" i="14"/>
  <c r="AL21" i="14" s="1"/>
  <c r="AG51" i="14"/>
  <c r="AH60" i="14"/>
  <c r="AK60" i="14" s="1"/>
  <c r="AG60" i="14"/>
  <c r="AN60" i="14"/>
  <c r="AN50" i="14"/>
  <c r="AG32" i="14"/>
  <c r="AJ54" i="14"/>
  <c r="AM54" i="14" s="1"/>
  <c r="AN33" i="14"/>
  <c r="AG33" i="14"/>
  <c r="AH33" i="14"/>
  <c r="AK33" i="14" s="1"/>
  <c r="AN15" i="14"/>
  <c r="AJ45" i="14"/>
  <c r="AM45" i="14" s="1"/>
  <c r="AJ47" i="14"/>
  <c r="AM47" i="14" s="1"/>
  <c r="AG53" i="14"/>
  <c r="AN54" i="14"/>
  <c r="AI31" i="14"/>
  <c r="AL31" i="14" s="1"/>
  <c r="AI32" i="14"/>
  <c r="AL32" i="14" s="1"/>
  <c r="AH38" i="14"/>
  <c r="AK38" i="14" s="1"/>
  <c r="AN51" i="14"/>
  <c r="AI17" i="14"/>
  <c r="AL17" i="14" s="1"/>
  <c r="AH10" i="14"/>
  <c r="AK10" i="14" s="1"/>
  <c r="AJ28" i="14"/>
  <c r="AM28" i="14" s="1"/>
  <c r="AH61" i="14"/>
  <c r="AK61" i="14" s="1"/>
  <c r="AH5" i="14"/>
  <c r="AK5" i="14" s="1"/>
  <c r="AG5" i="14"/>
  <c r="AN5" i="14"/>
  <c r="AI19" i="14"/>
  <c r="AL19" i="14" s="1"/>
  <c r="AH31" i="14"/>
  <c r="AK31" i="14" s="1"/>
  <c r="AG31" i="14"/>
  <c r="AN31" i="14"/>
  <c r="AI9" i="14"/>
  <c r="AL9" i="14" s="1"/>
  <c r="AI61" i="14"/>
  <c r="AL61" i="14" s="1"/>
  <c r="Z35" i="13"/>
  <c r="AC35" i="13" s="1"/>
  <c r="X21" i="13"/>
  <c r="AA21" i="13" s="1"/>
  <c r="X59" i="13"/>
  <c r="AA59" i="13" s="1"/>
  <c r="Z47" i="13"/>
  <c r="AC47" i="13" s="1"/>
  <c r="Y57" i="13"/>
  <c r="AB57" i="13" s="1"/>
  <c r="X29" i="13"/>
  <c r="AA29" i="13" s="1"/>
  <c r="X26" i="13"/>
  <c r="AA26" i="13" s="1"/>
  <c r="Y44" i="13"/>
  <c r="AB44" i="13" s="1"/>
  <c r="AB61" i="13"/>
  <c r="X42" i="13"/>
  <c r="AA42" i="13" s="1"/>
  <c r="Y20" i="13"/>
  <c r="AB20" i="13" s="1"/>
  <c r="Z38" i="13"/>
  <c r="AC38" i="13" s="1"/>
  <c r="Y48" i="13"/>
  <c r="AB48" i="13" s="1"/>
  <c r="X23" i="13"/>
  <c r="AA23" i="13" s="1"/>
  <c r="X28" i="13"/>
  <c r="AA28" i="13" s="1"/>
  <c r="Y58" i="13"/>
  <c r="AB58" i="13" s="1"/>
  <c r="X34" i="13"/>
  <c r="AA34" i="13" s="1"/>
  <c r="Z5" i="13"/>
  <c r="AC5" i="13" s="1"/>
  <c r="X35" i="13"/>
  <c r="AA35" i="13" s="1"/>
  <c r="Y33" i="13"/>
  <c r="AB33" i="13" s="1"/>
  <c r="AB42" i="13"/>
  <c r="X33" i="13"/>
  <c r="AA33" i="13" s="1"/>
  <c r="Z27" i="13"/>
  <c r="AC27" i="13" s="1"/>
  <c r="Y6" i="13"/>
  <c r="AB6" i="13" s="1"/>
  <c r="Y59" i="13"/>
  <c r="AB59" i="13" s="1"/>
  <c r="Z55" i="13"/>
  <c r="AC55" i="13" s="1"/>
  <c r="AD58" i="13"/>
  <c r="X38" i="13"/>
  <c r="AA38" i="13" s="1"/>
  <c r="X37" i="13"/>
  <c r="AA37" i="13" s="1"/>
  <c r="X46" i="13"/>
  <c r="AA46" i="13" s="1"/>
  <c r="Z39" i="13"/>
  <c r="AC39" i="13" s="1"/>
  <c r="Z40" i="13"/>
  <c r="AC40" i="13" s="1"/>
  <c r="X52" i="13"/>
  <c r="AA52" i="13" s="1"/>
  <c r="X51" i="13"/>
  <c r="AA51" i="13" s="1"/>
  <c r="W47" i="13"/>
  <c r="W43" i="13"/>
  <c r="X54" i="13"/>
  <c r="AA54" i="13" s="1"/>
  <c r="AC43" i="13"/>
  <c r="X25" i="13"/>
  <c r="AA25" i="13" s="1"/>
  <c r="X55" i="13"/>
  <c r="AA55" i="13" s="1"/>
  <c r="X19" i="13"/>
  <c r="AA19" i="13" s="1"/>
  <c r="X20" i="13"/>
  <c r="AA20" i="13" s="1"/>
  <c r="Z49" i="13"/>
  <c r="AC49" i="13" s="1"/>
  <c r="Z45" i="13"/>
  <c r="AC45" i="13" s="1"/>
  <c r="AD43" i="13"/>
  <c r="X43" i="13"/>
  <c r="AA43" i="13" s="1"/>
  <c r="X8" i="13"/>
  <c r="AA8" i="13" s="1"/>
  <c r="X41" i="13"/>
  <c r="AA41" i="13" s="1"/>
  <c r="AB41" i="13"/>
  <c r="Z44" i="13"/>
  <c r="AC44" i="13" s="1"/>
  <c r="W38" i="13"/>
  <c r="X50" i="13"/>
  <c r="AA50" i="13" s="1"/>
  <c r="Z60" i="13"/>
  <c r="AC60" i="13" s="1"/>
  <c r="Y32" i="13"/>
  <c r="AB32" i="13" s="1"/>
  <c r="Y14" i="13"/>
  <c r="AB14" i="13" s="1"/>
  <c r="AD33" i="13"/>
  <c r="W33" i="13"/>
  <c r="Z15" i="13"/>
  <c r="AC15" i="13" s="1"/>
  <c r="X32" i="13"/>
  <c r="AA32" i="13" s="1"/>
  <c r="Z18" i="13"/>
  <c r="AC18" i="13" s="1"/>
  <c r="Y36" i="13"/>
  <c r="AB36" i="13" s="1"/>
  <c r="W15" i="13"/>
  <c r="AD59" i="13"/>
  <c r="X48" i="13"/>
  <c r="AA48" i="13" s="1"/>
  <c r="W31" i="13"/>
  <c r="W59" i="13"/>
  <c r="Y25" i="13"/>
  <c r="AB25" i="13" s="1"/>
  <c r="Y16" i="13"/>
  <c r="AB16" i="13" s="1"/>
  <c r="Y26" i="13"/>
  <c r="AB26" i="13" s="1"/>
  <c r="X47" i="13"/>
  <c r="AA47" i="13" s="1"/>
  <c r="AD47" i="13"/>
  <c r="X31" i="13"/>
  <c r="AA31" i="13" s="1"/>
  <c r="AD38" i="13"/>
  <c r="W6" i="13"/>
  <c r="Z50" i="13"/>
  <c r="AC50" i="13" s="1"/>
  <c r="Z51" i="13"/>
  <c r="AC51" i="13" s="1"/>
  <c r="W49" i="13"/>
  <c r="X49" i="13"/>
  <c r="AA49" i="13" s="1"/>
  <c r="Z26" i="13"/>
  <c r="AC26" i="13" s="1"/>
  <c r="AD50" i="13"/>
  <c r="AD49" i="13"/>
  <c r="X10" i="13"/>
  <c r="AA10" i="13" s="1"/>
  <c r="Z16" i="13"/>
  <c r="AC16" i="13" s="1"/>
  <c r="AD29" i="13"/>
  <c r="Z4" i="13"/>
  <c r="AC4" i="13" s="1"/>
  <c r="Z48" i="13"/>
  <c r="AC48" i="13" s="1"/>
  <c r="Y4" i="13"/>
  <c r="AB4" i="13" s="1"/>
  <c r="Z32" i="13"/>
  <c r="AC32" i="13" s="1"/>
  <c r="Z57" i="13"/>
  <c r="AC57" i="13" s="1"/>
  <c r="AD61" i="13"/>
  <c r="Y12" i="13"/>
  <c r="AB12" i="13" s="1"/>
  <c r="Y19" i="13"/>
  <c r="AB19" i="13" s="1"/>
  <c r="W19" i="13"/>
  <c r="Y29" i="13"/>
  <c r="AB29" i="13" s="1"/>
  <c r="X7" i="13"/>
  <c r="AA7" i="13" s="1"/>
  <c r="X22" i="13"/>
  <c r="AA22" i="13" s="1"/>
  <c r="AB52" i="13"/>
  <c r="Y51" i="13"/>
  <c r="AB51" i="13" s="1"/>
  <c r="Z24" i="13"/>
  <c r="AC24" i="13" s="1"/>
  <c r="Z6" i="13"/>
  <c r="AC6" i="13" s="1"/>
  <c r="Z33" i="13"/>
  <c r="AC33" i="13" s="1"/>
  <c r="W3" i="13"/>
  <c r="Z9" i="13"/>
  <c r="AC9" i="13" s="1"/>
  <c r="Y50" i="13"/>
  <c r="AB50" i="13" s="1"/>
  <c r="AD32" i="13"/>
  <c r="Z10" i="13"/>
  <c r="AC10" i="13" s="1"/>
  <c r="W50" i="13"/>
  <c r="W32" i="13"/>
  <c r="Z46" i="13"/>
  <c r="AC46" i="13" s="1"/>
  <c r="W28" i="13"/>
  <c r="Y21" i="13"/>
  <c r="AB21" i="13" s="1"/>
  <c r="Y60" i="13"/>
  <c r="AB60" i="13" s="1"/>
  <c r="AD41" i="13"/>
  <c r="Z28" i="13"/>
  <c r="AC28" i="13" s="1"/>
  <c r="AD28" i="13"/>
  <c r="Y46" i="13"/>
  <c r="AB46" i="13" s="1"/>
  <c r="Y34" i="13"/>
  <c r="AB34" i="13" s="1"/>
  <c r="W41" i="13"/>
  <c r="AD6" i="13"/>
  <c r="W48" i="13"/>
  <c r="Y49" i="13"/>
  <c r="AB49" i="13" s="1"/>
  <c r="AD48" i="13"/>
  <c r="Z23" i="13"/>
  <c r="AC23" i="13" s="1"/>
  <c r="W7" i="13"/>
  <c r="X60" i="13"/>
  <c r="AA60" i="13" s="1"/>
  <c r="W34" i="13"/>
  <c r="W61" i="13"/>
  <c r="W42" i="13"/>
  <c r="Z11" i="13"/>
  <c r="AC11" i="13" s="1"/>
  <c r="AC42" i="13"/>
  <c r="Y11" i="13"/>
  <c r="AB11" i="13" s="1"/>
  <c r="AD34" i="13"/>
  <c r="AD42" i="13"/>
  <c r="Y27" i="13"/>
  <c r="AB27" i="13" s="1"/>
  <c r="Y31" i="13"/>
  <c r="AB31" i="13" s="1"/>
  <c r="Y43" i="13"/>
  <c r="AB43" i="13" s="1"/>
  <c r="W37" i="13"/>
  <c r="Z31" i="13"/>
  <c r="AC31" i="13" s="1"/>
  <c r="Z14" i="13"/>
  <c r="AC14" i="13" s="1"/>
  <c r="AD37" i="13"/>
  <c r="AD15" i="13"/>
  <c r="AD25" i="13"/>
  <c r="Y35" i="13"/>
  <c r="AB35" i="13" s="1"/>
  <c r="Z56" i="13"/>
  <c r="AC56" i="13" s="1"/>
  <c r="AC3" i="13"/>
  <c r="Z20" i="13"/>
  <c r="AC20" i="13" s="1"/>
  <c r="W45" i="13"/>
  <c r="AD10" i="13"/>
  <c r="W22" i="13"/>
  <c r="W26" i="13"/>
  <c r="Y38" i="13"/>
  <c r="AB38" i="13" s="1"/>
  <c r="AD45" i="13"/>
  <c r="AD3" i="13"/>
  <c r="W30" i="13"/>
  <c r="AD35" i="13"/>
  <c r="W10" i="13"/>
  <c r="AD20" i="13"/>
  <c r="X61" i="13"/>
  <c r="AA61" i="13" s="1"/>
  <c r="AD26" i="13"/>
  <c r="Y3" i="13"/>
  <c r="AB3" i="13" s="1"/>
  <c r="Y24" i="13"/>
  <c r="AB24" i="13" s="1"/>
  <c r="AD30" i="13"/>
  <c r="AD51" i="13"/>
  <c r="AD31" i="13"/>
  <c r="W25" i="13"/>
  <c r="X30" i="13"/>
  <c r="AA30" i="13" s="1"/>
  <c r="W20" i="13"/>
  <c r="Z59" i="13"/>
  <c r="AC59" i="13" s="1"/>
  <c r="Z41" i="13"/>
  <c r="AC41" i="13" s="1"/>
  <c r="Y15" i="13"/>
  <c r="AB15" i="13" s="1"/>
  <c r="X45" i="13"/>
  <c r="AA45" i="13" s="1"/>
  <c r="Y7" i="13"/>
  <c r="AB7" i="13" s="1"/>
  <c r="W58" i="13"/>
  <c r="Z21" i="13"/>
  <c r="AC21" i="13" s="1"/>
  <c r="AD22" i="13"/>
  <c r="Z52" i="13"/>
  <c r="AC52" i="13" s="1"/>
  <c r="W51" i="13"/>
  <c r="Z58" i="13"/>
  <c r="AC58" i="13" s="1"/>
  <c r="W8" i="13"/>
  <c r="W35" i="13"/>
  <c r="W52" i="13"/>
  <c r="Z53" i="13"/>
  <c r="AC53" i="13" s="1"/>
  <c r="AD52" i="13"/>
  <c r="Z22" i="13"/>
  <c r="AC22" i="13" s="1"/>
  <c r="Y28" i="13"/>
  <c r="AB28" i="13" s="1"/>
  <c r="AD13" i="13"/>
  <c r="AD19" i="13"/>
  <c r="W13" i="13"/>
  <c r="Z19" i="13"/>
  <c r="AC19" i="13" s="1"/>
  <c r="Y8" i="13"/>
  <c r="AB8" i="13" s="1"/>
  <c r="Z34" i="13"/>
  <c r="AC34" i="13" s="1"/>
  <c r="AD8" i="13"/>
  <c r="Y47" i="13"/>
  <c r="AB47" i="13" s="1"/>
  <c r="X11" i="13"/>
  <c r="AA11" i="13" s="1"/>
  <c r="Y17" i="13"/>
  <c r="AB17" i="13" s="1"/>
  <c r="Y5" i="13"/>
  <c r="AB5" i="13" s="1"/>
  <c r="Z25" i="13"/>
  <c r="AC25" i="13" s="1"/>
  <c r="Y13" i="13"/>
  <c r="AB13" i="13" s="1"/>
  <c r="Z7" i="13"/>
  <c r="AC7" i="13" s="1"/>
  <c r="Z8" i="13"/>
  <c r="AC8" i="13" s="1"/>
  <c r="Z61" i="13"/>
  <c r="AC61" i="13" s="1"/>
  <c r="AD7" i="13"/>
  <c r="Y9" i="13"/>
  <c r="AB9" i="13" s="1"/>
  <c r="W23" i="13"/>
  <c r="X15" i="13"/>
  <c r="AA15" i="13" s="1"/>
  <c r="Y54" i="13"/>
  <c r="AB54" i="13" s="1"/>
  <c r="Y30" i="13"/>
  <c r="AB30" i="13" s="1"/>
  <c r="AD46" i="13"/>
  <c r="AD55" i="13"/>
  <c r="W55" i="13"/>
  <c r="W29" i="13"/>
  <c r="AC36" i="13"/>
  <c r="Y10" i="13"/>
  <c r="AB10" i="13" s="1"/>
  <c r="W54" i="13"/>
  <c r="W39" i="13"/>
  <c r="X39" i="13"/>
  <c r="AA39" i="13" s="1"/>
  <c r="AD39" i="13"/>
  <c r="X5" i="13"/>
  <c r="AA5" i="13" s="1"/>
  <c r="W5" i="13"/>
  <c r="AD5" i="13"/>
  <c r="Z12" i="13"/>
  <c r="AC12" i="13" s="1"/>
  <c r="AD16" i="13"/>
  <c r="W16" i="13"/>
  <c r="X16" i="13"/>
  <c r="AA16" i="13" s="1"/>
  <c r="Y39" i="13"/>
  <c r="AB39" i="13" s="1"/>
  <c r="Y40" i="13"/>
  <c r="AB40" i="13" s="1"/>
  <c r="W46" i="13"/>
  <c r="W60" i="13"/>
  <c r="AD44" i="13"/>
  <c r="X44" i="13"/>
  <c r="AA44" i="13" s="1"/>
  <c r="W44" i="13"/>
  <c r="W2" i="13"/>
  <c r="AD2" i="13"/>
  <c r="X4" i="13"/>
  <c r="AA4" i="13" s="1"/>
  <c r="AD4" i="13"/>
  <c r="W4" i="13"/>
  <c r="Z17" i="13"/>
  <c r="AC17" i="13" s="1"/>
  <c r="Y18" i="13"/>
  <c r="AB18" i="13" s="1"/>
  <c r="Z37" i="13"/>
  <c r="AC37" i="13" s="1"/>
  <c r="AD54" i="13"/>
  <c r="Y45" i="13"/>
  <c r="AB45" i="13" s="1"/>
  <c r="AD60" i="13"/>
  <c r="X56" i="13"/>
  <c r="AA56" i="13" s="1"/>
  <c r="W56" i="13"/>
  <c r="AD56" i="13"/>
  <c r="Z13" i="13"/>
  <c r="AC13" i="13" s="1"/>
  <c r="AD11" i="13"/>
  <c r="AD27" i="13"/>
  <c r="W27" i="13"/>
  <c r="X27" i="13"/>
  <c r="AA27" i="13" s="1"/>
  <c r="Y22" i="13"/>
  <c r="AB22" i="13" s="1"/>
  <c r="X58" i="13"/>
  <c r="AA58" i="13" s="1"/>
  <c r="W17" i="13"/>
  <c r="Y23" i="13"/>
  <c r="AB23" i="13" s="1"/>
  <c r="X12" i="13"/>
  <c r="AA12" i="13" s="1"/>
  <c r="AD12" i="13"/>
  <c r="W12" i="13"/>
  <c r="W53" i="13"/>
  <c r="AD53" i="13"/>
  <c r="X53" i="13"/>
  <c r="AA53" i="13" s="1"/>
  <c r="X40" i="13"/>
  <c r="AA40" i="13" s="1"/>
  <c r="W40" i="13"/>
  <c r="AD40" i="13"/>
  <c r="W9" i="13"/>
  <c r="AD9" i="13"/>
  <c r="X9" i="13"/>
  <c r="AA9" i="13" s="1"/>
  <c r="AD14" i="13"/>
  <c r="X14" i="13"/>
  <c r="AA14" i="13" s="1"/>
  <c r="W14" i="13"/>
  <c r="Y55" i="13"/>
  <c r="AB55" i="13" s="1"/>
  <c r="Y56" i="13"/>
  <c r="AB56" i="13" s="1"/>
  <c r="X17" i="13"/>
  <c r="AA17" i="13" s="1"/>
  <c r="AD36" i="13"/>
  <c r="X36" i="13"/>
  <c r="AA36" i="13" s="1"/>
  <c r="W36" i="13"/>
  <c r="Z29" i="13"/>
  <c r="AC29" i="13" s="1"/>
  <c r="Z30" i="13"/>
  <c r="AC30" i="13" s="1"/>
  <c r="Z54" i="13"/>
  <c r="AC54" i="13" s="1"/>
  <c r="X6" i="13"/>
  <c r="AA6" i="13" s="1"/>
  <c r="W21" i="13"/>
  <c r="X3" i="13"/>
  <c r="AA3" i="13" s="1"/>
  <c r="W11" i="13"/>
  <c r="AD57" i="13"/>
  <c r="W57" i="13"/>
  <c r="X57" i="13"/>
  <c r="AA57" i="13" s="1"/>
  <c r="AD17" i="13"/>
  <c r="AB53" i="13"/>
  <c r="Y37" i="13"/>
  <c r="AB37" i="13" s="1"/>
  <c r="W24" i="13"/>
  <c r="AD24" i="13"/>
  <c r="X24" i="13"/>
  <c r="AA24" i="13" s="1"/>
  <c r="X18" i="13"/>
  <c r="AA18" i="13" s="1"/>
  <c r="AD18" i="13"/>
  <c r="W18" i="13"/>
  <c r="AD23" i="13"/>
  <c r="X13" i="13"/>
  <c r="AA13" i="13" s="1"/>
  <c r="AD21" i="13"/>
  <c r="L57" i="11"/>
  <c r="O57" i="11" s="1"/>
  <c r="K24" i="11"/>
  <c r="N24" i="11" s="1"/>
  <c r="Q23" i="11"/>
  <c r="K23" i="11"/>
  <c r="N23" i="11" s="1"/>
  <c r="J40" i="11"/>
  <c r="L41" i="11"/>
  <c r="O41" i="11" s="1"/>
  <c r="P40" i="11"/>
  <c r="L40" i="11"/>
  <c r="O40" i="11" s="1"/>
  <c r="M45" i="11"/>
  <c r="P45" i="11" s="1"/>
  <c r="L42" i="11"/>
  <c r="O42" i="11" s="1"/>
  <c r="M42" i="11"/>
  <c r="P42" i="11" s="1"/>
  <c r="O60" i="11"/>
  <c r="J41" i="11"/>
  <c r="J42" i="11"/>
  <c r="Q41" i="11"/>
  <c r="O63" i="11"/>
  <c r="P41" i="11"/>
  <c r="J25" i="11"/>
  <c r="K42" i="11"/>
  <c r="N42" i="11" s="1"/>
  <c r="K43" i="11"/>
  <c r="N43" i="11" s="1"/>
  <c r="K40" i="11"/>
  <c r="N40" i="11" s="1"/>
  <c r="Q40" i="11"/>
  <c r="K41" i="11"/>
  <c r="N41" i="11" s="1"/>
  <c r="N44" i="11"/>
  <c r="J55" i="11"/>
  <c r="Q55" i="11"/>
  <c r="P24" i="11"/>
  <c r="L55" i="11"/>
  <c r="O55" i="11" s="1"/>
  <c r="L37" i="11"/>
  <c r="O37" i="11" s="1"/>
  <c r="L36" i="11"/>
  <c r="O36" i="11" s="1"/>
  <c r="Q36" i="11"/>
  <c r="L25" i="11"/>
  <c r="O25" i="11" s="1"/>
  <c r="K37" i="11"/>
  <c r="N37" i="11" s="1"/>
  <c r="J36" i="11"/>
  <c r="K36" i="11"/>
  <c r="N36" i="11" s="1"/>
  <c r="M26" i="11"/>
  <c r="P26" i="11" s="1"/>
  <c r="J60" i="11"/>
  <c r="J20" i="11"/>
  <c r="M31" i="11"/>
  <c r="P31" i="11" s="1"/>
  <c r="P25" i="11"/>
  <c r="N49" i="11"/>
  <c r="P55" i="11"/>
  <c r="J24" i="11"/>
  <c r="N55" i="11"/>
  <c r="O20" i="11"/>
  <c r="Q42" i="11"/>
  <c r="L26" i="11"/>
  <c r="O26" i="11" s="1"/>
  <c r="J44" i="11"/>
  <c r="J49" i="11"/>
  <c r="Q49" i="11"/>
  <c r="Q24" i="11"/>
  <c r="K25" i="11"/>
  <c r="N25" i="11" s="1"/>
  <c r="Q25" i="11"/>
  <c r="K56" i="11"/>
  <c r="N56" i="11" s="1"/>
  <c r="N54" i="11"/>
  <c r="K62" i="11"/>
  <c r="N62" i="11" s="1"/>
  <c r="M50" i="11"/>
  <c r="P50" i="11" s="1"/>
  <c r="M49" i="11"/>
  <c r="P49" i="11" s="1"/>
  <c r="M57" i="11"/>
  <c r="P57" i="11" s="1"/>
  <c r="Q57" i="11"/>
  <c r="J57" i="11"/>
  <c r="M53" i="11"/>
  <c r="P53" i="11" s="1"/>
  <c r="K60" i="11"/>
  <c r="N60" i="11" s="1"/>
  <c r="K63" i="11"/>
  <c r="N63" i="11" s="1"/>
  <c r="Q60" i="11"/>
  <c r="Q30" i="11"/>
  <c r="O52" i="11"/>
  <c r="K20" i="11"/>
  <c r="N20" i="11" s="1"/>
  <c r="J59" i="11"/>
  <c r="Q44" i="11"/>
  <c r="Q53" i="11"/>
  <c r="J19" i="11"/>
  <c r="M60" i="11"/>
  <c r="P60" i="11" s="1"/>
  <c r="J47" i="11"/>
  <c r="Q35" i="11"/>
  <c r="Q59" i="11"/>
  <c r="K61" i="11"/>
  <c r="N61" i="11" s="1"/>
  <c r="P47" i="11"/>
  <c r="L47" i="11"/>
  <c r="O47" i="11" s="1"/>
  <c r="Q63" i="11"/>
  <c r="O61" i="11"/>
  <c r="Q21" i="11"/>
  <c r="N35" i="11"/>
  <c r="J35" i="11"/>
  <c r="M54" i="11"/>
  <c r="P54" i="11" s="1"/>
  <c r="M36" i="11"/>
  <c r="P36" i="11" s="1"/>
  <c r="L23" i="11"/>
  <c r="O23" i="11" s="1"/>
  <c r="L24" i="11"/>
  <c r="O24" i="11" s="1"/>
  <c r="M44" i="11"/>
  <c r="P44" i="11" s="1"/>
  <c r="J23" i="11"/>
  <c r="M30" i="11"/>
  <c r="P30" i="11" s="1"/>
  <c r="J30" i="11"/>
  <c r="P23" i="11"/>
  <c r="K30" i="11"/>
  <c r="N30" i="11" s="1"/>
  <c r="O30" i="11"/>
  <c r="M33" i="11"/>
  <c r="P33" i="11" s="1"/>
  <c r="J62" i="11"/>
  <c r="Q29" i="11"/>
  <c r="J29" i="11"/>
  <c r="P58" i="11"/>
  <c r="Q52" i="11"/>
  <c r="Q19" i="11"/>
  <c r="K22" i="11"/>
  <c r="N22" i="11" s="1"/>
  <c r="J52" i="11"/>
  <c r="J21" i="11"/>
  <c r="Q32" i="11"/>
  <c r="K53" i="11"/>
  <c r="N53" i="11" s="1"/>
  <c r="P56" i="11"/>
  <c r="K39" i="11"/>
  <c r="N39" i="11" s="1"/>
  <c r="L56" i="11"/>
  <c r="O56" i="11" s="1"/>
  <c r="Q47" i="11"/>
  <c r="J38" i="11"/>
  <c r="J43" i="11"/>
  <c r="L21" i="11"/>
  <c r="O21" i="11" s="1"/>
  <c r="Q46" i="11"/>
  <c r="Q27" i="11"/>
  <c r="K59" i="11"/>
  <c r="N59" i="11" s="1"/>
  <c r="L28" i="11"/>
  <c r="O28" i="11" s="1"/>
  <c r="O45" i="11"/>
  <c r="J26" i="11"/>
  <c r="Q56" i="11"/>
  <c r="L34" i="11"/>
  <c r="O34" i="11" s="1"/>
  <c r="M32" i="11"/>
  <c r="P32" i="11" s="1"/>
  <c r="Q50" i="11"/>
  <c r="L50" i="11"/>
  <c r="O50" i="11" s="1"/>
  <c r="J33" i="11"/>
  <c r="L62" i="11"/>
  <c r="O62" i="11" s="1"/>
  <c r="K29" i="11"/>
  <c r="N29" i="11" s="1"/>
  <c r="K27" i="11"/>
  <c r="N27" i="11" s="1"/>
  <c r="J63" i="11"/>
  <c r="M63" i="11"/>
  <c r="P63" i="11" s="1"/>
  <c r="M43" i="11"/>
  <c r="P43" i="11" s="1"/>
  <c r="Q26" i="11"/>
  <c r="J54" i="11"/>
  <c r="J50" i="11"/>
  <c r="Q62" i="11"/>
  <c r="J61" i="11"/>
  <c r="L35" i="11"/>
  <c r="O35" i="11" s="1"/>
  <c r="Q61" i="11"/>
  <c r="N21" i="11"/>
  <c r="L22" i="11"/>
  <c r="O22" i="11" s="1"/>
  <c r="P61" i="11"/>
  <c r="Q58" i="11"/>
  <c r="Q31" i="11"/>
  <c r="Q33" i="11"/>
  <c r="J32" i="11"/>
  <c r="M27" i="11"/>
  <c r="P27" i="11" s="1"/>
  <c r="M51" i="11"/>
  <c r="P51" i="11" s="1"/>
  <c r="Q43" i="11"/>
  <c r="Q28" i="11"/>
  <c r="K57" i="11"/>
  <c r="N57" i="11" s="1"/>
  <c r="J56" i="11"/>
  <c r="K38" i="11"/>
  <c r="N38" i="11" s="1"/>
  <c r="L33" i="11"/>
  <c r="O33" i="11" s="1"/>
  <c r="N33" i="11"/>
  <c r="N34" i="11"/>
  <c r="L29" i="11"/>
  <c r="O29" i="11" s="1"/>
  <c r="J28" i="11"/>
  <c r="J34" i="11"/>
  <c r="N50" i="11"/>
  <c r="Q39" i="11"/>
  <c r="J58" i="11"/>
  <c r="L58" i="11"/>
  <c r="O58" i="11" s="1"/>
  <c r="K31" i="11"/>
  <c r="N31" i="11" s="1"/>
  <c r="O32" i="11"/>
  <c r="M34" i="11"/>
  <c r="P34" i="11" s="1"/>
  <c r="J46" i="11"/>
  <c r="O46" i="11"/>
  <c r="J27" i="11"/>
  <c r="L39" i="11"/>
  <c r="O39" i="11" s="1"/>
  <c r="M21" i="11"/>
  <c r="P21" i="11" s="1"/>
  <c r="M28" i="11"/>
  <c r="P28" i="11" s="1"/>
  <c r="M46" i="11"/>
  <c r="P46" i="11" s="1"/>
  <c r="P38" i="11"/>
  <c r="Q45" i="11"/>
  <c r="Q22" i="11"/>
  <c r="M39" i="11"/>
  <c r="P39" i="11" s="1"/>
  <c r="M22" i="11"/>
  <c r="P22" i="11" s="1"/>
  <c r="J39" i="11"/>
  <c r="L59" i="11"/>
  <c r="O59" i="11" s="1"/>
  <c r="L44" i="11"/>
  <c r="O44" i="11" s="1"/>
  <c r="Q54" i="11"/>
  <c r="K48" i="11"/>
  <c r="N48" i="11" s="1"/>
  <c r="M20" i="11"/>
  <c r="P20" i="11" s="1"/>
  <c r="N58" i="11"/>
  <c r="Q48" i="11"/>
  <c r="J22" i="11"/>
  <c r="J48" i="11"/>
  <c r="J31" i="11"/>
  <c r="Q20" i="11"/>
  <c r="Q38" i="11"/>
  <c r="O31" i="11"/>
  <c r="M52" i="11"/>
  <c r="P52" i="11" s="1"/>
  <c r="M35" i="11"/>
  <c r="P35" i="11" s="1"/>
  <c r="Q34" i="11"/>
  <c r="K32" i="11"/>
  <c r="N32" i="11" s="1"/>
  <c r="L54" i="11"/>
  <c r="O54" i="11" s="1"/>
  <c r="J45" i="11"/>
  <c r="K46" i="11"/>
  <c r="N46" i="11" s="1"/>
  <c r="L53" i="11"/>
  <c r="O53" i="11" s="1"/>
  <c r="Q37" i="11"/>
  <c r="J53" i="11"/>
  <c r="L38" i="11"/>
  <c r="O38" i="11" s="1"/>
  <c r="K47" i="11"/>
  <c r="N47" i="11" s="1"/>
  <c r="J37" i="11"/>
  <c r="N28" i="11"/>
  <c r="P37" i="11"/>
  <c r="J51" i="11"/>
  <c r="L51" i="11"/>
  <c r="O51" i="11" s="1"/>
  <c r="Q51" i="11"/>
  <c r="N51" i="11"/>
  <c r="O48" i="11"/>
  <c r="K14" i="11"/>
  <c r="K6" i="11"/>
  <c r="J54" i="7"/>
  <c r="I54" i="7"/>
  <c r="K54" i="7"/>
  <c r="J42" i="7"/>
  <c r="I42" i="7"/>
  <c r="J22" i="7"/>
  <c r="K22" i="7"/>
  <c r="I22" i="7"/>
  <c r="D60" i="7"/>
  <c r="E60" i="7"/>
  <c r="D52" i="7"/>
  <c r="E52" i="7"/>
  <c r="F52" i="7"/>
  <c r="D44" i="7"/>
  <c r="E44" i="7"/>
  <c r="E36" i="7"/>
  <c r="F36" i="7"/>
  <c r="E20" i="7"/>
  <c r="F20" i="7"/>
  <c r="I47" i="7"/>
  <c r="J46" i="7"/>
  <c r="E56" i="7"/>
  <c r="I58" i="7"/>
  <c r="K38" i="7"/>
  <c r="I38" i="7"/>
  <c r="E48" i="7"/>
  <c r="K59" i="7"/>
  <c r="K49" i="7"/>
  <c r="J49" i="7"/>
  <c r="I49" i="7"/>
  <c r="K41" i="7"/>
  <c r="J41" i="7"/>
  <c r="I41" i="7"/>
  <c r="K33" i="7"/>
  <c r="J33" i="7"/>
  <c r="I33" i="7"/>
  <c r="K25" i="7"/>
  <c r="I25" i="7"/>
  <c r="J25" i="7"/>
  <c r="K17" i="7"/>
  <c r="J17" i="7"/>
  <c r="I17" i="7"/>
  <c r="F59" i="7"/>
  <c r="E59" i="7"/>
  <c r="M59" i="7" s="1"/>
  <c r="F55" i="7"/>
  <c r="N55" i="7" s="1"/>
  <c r="E55" i="7"/>
  <c r="F51" i="7"/>
  <c r="N51" i="7" s="1"/>
  <c r="E51" i="7"/>
  <c r="F47" i="7"/>
  <c r="E47" i="7"/>
  <c r="M47" i="7" s="1"/>
  <c r="F43" i="7"/>
  <c r="E43" i="7"/>
  <c r="M43" i="7" s="1"/>
  <c r="D39" i="7"/>
  <c r="F39" i="7"/>
  <c r="E39" i="7"/>
  <c r="E35" i="7"/>
  <c r="M35" i="7" s="1"/>
  <c r="F35" i="7"/>
  <c r="E31" i="7"/>
  <c r="F31" i="7"/>
  <c r="D31" i="7"/>
  <c r="F27" i="7"/>
  <c r="N27" i="7" s="1"/>
  <c r="D27" i="7"/>
  <c r="E27" i="7"/>
  <c r="F23" i="7"/>
  <c r="E23" i="7"/>
  <c r="D23" i="7"/>
  <c r="E19" i="7"/>
  <c r="M19" i="7" s="1"/>
  <c r="F19" i="7"/>
  <c r="D19" i="7"/>
  <c r="E58" i="7"/>
  <c r="M58" i="7" s="1"/>
  <c r="F58" i="7"/>
  <c r="D58" i="7"/>
  <c r="F50" i="7"/>
  <c r="N50" i="7" s="1"/>
  <c r="E50" i="7"/>
  <c r="D50" i="7"/>
  <c r="E42" i="7"/>
  <c r="F42" i="7"/>
  <c r="D42" i="7"/>
  <c r="E34" i="7"/>
  <c r="F34" i="7"/>
  <c r="D34" i="7"/>
  <c r="E26" i="7"/>
  <c r="M26" i="7" s="1"/>
  <c r="D26" i="7"/>
  <c r="F26" i="7"/>
  <c r="F18" i="7"/>
  <c r="D18" i="7"/>
  <c r="E18" i="7"/>
  <c r="D47" i="7"/>
  <c r="J60" i="7"/>
  <c r="K60" i="7"/>
  <c r="I60" i="7"/>
  <c r="J56" i="7"/>
  <c r="I56" i="7"/>
  <c r="L56" i="7" s="1"/>
  <c r="K56" i="7"/>
  <c r="J52" i="7"/>
  <c r="I52" i="7"/>
  <c r="K52" i="7"/>
  <c r="J48" i="7"/>
  <c r="I48" i="7"/>
  <c r="K48" i="7"/>
  <c r="N48" i="7" s="1"/>
  <c r="J44" i="7"/>
  <c r="K44" i="7"/>
  <c r="I44" i="7"/>
  <c r="J40" i="7"/>
  <c r="M40" i="7" s="1"/>
  <c r="I40" i="7"/>
  <c r="K40" i="7"/>
  <c r="J36" i="7"/>
  <c r="I36" i="7"/>
  <c r="K36" i="7"/>
  <c r="J32" i="7"/>
  <c r="M32" i="7" s="1"/>
  <c r="K32" i="7"/>
  <c r="I32" i="7"/>
  <c r="J28" i="7"/>
  <c r="M28" i="7" s="1"/>
  <c r="K28" i="7"/>
  <c r="I28" i="7"/>
  <c r="J24" i="7"/>
  <c r="M24" i="7" s="1"/>
  <c r="I24" i="7"/>
  <c r="K24" i="7"/>
  <c r="J20" i="7"/>
  <c r="I20" i="7"/>
  <c r="K20" i="7"/>
  <c r="K57" i="7"/>
  <c r="J57" i="7"/>
  <c r="I57" i="7"/>
  <c r="K21" i="7"/>
  <c r="J21" i="7"/>
  <c r="I21" i="7"/>
  <c r="F61" i="7"/>
  <c r="N61" i="7" s="1"/>
  <c r="E61" i="7"/>
  <c r="D61" i="7"/>
  <c r="F57" i="7"/>
  <c r="E57" i="7"/>
  <c r="D57" i="7"/>
  <c r="F53" i="7"/>
  <c r="E53" i="7"/>
  <c r="D53" i="7"/>
  <c r="L53" i="7" s="1"/>
  <c r="F49" i="7"/>
  <c r="E49" i="7"/>
  <c r="D49" i="7"/>
  <c r="F45" i="7"/>
  <c r="N45" i="7" s="1"/>
  <c r="E45" i="7"/>
  <c r="D45" i="7"/>
  <c r="F41" i="7"/>
  <c r="E41" i="7"/>
  <c r="D41" i="7"/>
  <c r="F37" i="7"/>
  <c r="E37" i="7"/>
  <c r="D37" i="7"/>
  <c r="F33" i="7"/>
  <c r="D33" i="7"/>
  <c r="E33" i="7"/>
  <c r="F29" i="7"/>
  <c r="D29" i="7"/>
  <c r="E29" i="7"/>
  <c r="F25" i="7"/>
  <c r="E25" i="7"/>
  <c r="D25" i="7"/>
  <c r="F21" i="7"/>
  <c r="E21" i="7"/>
  <c r="D21" i="7"/>
  <c r="F17" i="7"/>
  <c r="D17" i="7"/>
  <c r="E17" i="7"/>
  <c r="F54" i="7"/>
  <c r="E54" i="7"/>
  <c r="D54" i="7"/>
  <c r="E46" i="7"/>
  <c r="F46" i="7"/>
  <c r="N46" i="7" s="1"/>
  <c r="D46" i="7"/>
  <c r="F38" i="7"/>
  <c r="E38" i="7"/>
  <c r="M38" i="7" s="1"/>
  <c r="D38" i="7"/>
  <c r="E30" i="7"/>
  <c r="M30" i="7" s="1"/>
  <c r="F30" i="7"/>
  <c r="D30" i="7"/>
  <c r="F22" i="7"/>
  <c r="E22" i="7"/>
  <c r="D22" i="7"/>
  <c r="D55" i="7"/>
  <c r="D35" i="7"/>
  <c r="K34" i="7"/>
  <c r="I34" i="7"/>
  <c r="F56" i="7"/>
  <c r="F40" i="7"/>
  <c r="F24" i="7"/>
  <c r="I39" i="7"/>
  <c r="K39" i="7"/>
  <c r="I35" i="7"/>
  <c r="K35" i="7"/>
  <c r="I31" i="7"/>
  <c r="J31" i="7"/>
  <c r="I27" i="7"/>
  <c r="J27" i="7"/>
  <c r="I23" i="7"/>
  <c r="K23" i="7"/>
  <c r="I19" i="7"/>
  <c r="K19" i="7"/>
  <c r="I51" i="7"/>
  <c r="L51" i="7" s="1"/>
  <c r="I46" i="7"/>
  <c r="J55" i="7"/>
  <c r="J45" i="7"/>
  <c r="J34" i="7"/>
  <c r="J23" i="7"/>
  <c r="K58" i="7"/>
  <c r="K47" i="7"/>
  <c r="K26" i="7"/>
  <c r="K29" i="7"/>
  <c r="I29" i="7"/>
  <c r="F60" i="7"/>
  <c r="F44" i="7"/>
  <c r="F28" i="7"/>
  <c r="K53" i="7"/>
  <c r="J53" i="7"/>
  <c r="K37" i="7"/>
  <c r="J37" i="7"/>
  <c r="I61" i="7"/>
  <c r="I55" i="7"/>
  <c r="I50" i="7"/>
  <c r="I45" i="7"/>
  <c r="J51" i="7"/>
  <c r="K43" i="7"/>
  <c r="K18" i="7"/>
  <c r="I18" i="7"/>
  <c r="D48" i="7"/>
  <c r="D40" i="7"/>
  <c r="D36" i="7"/>
  <c r="D32" i="7"/>
  <c r="D28" i="7"/>
  <c r="D24" i="7"/>
  <c r="D20" i="7"/>
  <c r="F32" i="7"/>
  <c r="K30" i="7"/>
  <c r="I30" i="7"/>
  <c r="I59" i="7"/>
  <c r="L59" i="7" s="1"/>
  <c r="I43" i="7"/>
  <c r="L43" i="7" s="1"/>
  <c r="I37" i="7"/>
  <c r="I26" i="7"/>
  <c r="J61" i="7"/>
  <c r="J50" i="7"/>
  <c r="J39" i="7"/>
  <c r="J29" i="7"/>
  <c r="J18" i="7"/>
  <c r="K42" i="7"/>
  <c r="K31" i="7"/>
  <c r="D8" i="11"/>
  <c r="E8" i="11"/>
  <c r="F8" i="11"/>
  <c r="D16" i="11"/>
  <c r="E16" i="11"/>
  <c r="F16" i="11"/>
  <c r="M16" i="11" s="1"/>
  <c r="F7" i="11"/>
  <c r="D7" i="11"/>
  <c r="E7" i="11"/>
  <c r="E12" i="11"/>
  <c r="D12" i="11"/>
  <c r="F12" i="11"/>
  <c r="F4" i="11"/>
  <c r="E4" i="11"/>
  <c r="D4" i="11"/>
  <c r="K5" i="11" s="1"/>
  <c r="D11" i="11"/>
  <c r="E11" i="11"/>
  <c r="F11" i="11"/>
  <c r="E18" i="11"/>
  <c r="F18" i="11"/>
  <c r="D18" i="11"/>
  <c r="E10" i="11"/>
  <c r="F10" i="11"/>
  <c r="D10" i="11"/>
  <c r="E17" i="11"/>
  <c r="F17" i="11"/>
  <c r="D17" i="11"/>
  <c r="F9" i="11"/>
  <c r="D9" i="11"/>
  <c r="E9" i="11"/>
  <c r="E15" i="11"/>
  <c r="F6" i="11"/>
  <c r="F14" i="11"/>
  <c r="M15" i="11" s="1"/>
  <c r="E14" i="11"/>
  <c r="E6" i="11"/>
  <c r="F13" i="11"/>
  <c r="F5" i="11"/>
  <c r="D15" i="11"/>
  <c r="E13" i="11"/>
  <c r="E5" i="11"/>
  <c r="B4" i="7"/>
  <c r="C4" i="7" s="1"/>
  <c r="E4" i="7" s="1"/>
  <c r="G10" i="7"/>
  <c r="H10" i="7" s="1"/>
  <c r="I10" i="7" s="1"/>
  <c r="G3" i="7"/>
  <c r="H3" i="7" s="1"/>
  <c r="K3" i="7" s="1"/>
  <c r="G2" i="7"/>
  <c r="H2" i="7" s="1"/>
  <c r="I2" i="7" s="1"/>
  <c r="G9" i="7"/>
  <c r="H9" i="7" s="1"/>
  <c r="K9" i="7" s="1"/>
  <c r="G16" i="7"/>
  <c r="H16" i="7" s="1"/>
  <c r="I16" i="7" s="1"/>
  <c r="G8" i="7"/>
  <c r="H8" i="7" s="1"/>
  <c r="I8" i="7" s="1"/>
  <c r="G14" i="7"/>
  <c r="H14" i="7" s="1"/>
  <c r="K14" i="7" s="1"/>
  <c r="G6" i="7"/>
  <c r="H6" i="7" s="1"/>
  <c r="K6" i="7" s="1"/>
  <c r="G13" i="7"/>
  <c r="H13" i="7" s="1"/>
  <c r="J13" i="7" s="1"/>
  <c r="G5" i="7"/>
  <c r="H5" i="7" s="1"/>
  <c r="I5" i="7" s="1"/>
  <c r="G7" i="7"/>
  <c r="H7" i="7" s="1"/>
  <c r="J7" i="7" s="1"/>
  <c r="G12" i="7"/>
  <c r="H12" i="7" s="1"/>
  <c r="K12" i="7" s="1"/>
  <c r="G4" i="7"/>
  <c r="H4" i="7" s="1"/>
  <c r="I4" i="7" s="1"/>
  <c r="G15" i="7"/>
  <c r="H15" i="7" s="1"/>
  <c r="I15" i="7" s="1"/>
  <c r="G11" i="7"/>
  <c r="H11" i="7" s="1"/>
  <c r="I11" i="7" s="1"/>
  <c r="B10" i="7"/>
  <c r="B3" i="7"/>
  <c r="B2" i="7"/>
  <c r="C2" i="7" s="1"/>
  <c r="B8" i="7"/>
  <c r="B15" i="7"/>
  <c r="B7" i="7"/>
  <c r="B11" i="7"/>
  <c r="B9" i="7"/>
  <c r="B16" i="7"/>
  <c r="B14" i="7"/>
  <c r="B6" i="7"/>
  <c r="B13" i="7"/>
  <c r="B5" i="7"/>
  <c r="B12" i="7"/>
  <c r="B6" i="2"/>
  <c r="C6" i="2" s="1"/>
  <c r="K3" i="4"/>
  <c r="L2" i="4"/>
  <c r="S6" i="4"/>
  <c r="M2" i="4"/>
  <c r="S5" i="4"/>
  <c r="S11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K4" i="4"/>
  <c r="K5" i="4"/>
  <c r="K6" i="4"/>
  <c r="K7" i="4"/>
  <c r="K8" i="4"/>
  <c r="K9" i="4"/>
  <c r="K10" i="4"/>
  <c r="K11" i="4"/>
  <c r="K12" i="4"/>
  <c r="K13" i="4"/>
  <c r="K14" i="4"/>
  <c r="K15" i="4"/>
  <c r="C20" i="1"/>
  <c r="D20" i="1"/>
  <c r="C21" i="1"/>
  <c r="D21" i="1"/>
  <c r="C22" i="1"/>
  <c r="D22" i="1"/>
  <c r="C23" i="1"/>
  <c r="D23" i="1"/>
  <c r="C24" i="1"/>
  <c r="D24" i="1"/>
  <c r="C25" i="1"/>
  <c r="D25" i="1"/>
  <c r="C26" i="1"/>
  <c r="D26" i="1"/>
  <c r="C27" i="1"/>
  <c r="D27" i="1"/>
  <c r="C28" i="1"/>
  <c r="D28" i="1"/>
  <c r="C29" i="1"/>
  <c r="D29" i="1"/>
  <c r="C30" i="1"/>
  <c r="D30" i="1"/>
  <c r="C31" i="1"/>
  <c r="D31" i="1"/>
  <c r="C32" i="1"/>
  <c r="D32" i="1"/>
  <c r="C33" i="1"/>
  <c r="D33" i="1"/>
  <c r="C19" i="1"/>
  <c r="D19" i="1"/>
  <c r="B19" i="1"/>
  <c r="B4" i="1"/>
  <c r="B21" i="1" s="1"/>
  <c r="B5" i="1"/>
  <c r="B22" i="1" s="1"/>
  <c r="B6" i="1"/>
  <c r="B23" i="1" s="1"/>
  <c r="B7" i="1"/>
  <c r="B24" i="1" s="1"/>
  <c r="B8" i="1"/>
  <c r="B25" i="1" s="1"/>
  <c r="B9" i="1"/>
  <c r="B26" i="1" s="1"/>
  <c r="B10" i="1"/>
  <c r="B27" i="1" s="1"/>
  <c r="B11" i="1"/>
  <c r="B28" i="1" s="1"/>
  <c r="B12" i="1"/>
  <c r="B29" i="1" s="1"/>
  <c r="B13" i="1"/>
  <c r="B30" i="1" s="1"/>
  <c r="B14" i="1"/>
  <c r="B31" i="1" s="1"/>
  <c r="B15" i="1"/>
  <c r="B32" i="1" s="1"/>
  <c r="B16" i="1"/>
  <c r="B33" i="1" s="1"/>
  <c r="B3" i="1"/>
  <c r="B20" i="1" s="1"/>
  <c r="AT3" i="14" l="1"/>
  <c r="AT5" i="16"/>
  <c r="AT4" i="16"/>
  <c r="AT1" i="16"/>
  <c r="AT2" i="16"/>
  <c r="AO1" i="15"/>
  <c r="AO2" i="15"/>
  <c r="AT4" i="14"/>
  <c r="AJ2" i="13"/>
  <c r="AJ1" i="13"/>
  <c r="M13" i="11"/>
  <c r="P13" i="11" s="1"/>
  <c r="M5" i="11"/>
  <c r="P5" i="11" s="1"/>
  <c r="M9" i="11"/>
  <c r="P9" i="11" s="1"/>
  <c r="L11" i="11"/>
  <c r="O11" i="11" s="1"/>
  <c r="L5" i="11"/>
  <c r="O5" i="11" s="1"/>
  <c r="N5" i="11"/>
  <c r="L16" i="11"/>
  <c r="O16" i="11" s="1"/>
  <c r="L6" i="11"/>
  <c r="O6" i="11" s="1"/>
  <c r="M8" i="11"/>
  <c r="P8" i="11" s="1"/>
  <c r="L14" i="11"/>
  <c r="O14" i="11" s="1"/>
  <c r="M17" i="11"/>
  <c r="P17" i="11" s="1"/>
  <c r="M11" i="11"/>
  <c r="P11" i="11" s="1"/>
  <c r="L12" i="11"/>
  <c r="O12" i="11" s="1"/>
  <c r="L8" i="11"/>
  <c r="O8" i="11" s="1"/>
  <c r="Q18" i="11"/>
  <c r="K18" i="11"/>
  <c r="N18" i="11" s="1"/>
  <c r="K19" i="11"/>
  <c r="N19" i="11" s="1"/>
  <c r="M18" i="11"/>
  <c r="P18" i="11" s="1"/>
  <c r="M19" i="11"/>
  <c r="P19" i="11" s="1"/>
  <c r="Q16" i="11"/>
  <c r="K16" i="11"/>
  <c r="N16" i="11" s="1"/>
  <c r="K17" i="11"/>
  <c r="N17" i="11" s="1"/>
  <c r="Q17" i="11"/>
  <c r="L18" i="11"/>
  <c r="O18" i="11" s="1"/>
  <c r="L19" i="11"/>
  <c r="O19" i="11" s="1"/>
  <c r="Q12" i="11"/>
  <c r="K12" i="11"/>
  <c r="N12" i="11" s="1"/>
  <c r="N6" i="11"/>
  <c r="P15" i="11"/>
  <c r="M14" i="11"/>
  <c r="P14" i="11" s="1"/>
  <c r="L17" i="11"/>
  <c r="O17" i="11" s="1"/>
  <c r="L7" i="11"/>
  <c r="O7" i="11" s="1"/>
  <c r="Q8" i="11"/>
  <c r="K8" i="11"/>
  <c r="N8" i="11" s="1"/>
  <c r="Q5" i="11"/>
  <c r="M6" i="11"/>
  <c r="P6" i="11" s="1"/>
  <c r="Q10" i="11"/>
  <c r="K10" i="11"/>
  <c r="N10" i="11" s="1"/>
  <c r="K11" i="11"/>
  <c r="N11" i="11" s="1"/>
  <c r="Q11" i="11"/>
  <c r="K7" i="11"/>
  <c r="N7" i="11" s="1"/>
  <c r="Q7" i="11"/>
  <c r="L15" i="11"/>
  <c r="O15" i="11" s="1"/>
  <c r="M10" i="11"/>
  <c r="P10" i="11" s="1"/>
  <c r="Q4" i="11"/>
  <c r="M7" i="11"/>
  <c r="P7" i="11" s="1"/>
  <c r="K13" i="11"/>
  <c r="N13" i="11" s="1"/>
  <c r="L13" i="11"/>
  <c r="O13" i="11" s="1"/>
  <c r="K15" i="11"/>
  <c r="N15" i="11" s="1"/>
  <c r="Q15" i="11"/>
  <c r="L9" i="11"/>
  <c r="O9" i="11" s="1"/>
  <c r="L10" i="11"/>
  <c r="O10" i="11" s="1"/>
  <c r="P16" i="11"/>
  <c r="Q13" i="11"/>
  <c r="K9" i="11"/>
  <c r="N9" i="11" s="1"/>
  <c r="Q9" i="11"/>
  <c r="Q14" i="11"/>
  <c r="M12" i="11"/>
  <c r="P12" i="11" s="1"/>
  <c r="Q6" i="11"/>
  <c r="N14" i="11"/>
  <c r="U51" i="7"/>
  <c r="U46" i="7"/>
  <c r="T59" i="7"/>
  <c r="W59" i="7" s="1"/>
  <c r="N36" i="7"/>
  <c r="L38" i="7"/>
  <c r="L47" i="7"/>
  <c r="L25" i="7"/>
  <c r="M42" i="7"/>
  <c r="M48" i="7"/>
  <c r="M54" i="7"/>
  <c r="N52" i="7"/>
  <c r="U52" i="7" s="1"/>
  <c r="M22" i="7"/>
  <c r="N59" i="7"/>
  <c r="L41" i="7"/>
  <c r="L42" i="7"/>
  <c r="N33" i="7"/>
  <c r="L44" i="7"/>
  <c r="S44" i="7" s="1"/>
  <c r="M56" i="7"/>
  <c r="L60" i="7"/>
  <c r="S60" i="7" s="1"/>
  <c r="N40" i="7"/>
  <c r="N32" i="7"/>
  <c r="N22" i="7"/>
  <c r="N54" i="7"/>
  <c r="M46" i="7"/>
  <c r="T47" i="7" s="1"/>
  <c r="N41" i="7"/>
  <c r="M33" i="7"/>
  <c r="M25" i="7"/>
  <c r="L28" i="7"/>
  <c r="L48" i="7"/>
  <c r="N44" i="7"/>
  <c r="L49" i="7"/>
  <c r="N60" i="7"/>
  <c r="U61" i="7" s="1"/>
  <c r="N24" i="7"/>
  <c r="L54" i="7"/>
  <c r="S54" i="7" s="1"/>
  <c r="L17" i="7"/>
  <c r="N21" i="7"/>
  <c r="N28" i="7"/>
  <c r="U28" i="7" s="1"/>
  <c r="X28" i="7" s="1"/>
  <c r="N56" i="7"/>
  <c r="U56" i="7" s="1"/>
  <c r="L32" i="7"/>
  <c r="L58" i="7"/>
  <c r="S59" i="7" s="1"/>
  <c r="V59" i="7" s="1"/>
  <c r="L20" i="7"/>
  <c r="L36" i="7"/>
  <c r="L22" i="7"/>
  <c r="N38" i="7"/>
  <c r="L33" i="7"/>
  <c r="N17" i="7"/>
  <c r="N49" i="7"/>
  <c r="U49" i="7" s="1"/>
  <c r="M20" i="7"/>
  <c r="L21" i="7"/>
  <c r="M41" i="7"/>
  <c r="M57" i="7"/>
  <c r="M36" i="7"/>
  <c r="M52" i="7"/>
  <c r="N20" i="7"/>
  <c r="M44" i="7"/>
  <c r="M60" i="7"/>
  <c r="L52" i="7"/>
  <c r="S52" i="7" s="1"/>
  <c r="L46" i="7"/>
  <c r="L29" i="7"/>
  <c r="M45" i="7"/>
  <c r="L57" i="7"/>
  <c r="S57" i="7" s="1"/>
  <c r="L30" i="7"/>
  <c r="N42" i="7"/>
  <c r="L19" i="7"/>
  <c r="M23" i="7"/>
  <c r="N35" i="7"/>
  <c r="N47" i="7"/>
  <c r="U47" i="7" s="1"/>
  <c r="X47" i="7" s="1"/>
  <c r="M61" i="7"/>
  <c r="N18" i="7"/>
  <c r="L24" i="7"/>
  <c r="L40" i="7"/>
  <c r="L35" i="7"/>
  <c r="N29" i="7"/>
  <c r="L37" i="7"/>
  <c r="N26" i="7"/>
  <c r="U27" i="7" s="1"/>
  <c r="N34" i="7"/>
  <c r="N19" i="7"/>
  <c r="N23" i="7"/>
  <c r="L31" i="7"/>
  <c r="M51" i="7"/>
  <c r="L34" i="7"/>
  <c r="L39" i="7"/>
  <c r="L55" i="7"/>
  <c r="M17" i="7"/>
  <c r="M21" i="7"/>
  <c r="N25" i="7"/>
  <c r="M37" i="7"/>
  <c r="M53" i="7"/>
  <c r="N57" i="7"/>
  <c r="M18" i="7"/>
  <c r="L26" i="7"/>
  <c r="M34" i="7"/>
  <c r="T35" i="7" s="1"/>
  <c r="L50" i="7"/>
  <c r="S51" i="7" s="1"/>
  <c r="N58" i="7"/>
  <c r="M27" i="7"/>
  <c r="N31" i="7"/>
  <c r="M39" i="7"/>
  <c r="T40" i="7" s="1"/>
  <c r="N43" i="7"/>
  <c r="N30" i="7"/>
  <c r="M29" i="7"/>
  <c r="T30" i="7" s="1"/>
  <c r="N37" i="7"/>
  <c r="L45" i="7"/>
  <c r="M49" i="7"/>
  <c r="N53" i="7"/>
  <c r="L61" i="7"/>
  <c r="L18" i="7"/>
  <c r="M50" i="7"/>
  <c r="L23" i="7"/>
  <c r="L27" i="7"/>
  <c r="M31" i="7"/>
  <c r="N39" i="7"/>
  <c r="M55" i="7"/>
  <c r="J5" i="11"/>
  <c r="J10" i="11"/>
  <c r="J11" i="11"/>
  <c r="J7" i="11"/>
  <c r="J13" i="11"/>
  <c r="J4" i="11"/>
  <c r="J6" i="11"/>
  <c r="J16" i="11"/>
  <c r="J12" i="11"/>
  <c r="J14" i="11"/>
  <c r="J8" i="11"/>
  <c r="J9" i="11"/>
  <c r="J17" i="11"/>
  <c r="J18" i="11"/>
  <c r="J15" i="11"/>
  <c r="K10" i="7"/>
  <c r="J10" i="7"/>
  <c r="I3" i="7"/>
  <c r="J3" i="7"/>
  <c r="F4" i="7"/>
  <c r="D4" i="7"/>
  <c r="L4" i="7" s="1"/>
  <c r="C9" i="7"/>
  <c r="F9" i="7" s="1"/>
  <c r="N9" i="7" s="1"/>
  <c r="C11" i="7"/>
  <c r="E11" i="7" s="1"/>
  <c r="C12" i="7"/>
  <c r="D12" i="7" s="1"/>
  <c r="C7" i="7"/>
  <c r="F7" i="7" s="1"/>
  <c r="C5" i="7"/>
  <c r="F5" i="7" s="1"/>
  <c r="C15" i="7"/>
  <c r="F15" i="7" s="1"/>
  <c r="C10" i="7"/>
  <c r="E10" i="7" s="1"/>
  <c r="C13" i="7"/>
  <c r="F13" i="7" s="1"/>
  <c r="C8" i="7"/>
  <c r="E8" i="7" s="1"/>
  <c r="F2" i="7"/>
  <c r="C16" i="7"/>
  <c r="E16" i="7" s="1"/>
  <c r="C6" i="7"/>
  <c r="D6" i="7" s="1"/>
  <c r="C14" i="7"/>
  <c r="E14" i="7" s="1"/>
  <c r="C3" i="7"/>
  <c r="D3" i="7" s="1"/>
  <c r="J16" i="7"/>
  <c r="K4" i="7"/>
  <c r="K15" i="7"/>
  <c r="J4" i="7"/>
  <c r="M4" i="7" s="1"/>
  <c r="I9" i="7"/>
  <c r="I12" i="7"/>
  <c r="K8" i="7"/>
  <c r="J9" i="7"/>
  <c r="J12" i="7"/>
  <c r="J8" i="7"/>
  <c r="J15" i="7"/>
  <c r="I13" i="7"/>
  <c r="K13" i="7"/>
  <c r="K11" i="7"/>
  <c r="J14" i="7"/>
  <c r="I14" i="7"/>
  <c r="I7" i="7"/>
  <c r="K7" i="7"/>
  <c r="K2" i="7"/>
  <c r="J2" i="7"/>
  <c r="J6" i="7"/>
  <c r="J11" i="7"/>
  <c r="J5" i="7"/>
  <c r="I6" i="7"/>
  <c r="K16" i="7"/>
  <c r="K5" i="7"/>
  <c r="B12" i="2"/>
  <c r="C12" i="2" s="1"/>
  <c r="B4" i="2"/>
  <c r="C4" i="2" s="1"/>
  <c r="B11" i="2"/>
  <c r="C11" i="2" s="1"/>
  <c r="B10" i="2"/>
  <c r="C10" i="2" s="1"/>
  <c r="B13" i="2"/>
  <c r="C13" i="2" s="1"/>
  <c r="B2" i="2"/>
  <c r="C2" i="2" s="1"/>
  <c r="B9" i="2"/>
  <c r="C9" i="2" s="1"/>
  <c r="B5" i="2"/>
  <c r="C5" i="2" s="1"/>
  <c r="B3" i="2"/>
  <c r="C3" i="2" s="1"/>
  <c r="B16" i="2"/>
  <c r="C16" i="2" s="1"/>
  <c r="B8" i="2"/>
  <c r="C8" i="2" s="1"/>
  <c r="B15" i="2"/>
  <c r="C15" i="2" s="1"/>
  <c r="B7" i="2"/>
  <c r="C7" i="2" s="1"/>
  <c r="B14" i="2"/>
  <c r="C14" i="2" s="1"/>
  <c r="S10" i="4"/>
  <c r="S3" i="4"/>
  <c r="S14" i="4"/>
  <c r="S9" i="4"/>
  <c r="S13" i="4"/>
  <c r="S4" i="4"/>
  <c r="S8" i="4"/>
  <c r="S15" i="4"/>
  <c r="S7" i="4"/>
  <c r="S12" i="4"/>
  <c r="B11" i="4"/>
  <c r="C11" i="4" s="1"/>
  <c r="B6" i="4"/>
  <c r="C6" i="4" s="1"/>
  <c r="B14" i="4"/>
  <c r="C14" i="4" s="1"/>
  <c r="B7" i="4"/>
  <c r="C7" i="4" s="1"/>
  <c r="B15" i="4"/>
  <c r="C15" i="4" s="1"/>
  <c r="B4" i="4"/>
  <c r="C4" i="4" s="1"/>
  <c r="B10" i="4"/>
  <c r="C10" i="4" s="1"/>
  <c r="B12" i="4"/>
  <c r="C12" i="4" s="1"/>
  <c r="B5" i="4"/>
  <c r="C5" i="4" s="1"/>
  <c r="B13" i="4"/>
  <c r="C13" i="4" s="1"/>
  <c r="B8" i="4"/>
  <c r="C8" i="4" s="1"/>
  <c r="B9" i="4"/>
  <c r="C9" i="4" s="1"/>
  <c r="B2" i="4"/>
  <c r="C2" i="4" s="1"/>
  <c r="B3" i="4"/>
  <c r="C3" i="4" s="1"/>
  <c r="AO3" i="15" l="1"/>
  <c r="AT5" i="14"/>
  <c r="AJ3" i="13"/>
  <c r="S37" i="7"/>
  <c r="V37" i="7" s="1"/>
  <c r="W4" i="11"/>
  <c r="W3" i="11"/>
  <c r="U23" i="7"/>
  <c r="X23" i="7" s="1"/>
  <c r="U19" i="7"/>
  <c r="X19" i="7" s="1"/>
  <c r="U39" i="7"/>
  <c r="X39" i="7" s="1"/>
  <c r="U37" i="7"/>
  <c r="X37" i="7" s="1"/>
  <c r="S55" i="7"/>
  <c r="V55" i="7" s="1"/>
  <c r="S21" i="7"/>
  <c r="V21" i="7" s="1"/>
  <c r="U34" i="7"/>
  <c r="X34" i="7" s="1"/>
  <c r="U42" i="7"/>
  <c r="X42" i="7" s="1"/>
  <c r="S45" i="7"/>
  <c r="V45" i="7" s="1"/>
  <c r="U25" i="7"/>
  <c r="X25" i="7" s="1"/>
  <c r="S40" i="7"/>
  <c r="V40" i="7" s="1"/>
  <c r="U58" i="7"/>
  <c r="X58" i="7" s="1"/>
  <c r="S30" i="7"/>
  <c r="V30" i="7" s="1"/>
  <c r="S31" i="7"/>
  <c r="V31" i="7" s="1"/>
  <c r="S49" i="7"/>
  <c r="V49" i="7" s="1"/>
  <c r="U54" i="7"/>
  <c r="X54" i="7" s="1"/>
  <c r="S42" i="7"/>
  <c r="V42" i="7" s="1"/>
  <c r="U30" i="7"/>
  <c r="X30" i="7" s="1"/>
  <c r="S26" i="7"/>
  <c r="V26" i="7" s="1"/>
  <c r="S36" i="7"/>
  <c r="V36" i="7" s="1"/>
  <c r="S24" i="7"/>
  <c r="V24" i="7" s="1"/>
  <c r="U20" i="7"/>
  <c r="X20" i="7" s="1"/>
  <c r="U44" i="7"/>
  <c r="X44" i="7" s="1"/>
  <c r="U22" i="7"/>
  <c r="X22" i="7" s="1"/>
  <c r="U32" i="7"/>
  <c r="X32" i="7" s="1"/>
  <c r="U45" i="7"/>
  <c r="X45" i="7" s="1"/>
  <c r="S29" i="7"/>
  <c r="V29" i="7" s="1"/>
  <c r="S22" i="7"/>
  <c r="V22" i="7" s="1"/>
  <c r="S39" i="7"/>
  <c r="V39" i="7" s="1"/>
  <c r="U35" i="7"/>
  <c r="X35" i="7" s="1"/>
  <c r="U41" i="7"/>
  <c r="X41" i="7" s="1"/>
  <c r="S53" i="7"/>
  <c r="V53" i="7" s="1"/>
  <c r="U50" i="7"/>
  <c r="X50" i="7" s="1"/>
  <c r="T31" i="7"/>
  <c r="W31" i="7" s="1"/>
  <c r="T25" i="7"/>
  <c r="W25" i="7" s="1"/>
  <c r="T18" i="7"/>
  <c r="W18" i="7" s="1"/>
  <c r="S46" i="7"/>
  <c r="V46" i="7" s="1"/>
  <c r="T33" i="7"/>
  <c r="W33" i="7" s="1"/>
  <c r="T54" i="7"/>
  <c r="W54" i="7" s="1"/>
  <c r="S61" i="7"/>
  <c r="V61" i="7" s="1"/>
  <c r="T39" i="7"/>
  <c r="W39" i="7" s="1"/>
  <c r="U57" i="7"/>
  <c r="X57" i="7" s="1"/>
  <c r="S34" i="7"/>
  <c r="V34" i="7" s="1"/>
  <c r="U29" i="7"/>
  <c r="X29" i="7" s="1"/>
  <c r="T23" i="7"/>
  <c r="W23" i="7" s="1"/>
  <c r="S20" i="7"/>
  <c r="V20" i="7" s="1"/>
  <c r="U24" i="7"/>
  <c r="X24" i="7" s="1"/>
  <c r="T48" i="7"/>
  <c r="W48" i="7" s="1"/>
  <c r="S38" i="7"/>
  <c r="V38" i="7" s="1"/>
  <c r="T26" i="7"/>
  <c r="W26" i="7" s="1"/>
  <c r="T24" i="7"/>
  <c r="W24" i="7" s="1"/>
  <c r="T37" i="7"/>
  <c r="W37" i="7" s="1"/>
  <c r="S32" i="7"/>
  <c r="V32" i="7" s="1"/>
  <c r="T50" i="7"/>
  <c r="W50" i="7" s="1"/>
  <c r="U26" i="7"/>
  <c r="X26" i="7" s="1"/>
  <c r="T57" i="7"/>
  <c r="W57" i="7" s="1"/>
  <c r="W47" i="7"/>
  <c r="S47" i="7"/>
  <c r="V47" i="7" s="1"/>
  <c r="T32" i="7"/>
  <c r="W32" i="7" s="1"/>
  <c r="S18" i="7"/>
  <c r="V18" i="7" s="1"/>
  <c r="Y43" i="7"/>
  <c r="U43" i="7"/>
  <c r="X43" i="7" s="1"/>
  <c r="T41" i="7"/>
  <c r="W41" i="7" s="1"/>
  <c r="X56" i="7"/>
  <c r="T56" i="7"/>
  <c r="W56" i="7" s="1"/>
  <c r="T38" i="7"/>
  <c r="W38" i="7" s="1"/>
  <c r="U48" i="7"/>
  <c r="X48" i="7" s="1"/>
  <c r="T55" i="7"/>
  <c r="W55" i="7" s="1"/>
  <c r="U53" i="7"/>
  <c r="X53" i="7" s="1"/>
  <c r="U31" i="7"/>
  <c r="X31" i="7" s="1"/>
  <c r="T53" i="7"/>
  <c r="W53" i="7" s="1"/>
  <c r="T51" i="7"/>
  <c r="W51" i="7" s="1"/>
  <c r="S35" i="7"/>
  <c r="V35" i="7" s="1"/>
  <c r="S19" i="7"/>
  <c r="V19" i="7" s="1"/>
  <c r="T60" i="7"/>
  <c r="W60" i="7" s="1"/>
  <c r="T20" i="7"/>
  <c r="W20" i="7" s="1"/>
  <c r="S58" i="7"/>
  <c r="V58" i="7" s="1"/>
  <c r="U60" i="7"/>
  <c r="X60" i="7" s="1"/>
  <c r="X46" i="7"/>
  <c r="T46" i="7"/>
  <c r="W46" i="7" s="1"/>
  <c r="U33" i="7"/>
  <c r="X33" i="7" s="1"/>
  <c r="T42" i="7"/>
  <c r="W42" i="7" s="1"/>
  <c r="U36" i="7"/>
  <c r="X36" i="7" s="1"/>
  <c r="S43" i="7"/>
  <c r="V43" i="7" s="1"/>
  <c r="X49" i="7"/>
  <c r="T49" i="7"/>
  <c r="W49" i="7" s="1"/>
  <c r="X27" i="7"/>
  <c r="T27" i="7"/>
  <c r="W27" i="7" s="1"/>
  <c r="T44" i="7"/>
  <c r="W44" i="7" s="1"/>
  <c r="U55" i="7"/>
  <c r="X55" i="7" s="1"/>
  <c r="S41" i="7"/>
  <c r="V41" i="7" s="1"/>
  <c r="T28" i="7"/>
  <c r="W28" i="7" s="1"/>
  <c r="S27" i="7"/>
  <c r="V27" i="7" s="1"/>
  <c r="S50" i="7"/>
  <c r="V50" i="7" s="1"/>
  <c r="T21" i="7"/>
  <c r="W21" i="7" s="1"/>
  <c r="U18" i="7"/>
  <c r="X18" i="7" s="1"/>
  <c r="X52" i="7"/>
  <c r="T52" i="7"/>
  <c r="W52" i="7" s="1"/>
  <c r="S33" i="7"/>
  <c r="V33" i="7" s="1"/>
  <c r="S48" i="7"/>
  <c r="V48" i="7" s="1"/>
  <c r="Y59" i="7"/>
  <c r="U59" i="7"/>
  <c r="X59" i="7" s="1"/>
  <c r="T58" i="7"/>
  <c r="W58" i="7" s="1"/>
  <c r="S23" i="7"/>
  <c r="V23" i="7" s="1"/>
  <c r="T29" i="7"/>
  <c r="W29" i="7" s="1"/>
  <c r="T34" i="7"/>
  <c r="W34" i="7" s="1"/>
  <c r="X61" i="7"/>
  <c r="T61" i="7"/>
  <c r="W61" i="7" s="1"/>
  <c r="T45" i="7"/>
  <c r="W45" i="7" s="1"/>
  <c r="T36" i="7"/>
  <c r="W36" i="7" s="1"/>
  <c r="U38" i="7"/>
  <c r="X38" i="7" s="1"/>
  <c r="U21" i="7"/>
  <c r="X21" i="7" s="1"/>
  <c r="S28" i="7"/>
  <c r="V28" i="7" s="1"/>
  <c r="U40" i="7"/>
  <c r="X40" i="7" s="1"/>
  <c r="T22" i="7"/>
  <c r="W22" i="7" s="1"/>
  <c r="S25" i="7"/>
  <c r="V25" i="7" s="1"/>
  <c r="S56" i="7"/>
  <c r="V56" i="7" s="1"/>
  <c r="T19" i="7"/>
  <c r="W19" i="7" s="1"/>
  <c r="T43" i="7"/>
  <c r="W43" i="7" s="1"/>
  <c r="R38" i="7"/>
  <c r="R47" i="7"/>
  <c r="Y51" i="7"/>
  <c r="X51" i="7"/>
  <c r="W35" i="7"/>
  <c r="V60" i="7"/>
  <c r="W40" i="7"/>
  <c r="W30" i="7"/>
  <c r="V54" i="7"/>
  <c r="V57" i="7"/>
  <c r="V52" i="7"/>
  <c r="V44" i="7"/>
  <c r="V51" i="7"/>
  <c r="Y48" i="7"/>
  <c r="Y56" i="7"/>
  <c r="R59" i="7"/>
  <c r="R48" i="7"/>
  <c r="Y52" i="7"/>
  <c r="R42" i="7"/>
  <c r="Y60" i="7"/>
  <c r="R60" i="7"/>
  <c r="Y58" i="7"/>
  <c r="Y28" i="7"/>
  <c r="R46" i="7"/>
  <c r="Y41" i="7"/>
  <c r="R56" i="7"/>
  <c r="Y32" i="7"/>
  <c r="R22" i="7"/>
  <c r="Y25" i="7"/>
  <c r="Y54" i="7"/>
  <c r="R33" i="7"/>
  <c r="R28" i="7"/>
  <c r="Y33" i="7"/>
  <c r="R21" i="7"/>
  <c r="R54" i="7"/>
  <c r="Y22" i="7"/>
  <c r="R32" i="7"/>
  <c r="Y46" i="7"/>
  <c r="Y42" i="7"/>
  <c r="R49" i="7"/>
  <c r="Y44" i="7"/>
  <c r="Y30" i="7"/>
  <c r="R41" i="7"/>
  <c r="Y17" i="7"/>
  <c r="Y36" i="7"/>
  <c r="Y38" i="7"/>
  <c r="R36" i="7"/>
  <c r="Y20" i="7"/>
  <c r="R20" i="7"/>
  <c r="R44" i="7"/>
  <c r="R53" i="7"/>
  <c r="Y47" i="7"/>
  <c r="Y29" i="7"/>
  <c r="R52" i="7"/>
  <c r="Y57" i="7"/>
  <c r="Y19" i="7"/>
  <c r="R19" i="7"/>
  <c r="R58" i="7"/>
  <c r="R17" i="7"/>
  <c r="R51" i="7"/>
  <c r="R25" i="7"/>
  <c r="Y53" i="7"/>
  <c r="R29" i="7"/>
  <c r="R26" i="7"/>
  <c r="Y26" i="7"/>
  <c r="Y31" i="7"/>
  <c r="R31" i="7"/>
  <c r="R30" i="7"/>
  <c r="Y21" i="7"/>
  <c r="Y35" i="7"/>
  <c r="R35" i="7"/>
  <c r="R57" i="7"/>
  <c r="Y27" i="7"/>
  <c r="R27" i="7"/>
  <c r="R50" i="7"/>
  <c r="Y50" i="7"/>
  <c r="Y49" i="7"/>
  <c r="Y55" i="7"/>
  <c r="R55" i="7"/>
  <c r="R34" i="7"/>
  <c r="Y34" i="7"/>
  <c r="Y40" i="7"/>
  <c r="R40" i="7"/>
  <c r="R43" i="7"/>
  <c r="R61" i="7"/>
  <c r="Y61" i="7"/>
  <c r="Y23" i="7"/>
  <c r="R23" i="7"/>
  <c r="R18" i="7"/>
  <c r="Y18" i="7"/>
  <c r="R45" i="7"/>
  <c r="Y45" i="7"/>
  <c r="Y39" i="7"/>
  <c r="R39" i="7"/>
  <c r="R37" i="7"/>
  <c r="Y37" i="7"/>
  <c r="Y24" i="7"/>
  <c r="R24" i="7"/>
  <c r="M10" i="7"/>
  <c r="L3" i="7"/>
  <c r="E9" i="7"/>
  <c r="M9" i="7" s="1"/>
  <c r="D9" i="7"/>
  <c r="L9" i="7" s="1"/>
  <c r="F8" i="7"/>
  <c r="N8" i="7" s="1"/>
  <c r="U9" i="7" s="1"/>
  <c r="F11" i="7"/>
  <c r="N11" i="7" s="1"/>
  <c r="D11" i="7"/>
  <c r="L11" i="7" s="1"/>
  <c r="E15" i="7"/>
  <c r="M15" i="7" s="1"/>
  <c r="F12" i="7"/>
  <c r="N12" i="7" s="1"/>
  <c r="N4" i="7"/>
  <c r="E2" i="7"/>
  <c r="M2" i="7" s="1"/>
  <c r="D5" i="7"/>
  <c r="L5" i="7" s="1"/>
  <c r="S5" i="7" s="1"/>
  <c r="D15" i="7"/>
  <c r="L15" i="7" s="1"/>
  <c r="F3" i="7"/>
  <c r="N3" i="7" s="1"/>
  <c r="E5" i="7"/>
  <c r="M5" i="7" s="1"/>
  <c r="E3" i="7"/>
  <c r="M3" i="7" s="1"/>
  <c r="T4" i="7" s="1"/>
  <c r="W4" i="7" s="1"/>
  <c r="D13" i="7"/>
  <c r="L13" i="7" s="1"/>
  <c r="F10" i="7"/>
  <c r="N10" i="7" s="1"/>
  <c r="U10" i="7" s="1"/>
  <c r="D16" i="7"/>
  <c r="L16" i="7" s="1"/>
  <c r="M14" i="7"/>
  <c r="E13" i="7"/>
  <c r="M13" i="7" s="1"/>
  <c r="N15" i="7"/>
  <c r="E6" i="7"/>
  <c r="M6" i="7" s="1"/>
  <c r="E7" i="7"/>
  <c r="M7" i="7" s="1"/>
  <c r="M11" i="7"/>
  <c r="M8" i="7"/>
  <c r="F6" i="7"/>
  <c r="N6" i="7" s="1"/>
  <c r="F16" i="7"/>
  <c r="N16" i="7" s="1"/>
  <c r="M16" i="7"/>
  <c r="T17" i="7" s="1"/>
  <c r="W17" i="7" s="1"/>
  <c r="D10" i="7"/>
  <c r="L10" i="7" s="1"/>
  <c r="E12" i="7"/>
  <c r="M12" i="7" s="1"/>
  <c r="D14" i="7"/>
  <c r="L14" i="7" s="1"/>
  <c r="F14" i="7"/>
  <c r="N14" i="7" s="1"/>
  <c r="D7" i="7"/>
  <c r="L7" i="7" s="1"/>
  <c r="N13" i="7"/>
  <c r="D2" i="7"/>
  <c r="L2" i="7" s="1"/>
  <c r="N5" i="7"/>
  <c r="D8" i="7"/>
  <c r="L8" i="7" s="1"/>
  <c r="L12" i="7"/>
  <c r="L6" i="7"/>
  <c r="N7" i="7"/>
  <c r="N2" i="7"/>
  <c r="D5" i="2"/>
  <c r="E5" i="2"/>
  <c r="F5" i="2"/>
  <c r="D7" i="2"/>
  <c r="E7" i="2"/>
  <c r="F7" i="2"/>
  <c r="F3" i="2"/>
  <c r="D3" i="2"/>
  <c r="E3" i="2"/>
  <c r="E12" i="2"/>
  <c r="D12" i="2"/>
  <c r="F12" i="2"/>
  <c r="F11" i="2"/>
  <c r="D11" i="2"/>
  <c r="E11" i="2"/>
  <c r="D8" i="2"/>
  <c r="E8" i="2"/>
  <c r="F8" i="2"/>
  <c r="D13" i="2"/>
  <c r="E13" i="2"/>
  <c r="F13" i="2"/>
  <c r="F16" i="2"/>
  <c r="D16" i="2"/>
  <c r="E16" i="2"/>
  <c r="E9" i="2"/>
  <c r="D9" i="2"/>
  <c r="F9" i="2"/>
  <c r="E4" i="2"/>
  <c r="F4" i="2"/>
  <c r="D4" i="2"/>
  <c r="D6" i="2"/>
  <c r="E6" i="2"/>
  <c r="F6" i="2"/>
  <c r="D14" i="2"/>
  <c r="E14" i="2"/>
  <c r="F14" i="2"/>
  <c r="E2" i="2"/>
  <c r="D2" i="2"/>
  <c r="F2" i="2"/>
  <c r="D15" i="2"/>
  <c r="E15" i="2"/>
  <c r="F15" i="2"/>
  <c r="D10" i="2"/>
  <c r="E10" i="2"/>
  <c r="F10" i="2"/>
  <c r="E2" i="4"/>
  <c r="S2" i="4" s="1"/>
  <c r="F10" i="4"/>
  <c r="F11" i="4"/>
  <c r="F4" i="4"/>
  <c r="D9" i="4"/>
  <c r="F13" i="4"/>
  <c r="E15" i="4"/>
  <c r="D5" i="4"/>
  <c r="F7" i="4"/>
  <c r="D6" i="4"/>
  <c r="E3" i="4"/>
  <c r="F8" i="4"/>
  <c r="E12" i="4"/>
  <c r="E14" i="4"/>
  <c r="W5" i="11" l="1"/>
  <c r="S12" i="7"/>
  <c r="V12" i="7" s="1"/>
  <c r="U16" i="7"/>
  <c r="X16" i="7" s="1"/>
  <c r="U17" i="7"/>
  <c r="X17" i="7" s="1"/>
  <c r="U12" i="7"/>
  <c r="X12" i="7" s="1"/>
  <c r="S3" i="7"/>
  <c r="S6" i="7"/>
  <c r="V6" i="7" s="1"/>
  <c r="S7" i="7"/>
  <c r="V7" i="7" s="1"/>
  <c r="S9" i="7"/>
  <c r="V9" i="7" s="1"/>
  <c r="S13" i="7"/>
  <c r="V13" i="7" s="1"/>
  <c r="U13" i="7"/>
  <c r="X13" i="7" s="1"/>
  <c r="U6" i="7"/>
  <c r="X6" i="7" s="1"/>
  <c r="S16" i="7"/>
  <c r="V16" i="7" s="1"/>
  <c r="X9" i="7"/>
  <c r="T9" i="7"/>
  <c r="W9" i="7" s="1"/>
  <c r="T8" i="7"/>
  <c r="W8" i="7" s="1"/>
  <c r="R4" i="7"/>
  <c r="U4" i="7"/>
  <c r="X4" i="7" s="1"/>
  <c r="U7" i="7"/>
  <c r="X7" i="7" s="1"/>
  <c r="X10" i="7"/>
  <c r="T10" i="7"/>
  <c r="W10" i="7" s="1"/>
  <c r="T12" i="7"/>
  <c r="W12" i="7" s="1"/>
  <c r="T6" i="7"/>
  <c r="W6" i="7" s="1"/>
  <c r="T5" i="7"/>
  <c r="W5" i="7" s="1"/>
  <c r="S11" i="7"/>
  <c r="V11" i="7" s="1"/>
  <c r="S17" i="7"/>
  <c r="V17" i="7" s="1"/>
  <c r="U14" i="7"/>
  <c r="X14" i="7" s="1"/>
  <c r="T11" i="7"/>
  <c r="W11" i="7" s="1"/>
  <c r="T15" i="7"/>
  <c r="W15" i="7" s="1"/>
  <c r="S8" i="7"/>
  <c r="V8" i="7" s="1"/>
  <c r="S10" i="7"/>
  <c r="V10" i="7" s="1"/>
  <c r="U15" i="7"/>
  <c r="X15" i="7" s="1"/>
  <c r="U3" i="7"/>
  <c r="X3" i="7" s="1"/>
  <c r="U11" i="7"/>
  <c r="X11" i="7" s="1"/>
  <c r="T7" i="7"/>
  <c r="W7" i="7" s="1"/>
  <c r="U5" i="7"/>
  <c r="X5" i="7" s="1"/>
  <c r="T16" i="7"/>
  <c r="W16" i="7" s="1"/>
  <c r="T13" i="7"/>
  <c r="W13" i="7" s="1"/>
  <c r="S15" i="7"/>
  <c r="V15" i="7" s="1"/>
  <c r="U8" i="7"/>
  <c r="X8" i="7" s="1"/>
  <c r="S4" i="7"/>
  <c r="V4" i="7" s="1"/>
  <c r="S14" i="7"/>
  <c r="V14" i="7" s="1"/>
  <c r="T3" i="7"/>
  <c r="W3" i="7" s="1"/>
  <c r="T14" i="7"/>
  <c r="W14" i="7" s="1"/>
  <c r="V5" i="7"/>
  <c r="Y9" i="7"/>
  <c r="Y8" i="7"/>
  <c r="Y12" i="7"/>
  <c r="Y10" i="7"/>
  <c r="Y11" i="7"/>
  <c r="Y7" i="7"/>
  <c r="Y15" i="7"/>
  <c r="Y5" i="7"/>
  <c r="Y13" i="7"/>
  <c r="Y16" i="7"/>
  <c r="Y6" i="7"/>
  <c r="Y14" i="7"/>
  <c r="Y4" i="7"/>
  <c r="R3" i="7"/>
  <c r="R5" i="7"/>
  <c r="R11" i="7"/>
  <c r="R16" i="7"/>
  <c r="Y3" i="7"/>
  <c r="R15" i="7"/>
  <c r="R10" i="7"/>
  <c r="R8" i="7"/>
  <c r="Y2" i="7"/>
  <c r="R13" i="7"/>
  <c r="R6" i="7"/>
  <c r="R14" i="7"/>
  <c r="R12" i="7"/>
  <c r="R9" i="7"/>
  <c r="R7" i="7"/>
  <c r="R2" i="7"/>
  <c r="D7" i="4"/>
  <c r="E5" i="4"/>
  <c r="D2" i="4"/>
  <c r="E9" i="4"/>
  <c r="E7" i="4"/>
  <c r="D11" i="4"/>
  <c r="F6" i="4"/>
  <c r="E13" i="4"/>
  <c r="E11" i="4"/>
  <c r="D12" i="4"/>
  <c r="D13" i="4"/>
  <c r="D14" i="4"/>
  <c r="F5" i="4"/>
  <c r="F14" i="4"/>
  <c r="E8" i="4"/>
  <c r="F9" i="4"/>
  <c r="F15" i="4"/>
  <c r="F2" i="4"/>
  <c r="D8" i="4"/>
  <c r="E10" i="4"/>
  <c r="E6" i="4"/>
  <c r="D10" i="4"/>
  <c r="D15" i="4"/>
  <c r="F12" i="4"/>
  <c r="D3" i="4"/>
  <c r="E4" i="4"/>
  <c r="F3" i="4"/>
  <c r="D4" i="4"/>
  <c r="J2" i="2"/>
  <c r="J6" i="2"/>
  <c r="J10" i="2"/>
  <c r="J8" i="2"/>
  <c r="J7" i="2"/>
  <c r="J9" i="2"/>
  <c r="J15" i="2"/>
  <c r="J16" i="2"/>
  <c r="J5" i="2"/>
  <c r="J13" i="2"/>
  <c r="J4" i="2"/>
  <c r="J14" i="2"/>
  <c r="J12" i="2"/>
  <c r="J3" i="2"/>
  <c r="J11" i="2"/>
  <c r="AE2" i="7" l="1"/>
  <c r="AE1" i="7"/>
  <c r="T2" i="4"/>
  <c r="T9" i="4"/>
  <c r="T5" i="4"/>
  <c r="R9" i="4"/>
  <c r="Q6" i="4"/>
  <c r="R5" i="4"/>
  <c r="T10" i="4"/>
  <c r="Q10" i="4"/>
  <c r="R10" i="4"/>
  <c r="Q11" i="4"/>
  <c r="R11" i="4"/>
  <c r="T11" i="4"/>
  <c r="Q9" i="4"/>
  <c r="Q8" i="4"/>
  <c r="T8" i="4"/>
  <c r="R8" i="4"/>
  <c r="R13" i="4"/>
  <c r="T13" i="4"/>
  <c r="Q13" i="4"/>
  <c r="R2" i="4"/>
  <c r="Q2" i="4"/>
  <c r="T6" i="4"/>
  <c r="Q4" i="4"/>
  <c r="T4" i="4"/>
  <c r="R4" i="4"/>
  <c r="T14" i="4"/>
  <c r="Q14" i="4"/>
  <c r="R14" i="4"/>
  <c r="Q12" i="4"/>
  <c r="T12" i="4"/>
  <c r="R12" i="4"/>
  <c r="Q3" i="4"/>
  <c r="R3" i="4"/>
  <c r="T3" i="4"/>
  <c r="Q5" i="4"/>
  <c r="R7" i="4"/>
  <c r="Q7" i="4"/>
  <c r="T7" i="4"/>
  <c r="R15" i="4"/>
  <c r="Q15" i="4"/>
  <c r="T15" i="4"/>
  <c r="E1" i="6"/>
  <c r="R6" i="4"/>
  <c r="J11" i="4"/>
  <c r="J7" i="4"/>
  <c r="J12" i="4"/>
  <c r="J6" i="4"/>
  <c r="J9" i="4"/>
  <c r="J13" i="4"/>
  <c r="J14" i="4"/>
  <c r="J10" i="4"/>
  <c r="J5" i="4"/>
  <c r="J3" i="4"/>
  <c r="J2" i="4"/>
  <c r="J8" i="4"/>
  <c r="J15" i="4"/>
  <c r="J4" i="4"/>
  <c r="AE3" i="7" l="1"/>
  <c r="F2" i="5" a="1"/>
  <c r="E1" i="3"/>
  <c r="H2" i="3"/>
  <c r="H1" i="3"/>
  <c r="H3" i="3"/>
  <c r="H4" i="3"/>
  <c r="F2" i="5" l="1"/>
  <c r="J2" i="5" s="1"/>
  <c r="E2" i="3"/>
  <c r="E3" i="3"/>
  <c r="J3" i="5" l="1"/>
  <c r="L2" i="5" s="1"/>
  <c r="L3" i="5" s="1"/>
  <c r="L4" i="5" s="1"/>
  <c r="L5" i="5" s="1"/>
  <c r="L6" i="5" s="1"/>
  <c r="K2" i="5" s="1"/>
  <c r="K3" i="5" s="1"/>
  <c r="K4" i="5" s="1"/>
  <c r="K5" i="5" s="1"/>
  <c r="K6" i="5" s="1"/>
  <c r="K7" i="5" s="1"/>
  <c r="K8" i="5" s="1"/>
  <c r="K9" i="5" s="1"/>
  <c r="K10" i="5" s="1"/>
  <c r="K11" i="5" s="1"/>
  <c r="K12" i="5" s="1"/>
  <c r="K13" i="5" s="1"/>
  <c r="K14" i="5" s="1"/>
  <c r="K15" i="5" s="1"/>
  <c r="J4" i="5"/>
  <c r="L7" i="5"/>
  <c r="L8" i="5" s="1"/>
  <c r="L9" i="5" s="1"/>
  <c r="L10" i="5" s="1"/>
  <c r="L11" i="5" s="1"/>
  <c r="L12" i="5" s="1"/>
  <c r="L13" i="5" s="1"/>
  <c r="L14" i="5" s="1"/>
  <c r="L15" i="5" s="1"/>
  <c r="M2" i="5" l="1"/>
  <c r="M3" i="5"/>
  <c r="M4" i="5"/>
  <c r="J5" i="5"/>
  <c r="J6" i="5" l="1"/>
  <c r="M5" i="5"/>
  <c r="M6" i="5" l="1"/>
  <c r="J7" i="5"/>
  <c r="M7" i="5" l="1"/>
  <c r="J8" i="5"/>
  <c r="M8" i="5" l="1"/>
  <c r="J9" i="5"/>
  <c r="M9" i="5" l="1"/>
  <c r="J10" i="5"/>
  <c r="M10" i="5" l="1"/>
  <c r="J11" i="5"/>
  <c r="M11" i="5" l="1"/>
  <c r="J12" i="5"/>
  <c r="M12" i="5" l="1"/>
  <c r="J13" i="5"/>
  <c r="M13" i="5" l="1"/>
  <c r="J14" i="5"/>
  <c r="M14" i="5" l="1"/>
  <c r="J15" i="5"/>
  <c r="M15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<sst xmlns="http://schemas.openxmlformats.org/spreadsheetml/2006/main" count="755" uniqueCount="242">
  <si>
    <t>Day</t>
  </si>
  <si>
    <t>S</t>
  </si>
  <si>
    <t>I</t>
  </si>
  <si>
    <t>R</t>
  </si>
  <si>
    <t>N</t>
  </si>
  <si>
    <t>f11</t>
  </si>
  <si>
    <t>f12</t>
  </si>
  <si>
    <t>f13S Predicted</t>
  </si>
  <si>
    <t>f13I Predicted</t>
  </si>
  <si>
    <t>f12R Predicted</t>
  </si>
  <si>
    <t>f13S Real</t>
  </si>
  <si>
    <t>f13I Real</t>
  </si>
  <si>
    <t>f13R Real</t>
  </si>
  <si>
    <t>MSE</t>
  </si>
  <si>
    <t>Parameter</t>
  </si>
  <si>
    <t>Value</t>
  </si>
  <si>
    <t>w11</t>
  </si>
  <si>
    <t>b11</t>
  </si>
  <si>
    <t>w12S</t>
  </si>
  <si>
    <t>b12S</t>
  </si>
  <si>
    <t>w12I</t>
  </si>
  <si>
    <t>b12I</t>
  </si>
  <si>
    <t>w12R</t>
  </si>
  <si>
    <t>b12R</t>
  </si>
  <si>
    <t>S Predicted</t>
  </si>
  <si>
    <t>I Predicted</t>
  </si>
  <si>
    <t>R Predicted</t>
  </si>
  <si>
    <t>S Real</t>
  </si>
  <si>
    <t>I Real</t>
  </si>
  <si>
    <t>R Real</t>
  </si>
  <si>
    <t>MSE NN</t>
  </si>
  <si>
    <t>ds/dt</t>
  </si>
  <si>
    <t>di/dt</t>
  </si>
  <si>
    <t>dr/dt</t>
  </si>
  <si>
    <t>bsi</t>
  </si>
  <si>
    <t>bsi+ai</t>
  </si>
  <si>
    <t>ai</t>
  </si>
  <si>
    <t>E1</t>
  </si>
  <si>
    <t>E2</t>
  </si>
  <si>
    <t>E3</t>
  </si>
  <si>
    <t>E4</t>
  </si>
  <si>
    <t>Max</t>
  </si>
  <si>
    <t>Test</t>
  </si>
  <si>
    <t>E_n</t>
  </si>
  <si>
    <t>Min</t>
  </si>
  <si>
    <t>MSE with E_n</t>
  </si>
  <si>
    <t>a</t>
  </si>
  <si>
    <t>b</t>
  </si>
  <si>
    <t>S Pred</t>
  </si>
  <si>
    <t>I Pred</t>
  </si>
  <si>
    <t>R Pred</t>
  </si>
  <si>
    <t>f13R Predicted</t>
  </si>
  <si>
    <t>f21</t>
  </si>
  <si>
    <t>f22</t>
  </si>
  <si>
    <t>f23S Predicted</t>
  </si>
  <si>
    <t>f23I Predicted</t>
  </si>
  <si>
    <t>f23R Predicted</t>
  </si>
  <si>
    <t>dS/dt</t>
  </si>
  <si>
    <t>dI/dt</t>
  </si>
  <si>
    <t>dR/dt</t>
  </si>
  <si>
    <t>DINN</t>
  </si>
  <si>
    <t>MSE + DINN</t>
  </si>
  <si>
    <t>w21</t>
  </si>
  <si>
    <t>b21</t>
  </si>
  <si>
    <t>w22S</t>
  </si>
  <si>
    <t>b22S</t>
  </si>
  <si>
    <t>w22I</t>
  </si>
  <si>
    <t>b22I</t>
  </si>
  <si>
    <t>w22R</t>
  </si>
  <si>
    <t>b22R</t>
  </si>
  <si>
    <t>omega</t>
  </si>
  <si>
    <t>beta</t>
  </si>
  <si>
    <t>Real</t>
  </si>
  <si>
    <t>Predicted</t>
  </si>
  <si>
    <t>% Error</t>
  </si>
  <si>
    <t>MSE +DINN</t>
  </si>
  <si>
    <t>f33S Predicted</t>
  </si>
  <si>
    <t>f33I Predicted</t>
  </si>
  <si>
    <t>f33R Predicted</t>
  </si>
  <si>
    <t>f31</t>
  </si>
  <si>
    <t>f32</t>
  </si>
  <si>
    <t>w31</t>
  </si>
  <si>
    <t>b31</t>
  </si>
  <si>
    <t>w32S</t>
  </si>
  <si>
    <t>b32S</t>
  </si>
  <si>
    <t>w32I</t>
  </si>
  <si>
    <t>b32I</t>
  </si>
  <si>
    <t>w32R</t>
  </si>
  <si>
    <t>b32R</t>
  </si>
  <si>
    <t>w41</t>
  </si>
  <si>
    <t>b41</t>
  </si>
  <si>
    <t>w42S</t>
  </si>
  <si>
    <t>b42S</t>
  </si>
  <si>
    <t>w42I</t>
  </si>
  <si>
    <t>b42I</t>
  </si>
  <si>
    <t>w42R</t>
  </si>
  <si>
    <t>b42R</t>
  </si>
  <si>
    <t>f41</t>
  </si>
  <si>
    <t>f42</t>
  </si>
  <si>
    <t>f43S Predicted</t>
  </si>
  <si>
    <t>f43I Predicted</t>
  </si>
  <si>
    <t>f43R Predicted</t>
  </si>
  <si>
    <t>f51</t>
  </si>
  <si>
    <t>f52</t>
  </si>
  <si>
    <t>f53S Predicted</t>
  </si>
  <si>
    <t>f53I Predicted</t>
  </si>
  <si>
    <t>f53R Predicted</t>
  </si>
  <si>
    <t>w51</t>
  </si>
  <si>
    <t>b51</t>
  </si>
  <si>
    <t>w52S</t>
  </si>
  <si>
    <t>b52S</t>
  </si>
  <si>
    <t>w52I</t>
  </si>
  <si>
    <t>b52I</t>
  </si>
  <si>
    <t>w52R</t>
  </si>
  <si>
    <t>b52R</t>
  </si>
  <si>
    <t>Error</t>
  </si>
  <si>
    <t>Nodes</t>
  </si>
  <si>
    <t>Ratio</t>
  </si>
  <si>
    <t>Nodes_ratio</t>
  </si>
  <si>
    <t>ln()</t>
  </si>
  <si>
    <t>Ratio Error and Nodes</t>
  </si>
  <si>
    <t>Beta</t>
  </si>
  <si>
    <t>% Error Beta</t>
  </si>
  <si>
    <t>Neural Network Table</t>
  </si>
  <si>
    <t>Error-Log Table</t>
  </si>
  <si>
    <t>Parameters Table</t>
  </si>
  <si>
    <t>Cell</t>
  </si>
  <si>
    <t>Formula</t>
  </si>
  <si>
    <t>B2</t>
  </si>
  <si>
    <t>C2</t>
  </si>
  <si>
    <t>D2</t>
  </si>
  <si>
    <t>F2</t>
  </si>
  <si>
    <t>J2</t>
  </si>
  <si>
    <t>K2</t>
  </si>
  <si>
    <t>L2</t>
  </si>
  <si>
    <t>M2</t>
  </si>
  <si>
    <t>N2</t>
  </si>
  <si>
    <t>O2</t>
  </si>
  <si>
    <t>P2</t>
  </si>
  <si>
    <t>Q2</t>
  </si>
  <si>
    <t>=$T$3*A4+$T$4</t>
  </si>
  <si>
    <t>=TANH(B4)</t>
  </si>
  <si>
    <t>=$T$5*C4+$T$6</t>
  </si>
  <si>
    <t>=$T$7*C4+$T$8</t>
  </si>
  <si>
    <t>=$T$9*C4+$T$10</t>
  </si>
  <si>
    <t>=SUM((D4-G4)^2,(E4-H4)^2,(F4-I4)^2)</t>
  </si>
  <si>
    <t>=D4-D3</t>
  </si>
  <si>
    <t>=E4-E3</t>
  </si>
  <si>
    <t>=F4-F3</t>
  </si>
  <si>
    <t>=(K4+$AC$20*D4*E4)^2</t>
  </si>
  <si>
    <t>=(L4-$AC$20*D4*E4+$AC$19*E4)^2</t>
  </si>
  <si>
    <t>=(M4-$AC$19*E4)^2</t>
  </si>
  <si>
    <t>=(1 - SUM(D4:F4))^2</t>
  </si>
  <si>
    <t>Neural Network Table Formulas</t>
  </si>
  <si>
    <t>Name</t>
  </si>
  <si>
    <t>W2</t>
  </si>
  <si>
    <t>W3</t>
  </si>
  <si>
    <t>W4</t>
  </si>
  <si>
    <t>Sigma</t>
  </si>
  <si>
    <t>Training Err</t>
  </si>
  <si>
    <t>Test Err</t>
  </si>
  <si>
    <t>DINN Test</t>
  </si>
  <si>
    <t>Test + DINN</t>
  </si>
  <si>
    <t>DINN Training</t>
  </si>
  <si>
    <t>Train + DINN</t>
  </si>
  <si>
    <t>Real Data</t>
  </si>
  <si>
    <t>Input</t>
  </si>
  <si>
    <t>Neuron and Output</t>
  </si>
  <si>
    <t>DINN Loss</t>
  </si>
  <si>
    <t>NN Loss</t>
  </si>
  <si>
    <t>1 Neuron</t>
  </si>
  <si>
    <t>2 Neuron</t>
  </si>
  <si>
    <t>3 Neuron</t>
  </si>
  <si>
    <t>4 Neuron</t>
  </si>
  <si>
    <t>5 Neuron</t>
  </si>
  <si>
    <t>sigma</t>
  </si>
  <si>
    <t>% Error Sigma</t>
  </si>
  <si>
    <t>b_R</t>
  </si>
  <si>
    <t>R_bias</t>
  </si>
  <si>
    <t>w_R</t>
  </si>
  <si>
    <t>R_weight</t>
  </si>
  <si>
    <t xml:space="preserve"> =SUM((D4-G4)^2,(E4-H4)^2,(F4-I4)^2)/60</t>
  </si>
  <si>
    <t>J4</t>
  </si>
  <si>
    <t>b_I</t>
  </si>
  <si>
    <t>I_bias</t>
  </si>
  <si>
    <t xml:space="preserve"> =$O$10*C4+$O$11</t>
  </si>
  <si>
    <t>F4</t>
  </si>
  <si>
    <t>R_predicted</t>
  </si>
  <si>
    <t>w_I</t>
  </si>
  <si>
    <t>I_weight</t>
  </si>
  <si>
    <t xml:space="preserve"> =$O$8*C4+$O$9</t>
  </si>
  <si>
    <t>I_predicted</t>
  </si>
  <si>
    <t>b_S</t>
  </si>
  <si>
    <t>S_bias</t>
  </si>
  <si>
    <t xml:space="preserve"> =$O$6*C4+$O$7</t>
  </si>
  <si>
    <t>D4</t>
  </si>
  <si>
    <t>S_predicted</t>
  </si>
  <si>
    <t>w_S</t>
  </si>
  <si>
    <t>S_weight</t>
  </si>
  <si>
    <t xml:space="preserve">Output for 1st </t>
  </si>
  <si>
    <t xml:space="preserve"> =TANH(B4)</t>
  </si>
  <si>
    <t>C4</t>
  </si>
  <si>
    <t>Act.Function</t>
  </si>
  <si>
    <t>bias</t>
  </si>
  <si>
    <t xml:space="preserve"> =$O$4*A4+$O$5</t>
  </si>
  <si>
    <t>B4</t>
  </si>
  <si>
    <t>1st Neuron</t>
  </si>
  <si>
    <t>w</t>
  </si>
  <si>
    <t>weight</t>
  </si>
  <si>
    <t>MSE sum</t>
  </si>
  <si>
    <t>Value (optimal)</t>
  </si>
  <si>
    <t>Hidden Layer</t>
  </si>
  <si>
    <t>R_data</t>
  </si>
  <si>
    <t>I_data</t>
  </si>
  <si>
    <t>S_data</t>
  </si>
  <si>
    <t>Act.Func</t>
  </si>
  <si>
    <t>Formulas for first day</t>
  </si>
  <si>
    <t>NN Error</t>
  </si>
  <si>
    <t>Real Data/1000</t>
  </si>
  <si>
    <t>Act.Func N1</t>
  </si>
  <si>
    <t>S1_predicted</t>
  </si>
  <si>
    <t>I1_predicted</t>
  </si>
  <si>
    <t>R1_predicted</t>
  </si>
  <si>
    <t>2nd Neuron</t>
  </si>
  <si>
    <t>Act.Func N2</t>
  </si>
  <si>
    <t>S2_predicted</t>
  </si>
  <si>
    <t>I2_predicted</t>
  </si>
  <si>
    <t>R2_predicted</t>
  </si>
  <si>
    <t>(S1 + S2)_pred</t>
  </si>
  <si>
    <t>(I1+I2)_pred</t>
  </si>
  <si>
    <t>(R1+R2)_ pred</t>
  </si>
  <si>
    <t>S data</t>
  </si>
  <si>
    <t>I data</t>
  </si>
  <si>
    <t>R data</t>
  </si>
  <si>
    <t>Output for 1st</t>
  </si>
  <si>
    <t>Output for 2nd</t>
  </si>
  <si>
    <t>ActFunc 1</t>
  </si>
  <si>
    <t>Act Fun 2</t>
  </si>
  <si>
    <t>3rd Neuron</t>
  </si>
  <si>
    <t>Act Fun 3</t>
  </si>
  <si>
    <t>MSE avg</t>
  </si>
  <si>
    <t>Output for 3rd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</si>
</sst>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0.000"/>
    <numFmt numFmtId="166" formatCode="0.0000"/>
    <numFmt numFmtId="167" formatCode="_(* #,##0.000_);_(* \(#,##0.000\);_(* &quot;-&quot;??_);_(@_)"/>
    <numFmt numFmtId="168" formatCode="0.0%"/>
  </numFmts>
  <fonts count="8">
    <font>
      <sz val="11"/>
      <color theme="1"/>
      <name val="Aptos Narrow"/>
      <family val="2"/>
      <scheme val="minor"/>
    </font>
    <font>
      <sz val="10"/>
      <color theme="1"/>
      <name val="Liberation Sans"/>
      <charset val="1"/>
    </font>
    <font>
      <sz val="10"/>
      <color theme="1"/>
      <name val="Liberation Serif"/>
      <charset val="1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91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10" fontId="0" fillId="0" borderId="0" xfId="1" applyNumberFormat="1" applyFont="1"/>
    <xf numFmtId="0" fontId="4" fillId="3" borderId="0" xfId="0" applyFont="1" applyFill="1"/>
    <xf numFmtId="0" fontId="0" fillId="4" borderId="0" xfId="0" applyFill="1"/>
    <xf numFmtId="0" fontId="0" fillId="5" borderId="0" xfId="0" applyFill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2" applyNumberFormat="1" applyFont="1"/>
    <xf numFmtId="168" fontId="0" fillId="0" borderId="0" xfId="1" applyNumberFormat="1" applyFont="1"/>
    <xf numFmtId="0" fontId="4" fillId="0" borderId="0" xfId="0" applyFont="1"/>
    <xf numFmtId="0" fontId="0" fillId="10" borderId="0" xfId="0" applyFill="1" applyAlignment="1">
      <alignment horizontal="center"/>
    </xf>
    <xf numFmtId="0" fontId="4" fillId="3" borderId="2" xfId="0" applyFont="1" applyFill="1" applyBorder="1"/>
    <xf numFmtId="0" fontId="0" fillId="6" borderId="2" xfId="0" applyFill="1" applyBorder="1"/>
    <xf numFmtId="0" fontId="0" fillId="7" borderId="2" xfId="0" applyFill="1" applyBorder="1"/>
    <xf numFmtId="0" fontId="0" fillId="9" borderId="2" xfId="0" applyFill="1" applyBorder="1"/>
    <xf numFmtId="0" fontId="0" fillId="8" borderId="2" xfId="0" applyFill="1" applyBorder="1"/>
    <xf numFmtId="0" fontId="5" fillId="4" borderId="0" xfId="0" applyFont="1" applyFill="1"/>
    <xf numFmtId="0" fontId="5" fillId="9" borderId="2" xfId="0" applyFont="1" applyFill="1" applyBorder="1"/>
    <xf numFmtId="0" fontId="0" fillId="4" borderId="2" xfId="0" applyFill="1" applyBorder="1"/>
    <xf numFmtId="0" fontId="0" fillId="4" borderId="4" xfId="0" applyFill="1" applyBorder="1"/>
    <xf numFmtId="0" fontId="5" fillId="4" borderId="5" xfId="0" applyFont="1" applyFill="1" applyBorder="1"/>
    <xf numFmtId="0" fontId="5" fillId="0" borderId="6" xfId="0" applyFont="1" applyBorder="1"/>
    <xf numFmtId="0" fontId="0" fillId="0" borderId="7" xfId="0" applyBorder="1"/>
    <xf numFmtId="0" fontId="5" fillId="0" borderId="9" xfId="0" applyFont="1" applyBorder="1"/>
    <xf numFmtId="0" fontId="0" fillId="0" borderId="10" xfId="0" applyBorder="1"/>
    <xf numFmtId="0" fontId="0" fillId="4" borderId="0" xfId="0" quotePrefix="1" applyFill="1"/>
    <xf numFmtId="0" fontId="0" fillId="0" borderId="9" xfId="0" applyBorder="1"/>
    <xf numFmtId="0" fontId="0" fillId="4" borderId="8" xfId="0" applyFill="1" applyBorder="1"/>
    <xf numFmtId="0" fontId="0" fillId="0" borderId="11" xfId="0" applyBorder="1"/>
    <xf numFmtId="0" fontId="0" fillId="0" borderId="12" xfId="0" applyBorder="1"/>
    <xf numFmtId="0" fontId="0" fillId="9" borderId="1" xfId="0" applyFill="1" applyBorder="1"/>
    <xf numFmtId="0" fontId="5" fillId="10" borderId="0" xfId="0" applyFont="1" applyFill="1" applyAlignment="1">
      <alignment horizontal="center"/>
    </xf>
    <xf numFmtId="0" fontId="0" fillId="10" borderId="0" xfId="0" applyFill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3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7" borderId="3" xfId="0" applyFill="1" applyBorder="1" applyAlignment="1">
      <alignment horizontal="center"/>
    </xf>
    <xf numFmtId="0" fontId="0" fillId="10" borderId="2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9" borderId="0" xfId="0" applyFill="1" applyAlignment="1">
      <alignment horizontal="center"/>
    </xf>
    <xf numFmtId="0" fontId="0" fillId="9" borderId="3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0" xfId="0" applyFill="1" applyAlignment="1">
      <alignment horizontal="center"/>
    </xf>
    <xf numFmtId="0" fontId="0" fillId="8" borderId="3" xfId="0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5" fillId="7" borderId="0" xfId="0" applyFont="1" applyFill="1" applyAlignment="1">
      <alignment horizontal="center"/>
    </xf>
    <xf numFmtId="0" fontId="5" fillId="7" borderId="3" xfId="0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/>
    </xf>
    <xf numFmtId="0" fontId="5" fillId="8" borderId="0" xfId="0" applyFont="1" applyFill="1" applyAlignment="1">
      <alignment horizontal="center"/>
    </xf>
    <xf numFmtId="0" fontId="5" fillId="8" borderId="3" xfId="0" applyFont="1" applyFill="1" applyBorder="1" applyAlignment="1">
      <alignment horizontal="center"/>
    </xf>
    <xf numFmtId="0" fontId="5" fillId="9" borderId="1" xfId="0" applyFont="1" applyFill="1" applyBorder="1" applyAlignment="1">
      <alignment horizontal="center"/>
    </xf>
    <xf numFmtId="0" fontId="5" fillId="9" borderId="0" xfId="0" applyFont="1" applyFill="1" applyAlignment="1">
      <alignment horizontal="center"/>
    </xf>
    <xf numFmtId="0" fontId="5" fillId="9" borderId="3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5" fillId="6" borderId="0" xfId="0" applyFont="1" applyFill="1" applyAlignment="1">
      <alignment horizontal="center"/>
    </xf>
    <xf numFmtId="0" fontId="5" fillId="6" borderId="3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7" fillId="3" borderId="0" xfId="0" applyFont="1" applyFill="1"/>
    <xf numFmtId="0" fontId="0" fillId="5" borderId="13" xfId="0" applyFill="1" applyBorder="1"/>
    <xf numFmtId="0" fontId="0" fillId="4" borderId="12" xfId="0" applyFill="1" applyBorder="1"/>
    <xf numFmtId="0" fontId="0" fillId="4" borderId="13" xfId="0" applyFill="1" applyBorder="1"/>
    <xf numFmtId="0" fontId="0" fillId="0" borderId="14" xfId="0" applyBorder="1"/>
    <xf numFmtId="0" fontId="0" fillId="4" borderId="10" xfId="0" applyFill="1" applyBorder="1"/>
    <xf numFmtId="0" fontId="0" fillId="4" borderId="14" xfId="0" applyFill="1" applyBorder="1"/>
    <xf numFmtId="0" fontId="5" fillId="0" borderId="14" xfId="0" applyFont="1" applyBorder="1"/>
    <xf numFmtId="0" fontId="5" fillId="4" borderId="10" xfId="0" applyFont="1" applyFill="1" applyBorder="1"/>
    <xf numFmtId="0" fontId="0" fillId="0" borderId="15" xfId="0" applyBorder="1"/>
    <xf numFmtId="0" fontId="0" fillId="4" borderId="15" xfId="0" applyFill="1" applyBorder="1"/>
    <xf numFmtId="0" fontId="0" fillId="2" borderId="13" xfId="0" applyFill="1" applyBorder="1"/>
    <xf numFmtId="0" fontId="5" fillId="4" borderId="7" xfId="0" applyFont="1" applyFill="1" applyBorder="1"/>
    <xf numFmtId="0" fontId="0" fillId="0" borderId="13" xfId="0" applyBorder="1"/>
    <xf numFmtId="0" fontId="0" fillId="4" borderId="3" xfId="0" applyFill="1" applyBorder="1"/>
    <xf numFmtId="0" fontId="0" fillId="4" borderId="16" xfId="0" applyFill="1" applyBorder="1"/>
    <xf numFmtId="0" fontId="5" fillId="4" borderId="3" xfId="0" applyFont="1" applyFill="1" applyBorder="1"/>
    <xf numFmtId="0" fontId="5" fillId="4" borderId="2" xfId="0" applyFont="1" applyFill="1" applyBorder="1"/>
    <xf numFmtId="0" fontId="0" fillId="0" borderId="1" xfId="0" applyBorder="1"/>
    <xf numFmtId="0" fontId="0" fillId="4" borderId="17" xfId="0" applyFill="1" applyBorder="1"/>
    <xf numFmtId="0" fontId="0" fillId="4" borderId="18" xfId="0" applyFill="1" applyBorder="1"/>
    <xf numFmtId="0" fontId="5" fillId="4" borderId="17" xfId="0" applyFont="1" applyFill="1" applyBorder="1"/>
    <xf numFmtId="0" fontId="5" fillId="4" borderId="18" xfId="0" applyFont="1" applyFill="1" applyBorder="1"/>
    <xf numFmtId="0" fontId="5" fillId="4" borderId="19" xfId="0" applyFont="1" applyFill="1" applyBorder="1"/>
    <xf numFmtId="0" fontId="5" fillId="0" borderId="12" xfId="0" applyFont="1" applyBorder="1"/>
    <xf numFmtId="0" fontId="5" fillId="0" borderId="11" xfId="0" applyFont="1" applyBorder="1"/>
    <xf numFmtId="0" fontId="5" fillId="4" borderId="12" xfId="0" applyFont="1" applyFill="1" applyBorder="1"/>
    <xf numFmtId="0" fontId="0" fillId="4" borderId="7" xfId="0" applyFill="1" applyBorder="1"/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Susceptible (1 Neuron)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'SIR_with 1 Neuron'!$D$3</c:f>
              <c:strCache>
                <c:ptCount val="1"/>
                <c:pt idx="0">
                  <c:v>S_predicted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'SIR_with 1 Neuron'!$D$4:$D$63</c:f>
              <c:numCache>
                <c:formatCode>General</c:formatCode>
                <c:ptCount val="60"/>
                <c:pt idx="0">
                  <c:v>0.97406530617922926</c:v>
                </c:pt>
                <c:pt idx="1">
                  <c:v>0.96919309316824986</c:v>
                </c:pt>
                <c:pt idx="2">
                  <c:v>0.96322597636677376</c:v>
                </c:pt>
                <c:pt idx="3">
                  <c:v>0.9559358743918992</c:v>
                </c:pt>
                <c:pt idx="4">
                  <c:v>0.94705620574774607</c:v>
                </c:pt>
                <c:pt idx="5">
                  <c:v>0.93627990301942898</c:v>
                </c:pt>
                <c:pt idx="6">
                  <c:v>0.92325981904619359</c:v>
                </c:pt>
                <c:pt idx="7">
                  <c:v>0.90761292319733133</c:v>
                </c:pt>
                <c:pt idx="8">
                  <c:v>0.88893001343929734</c:v>
                </c:pt>
                <c:pt idx="9">
                  <c:v>0.86679285262041161</c:v>
                </c:pt>
                <c:pt idx="10">
                  <c:v>0.84080048274459851</c:v>
                </c:pt>
                <c:pt idx="11">
                  <c:v>0.81060572433303291</c:v>
                </c:pt>
                <c:pt idx="12">
                  <c:v>0.775961273149677</c:v>
                </c:pt>
                <c:pt idx="13">
                  <c:v>0.73677224301396671</c:v>
                </c:pt>
                <c:pt idx="14">
                  <c:v>0.69314869558233072</c:v>
                </c:pt>
                <c:pt idx="15">
                  <c:v>0.64544842027836391</c:v>
                </c:pt>
                <c:pt idx="16">
                  <c:v>0.59429833126287879</c:v>
                </c:pt>
                <c:pt idx="17">
                  <c:v>0.54058390057410977</c:v>
                </c:pt>
                <c:pt idx="18">
                  <c:v>0.48540102403634011</c:v>
                </c:pt>
                <c:pt idx="19">
                  <c:v>0.42997307374306071</c:v>
                </c:pt>
                <c:pt idx="20">
                  <c:v>0.37554519077102166</c:v>
                </c:pt>
                <c:pt idx="21">
                  <c:v>0.32327457200350973</c:v>
                </c:pt>
                <c:pt idx="22">
                  <c:v>0.27413672859909066</c:v>
                </c:pt>
                <c:pt idx="23">
                  <c:v>0.22886289227749901</c:v>
                </c:pt>
                <c:pt idx="24">
                  <c:v>0.18791503192467229</c:v>
                </c:pt>
                <c:pt idx="25">
                  <c:v>0.15149583531462751</c:v>
                </c:pt>
                <c:pt idx="26">
                  <c:v>0.11958454086466785</c:v>
                </c:pt>
                <c:pt idx="27">
                  <c:v>9.1986968915555689E-2</c:v>
                </c:pt>
                <c:pt idx="28">
                  <c:v>6.8389021849629805E-2</c:v>
                </c:pt>
                <c:pt idx="29">
                  <c:v>4.8405846147393183E-2</c:v>
                </c:pt>
                <c:pt idx="30">
                  <c:v>3.1622272204001267E-2</c:v>
                </c:pt>
                <c:pt idx="31">
                  <c:v>1.7623055520021635E-2</c:v>
                </c:pt>
                <c:pt idx="32">
                  <c:v>6.0134157577440561E-3</c:v>
                </c:pt>
                <c:pt idx="33">
                  <c:v>-3.5685787045003359E-3</c:v>
                </c:pt>
                <c:pt idx="34">
                  <c:v>-1.1445879552355986E-2</c:v>
                </c:pt>
                <c:pt idx="35">
                  <c:v>-1.7900757342848017E-2</c:v>
                </c:pt>
                <c:pt idx="36">
                  <c:v>-2.3175996173693481E-2</c:v>
                </c:pt>
                <c:pt idx="37">
                  <c:v>-2.7477802559263909E-2</c:v>
                </c:pt>
                <c:pt idx="38">
                  <c:v>-3.0979579809048863E-2</c:v>
                </c:pt>
                <c:pt idx="39">
                  <c:v>-3.382599596042235E-2</c:v>
                </c:pt>
                <c:pt idx="40">
                  <c:v>-3.6136985154838319E-2</c:v>
                </c:pt>
                <c:pt idx="41">
                  <c:v>-3.8011474739779727E-2</c:v>
                </c:pt>
                <c:pt idx="42">
                  <c:v>-3.9530734334872086E-2</c:v>
                </c:pt>
                <c:pt idx="43">
                  <c:v>-4.076131041288189E-2</c:v>
                </c:pt>
                <c:pt idx="44">
                  <c:v>-4.1757551008093419E-2</c:v>
                </c:pt>
                <c:pt idx="45">
                  <c:v>-4.2563748250045164E-2</c:v>
                </c:pt>
                <c:pt idx="46">
                  <c:v>-4.3215937702164808E-2</c:v>
                </c:pt>
                <c:pt idx="47">
                  <c:v>-4.3743397353843028E-2</c:v>
                </c:pt>
                <c:pt idx="48">
                  <c:v>-4.4169888577385574E-2</c:v>
                </c:pt>
                <c:pt idx="49">
                  <c:v>-4.4514678406357477E-2</c:v>
                </c:pt>
                <c:pt idx="50">
                  <c:v>-4.4793378388683136E-2</c:v>
                </c:pt>
                <c:pt idx="51">
                  <c:v>-4.5018630795103265E-2</c:v>
                </c:pt>
                <c:pt idx="52">
                  <c:v>-4.5200668574130631E-2</c:v>
                </c:pt>
                <c:pt idx="53">
                  <c:v>-4.5347771381142543E-2</c:v>
                </c:pt>
                <c:pt idx="54">
                  <c:v>-4.5466636383077796E-2</c:v>
                </c:pt>
                <c:pt idx="55">
                  <c:v>-4.5562679383516436E-2</c:v>
                </c:pt>
                <c:pt idx="56">
                  <c:v>-4.5640279112857174E-2</c:v>
                </c:pt>
                <c:pt idx="57">
                  <c:v>-4.57029752483471E-2</c:v>
                </c:pt>
                <c:pt idx="58">
                  <c:v>-4.5753628821963099E-2</c:v>
                </c:pt>
                <c:pt idx="59">
                  <c:v>-4.5794552091205976E-2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3A-4491-98CF-A7D5E83B208A}"/>
            </c:ext>
          </c:extLst>
        </c:ser>
        <c:ser>
          <c:idx val="1"/>
          <c:order val="1"/>
          <c:tx>
            <c:strRef>
              <c:f>'SIR_with 1 Neuron'!$G$3</c:f>
              <c:strCache>
                <c:ptCount val="1"/>
                <c:pt idx="0">
                  <c:v>S_data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'SIR_with 1 Neuron'!$G$4:$G$63</c:f>
              <c:numCache>
                <c:formatCode>General</c:formatCode>
                <c:ptCount val="60"/>
                <c:pt idx="0">
                  <c:v>0.99916902781949102</c:v>
                </c:pt>
                <c:pt idx="1">
                  <c:v>0.98960193539692398</c:v>
                </c:pt>
                <c:pt idx="2">
                  <c:v>1.0027006748148801</c:v>
                </c:pt>
                <c:pt idx="3">
                  <c:v>0.99110329365628103</c:v>
                </c:pt>
                <c:pt idx="4">
                  <c:v>0.99855053119660397</c:v>
                </c:pt>
                <c:pt idx="5">
                  <c:v>0.99334815329542803</c:v>
                </c:pt>
                <c:pt idx="6">
                  <c:v>0.98283073740154103</c:v>
                </c:pt>
                <c:pt idx="7">
                  <c:v>0.97539398785926001</c:v>
                </c:pt>
                <c:pt idx="8">
                  <c:v>0.96249140793574095</c:v>
                </c:pt>
                <c:pt idx="9">
                  <c:v>0.94450237023887595</c:v>
                </c:pt>
                <c:pt idx="10">
                  <c:v>0.91819898168117797</c:v>
                </c:pt>
                <c:pt idx="11">
                  <c:v>0.89021613947898592</c:v>
                </c:pt>
                <c:pt idx="12">
                  <c:v>0.83105634839519704</c:v>
                </c:pt>
                <c:pt idx="13">
                  <c:v>0.77338802087821101</c:v>
                </c:pt>
                <c:pt idx="14">
                  <c:v>0.68790871012265198</c:v>
                </c:pt>
                <c:pt idx="15">
                  <c:v>0.59497831839092707</c:v>
                </c:pt>
                <c:pt idx="16">
                  <c:v>0.48898600704502004</c:v>
                </c:pt>
                <c:pt idx="17">
                  <c:v>0.39651123517081099</c:v>
                </c:pt>
                <c:pt idx="18">
                  <c:v>0.31251275507811599</c:v>
                </c:pt>
                <c:pt idx="19">
                  <c:v>0.23552071001902899</c:v>
                </c:pt>
                <c:pt idx="20">
                  <c:v>0.188024971201353</c:v>
                </c:pt>
                <c:pt idx="21">
                  <c:v>0.137907399961987</c:v>
                </c:pt>
                <c:pt idx="22">
                  <c:v>9.9076317792327895E-2</c:v>
                </c:pt>
                <c:pt idx="23">
                  <c:v>7.6771548896384309E-2</c:v>
                </c:pt>
                <c:pt idx="24">
                  <c:v>5.50331848909218E-2</c:v>
                </c:pt>
                <c:pt idx="25">
                  <c:v>4.1882891498532304E-2</c:v>
                </c:pt>
                <c:pt idx="26">
                  <c:v>2.6899076645389701E-2</c:v>
                </c:pt>
                <c:pt idx="27">
                  <c:v>2.8643066551244298E-2</c:v>
                </c:pt>
                <c:pt idx="28">
                  <c:v>1.8585382566350301E-2</c:v>
                </c:pt>
                <c:pt idx="29">
                  <c:v>1.6441050975567299E-2</c:v>
                </c:pt>
                <c:pt idx="30">
                  <c:v>1.6927265894710001E-2</c:v>
                </c:pt>
                <c:pt idx="31">
                  <c:v>5.5360201456173194E-3</c:v>
                </c:pt>
                <c:pt idx="32">
                  <c:v>5.5516744239331806E-3</c:v>
                </c:pt>
                <c:pt idx="33">
                  <c:v>1.2931474477337201E-2</c:v>
                </c:pt>
                <c:pt idx="34">
                  <c:v>8.6066661943624695E-3</c:v>
                </c:pt>
                <c:pt idx="35">
                  <c:v>7.3575980325581393E-3</c:v>
                </c:pt>
                <c:pt idx="36">
                  <c:v>2.8505374714209897E-3</c:v>
                </c:pt>
                <c:pt idx="37">
                  <c:v>-2.1838521820841201E-4</c:v>
                </c:pt>
                <c:pt idx="38">
                  <c:v>8.2348707294253292E-3</c:v>
                </c:pt>
                <c:pt idx="39">
                  <c:v>3.9663387236011597E-3</c:v>
                </c:pt>
                <c:pt idx="40">
                  <c:v>7.9785242352294391E-3</c:v>
                </c:pt>
                <c:pt idx="41">
                  <c:v>3.1396670372780401E-3</c:v>
                </c:pt>
                <c:pt idx="42">
                  <c:v>2.6118371468564702E-3</c:v>
                </c:pt>
                <c:pt idx="43">
                  <c:v>2.39128185473625E-3</c:v>
                </c:pt>
                <c:pt idx="44">
                  <c:v>1.2757458204968699E-3</c:v>
                </c:pt>
                <c:pt idx="45">
                  <c:v>3.5362804167817599E-3</c:v>
                </c:pt>
                <c:pt idx="46">
                  <c:v>-3.1346344649783998E-3</c:v>
                </c:pt>
                <c:pt idx="47">
                  <c:v>9.0828857896239103E-3</c:v>
                </c:pt>
                <c:pt idx="48">
                  <c:v>1.0538230552720001E-2</c:v>
                </c:pt>
                <c:pt idx="49">
                  <c:v>2.5859344138377399E-3</c:v>
                </c:pt>
                <c:pt idx="50">
                  <c:v>2.0336631835871899E-3</c:v>
                </c:pt>
                <c:pt idx="51">
                  <c:v>2.2949557971681501E-3</c:v>
                </c:pt>
                <c:pt idx="52">
                  <c:v>2.3936274802814103E-3</c:v>
                </c:pt>
                <c:pt idx="53">
                  <c:v>2.3043154567460099E-3</c:v>
                </c:pt>
                <c:pt idx="54">
                  <c:v>3.0385585864702198E-3</c:v>
                </c:pt>
                <c:pt idx="55">
                  <c:v>7.9515125832206497E-3</c:v>
                </c:pt>
                <c:pt idx="56">
                  <c:v>-1.1013052498209E-4</c:v>
                </c:pt>
                <c:pt idx="57">
                  <c:v>5.6947636442931599E-3</c:v>
                </c:pt>
                <c:pt idx="58">
                  <c:v>-2.2807198247528698E-3</c:v>
                </c:pt>
                <c:pt idx="59">
                  <c:v>-1.0788247514761E-4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33A-4491-98CF-A7D5E83B20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6832640"/>
        <c:axId val="256835040"/>
      </c:lineChart>
      <c:catAx>
        <c:axId val="2568326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Days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6835040"/>
        <c:crosses val="autoZero"/>
        <c:auto val="1"/>
        <c:lblAlgn val="ctr"/>
        <c:lblOffset val="100"/>
        <c:noMultiLvlLbl val="0"/>
      </c:catAx>
      <c:valAx>
        <c:axId val="256835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Susceptible</a:t>
                </a:r>
                <a:r>
                  <a:rPr lang="es-ES" baseline="0"/>
                  <a:t> Population Rate</a:t>
                </a:r>
                <a:endParaRPr lang="es-E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6832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218030795754914"/>
          <c:y val="0.91786660260415542"/>
          <c:w val="0.46257982180579155"/>
          <c:h val="7.75385523777961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Infected (1</a:t>
            </a:r>
            <a:r>
              <a:rPr lang="en-US" baseline="0"/>
              <a:t> Neuron)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'SIR_with 1 Neuron'!$E$3</c:f>
              <c:strCache>
                <c:ptCount val="1"/>
                <c:pt idx="0">
                  <c:v>I_predicted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'SIR_with 1 Neuron'!$E$4:$E$63</c:f>
              <c:numCache>
                <c:formatCode>General</c:formatCode>
                <c:ptCount val="60"/>
                <c:pt idx="0">
                  <c:v>0.15032239805189379</c:v>
                </c:pt>
                <c:pt idx="1">
                  <c:v>0.15082302697593281</c:v>
                </c:pt>
                <c:pt idx="2">
                  <c:v>0.15143615929531343</c:v>
                </c:pt>
                <c:pt idx="3">
                  <c:v>0.15218523079518256</c:v>
                </c:pt>
                <c:pt idx="4">
                  <c:v>0.15309763321870712</c:v>
                </c:pt>
                <c:pt idx="5">
                  <c:v>0.15420491831232658</c:v>
                </c:pt>
                <c:pt idx="6">
                  <c:v>0.15554275609070986</c:v>
                </c:pt>
                <c:pt idx="7">
                  <c:v>0.15715050366162159</c:v>
                </c:pt>
                <c:pt idx="8">
                  <c:v>0.15907020729301163</c:v>
                </c:pt>
                <c:pt idx="9">
                  <c:v>0.1613448416279768</c:v>
                </c:pt>
                <c:pt idx="10">
                  <c:v>0.16401560584432562</c:v>
                </c:pt>
                <c:pt idx="11">
                  <c:v>0.16711817327746867</c:v>
                </c:pt>
                <c:pt idx="12">
                  <c:v>0.17067795489636794</c:v>
                </c:pt>
                <c:pt idx="13">
                  <c:v>0.17470470043207473</c:v>
                </c:pt>
                <c:pt idx="14">
                  <c:v>0.17918710084524458</c:v>
                </c:pt>
                <c:pt idx="15">
                  <c:v>0.18408839260896209</c:v>
                </c:pt>
                <c:pt idx="16">
                  <c:v>0.18934415913038016</c:v>
                </c:pt>
                <c:pt idx="17">
                  <c:v>0.19486341651516395</c:v>
                </c:pt>
                <c:pt idx="18">
                  <c:v>0.2005335594346602</c:v>
                </c:pt>
                <c:pt idx="19">
                  <c:v>0.20622888413710694</c:v>
                </c:pt>
                <c:pt idx="20">
                  <c:v>0.21182145006733441</c:v>
                </c:pt>
                <c:pt idx="21">
                  <c:v>0.21719235309917329</c:v>
                </c:pt>
                <c:pt idx="22">
                  <c:v>0.22224135765166669</c:v>
                </c:pt>
                <c:pt idx="23">
                  <c:v>0.22689332830929637</c:v>
                </c:pt>
                <c:pt idx="24">
                  <c:v>0.23110079691215524</c:v>
                </c:pt>
                <c:pt idx="25">
                  <c:v>0.23484293691551023</c:v>
                </c:pt>
                <c:pt idx="26">
                  <c:v>0.23812188161049283</c:v>
                </c:pt>
                <c:pt idx="27">
                  <c:v>0.2409575833172613</c:v>
                </c:pt>
                <c:pt idx="28">
                  <c:v>0.24338231614863021</c:v>
                </c:pt>
                <c:pt idx="29">
                  <c:v>0.24543562451756842</c:v>
                </c:pt>
                <c:pt idx="30">
                  <c:v>0.24716016787104567</c:v>
                </c:pt>
                <c:pt idx="31">
                  <c:v>0.24859861335158945</c:v>
                </c:pt>
                <c:pt idx="32">
                  <c:v>0.24979152537115273</c:v>
                </c:pt>
                <c:pt idx="33">
                  <c:v>0.25077609307518606</c:v>
                </c:pt>
                <c:pt idx="34">
                  <c:v>0.25158550034841221</c:v>
                </c:pt>
                <c:pt idx="35">
                  <c:v>0.25224875101413136</c:v>
                </c:pt>
                <c:pt idx="36">
                  <c:v>0.25279079158870882</c:v>
                </c:pt>
                <c:pt idx="37">
                  <c:v>0.25323281017397575</c:v>
                </c:pt>
                <c:pt idx="38">
                  <c:v>0.25359262428161711</c:v>
                </c:pt>
                <c:pt idx="39">
                  <c:v>0.25388509882080867</c:v>
                </c:pt>
                <c:pt idx="40">
                  <c:v>0.25412255724704319</c:v>
                </c:pt>
                <c:pt idx="41">
                  <c:v>0.25431516452876851</c:v>
                </c:pt>
                <c:pt idx="42">
                  <c:v>0.25447127127014313</c:v>
                </c:pt>
                <c:pt idx="43">
                  <c:v>0.25459771524467667</c:v>
                </c:pt>
                <c:pt idx="44">
                  <c:v>0.25470008081369855</c:v>
                </c:pt>
                <c:pt idx="45">
                  <c:v>0.25478291907567358</c:v>
                </c:pt>
                <c:pt idx="46">
                  <c:v>0.25484993275158396</c:v>
                </c:pt>
                <c:pt idx="47">
                  <c:v>0.2549041302091456</c:v>
                </c:pt>
                <c:pt idx="48">
                  <c:v>0.25494795297343625</c:v>
                </c:pt>
                <c:pt idx="49">
                  <c:v>0.25498338076789206</c:v>
                </c:pt>
                <c:pt idx="50">
                  <c:v>0.25501201770801907</c:v>
                </c:pt>
                <c:pt idx="51">
                  <c:v>0.25503516281058525</c:v>
                </c:pt>
                <c:pt idx="52">
                  <c:v>0.25505386753003068</c:v>
                </c:pt>
                <c:pt idx="53">
                  <c:v>0.2550689826163029</c:v>
                </c:pt>
                <c:pt idx="54">
                  <c:v>0.25508119621572695</c:v>
                </c:pt>
                <c:pt idx="55">
                  <c:v>0.25509106481216615</c:v>
                </c:pt>
                <c:pt idx="56">
                  <c:v>0.25509903832829073</c:v>
                </c:pt>
                <c:pt idx="57">
                  <c:v>0.25510548047250342</c:v>
                </c:pt>
                <c:pt idx="58">
                  <c:v>0.2551106852211466</c:v>
                </c:pt>
                <c:pt idx="59">
                  <c:v>0.25511489016296729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5C-4059-9735-201128B99D2C}"/>
            </c:ext>
          </c:extLst>
        </c:ser>
        <c:ser>
          <c:idx val="1"/>
          <c:order val="1"/>
          <c:tx>
            <c:strRef>
              <c:f>'SIR_with 1 Neuron'!$H$3</c:f>
              <c:strCache>
                <c:ptCount val="1"/>
                <c:pt idx="0">
                  <c:v>I_data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'SIR_with 1 Neuron'!$H$4:$H$63</c:f>
              <c:numCache>
                <c:formatCode>General</c:formatCode>
                <c:ptCount val="60"/>
                <c:pt idx="0">
                  <c:v>-5.1644142064485399E-4</c:v>
                </c:pt>
                <c:pt idx="1">
                  <c:v>2.1639113228485896E-3</c:v>
                </c:pt>
                <c:pt idx="2">
                  <c:v>3.31005964809079E-3</c:v>
                </c:pt>
                <c:pt idx="3">
                  <c:v>1.5165637719900501E-3</c:v>
                </c:pt>
                <c:pt idx="4">
                  <c:v>2.0051112150917699E-3</c:v>
                </c:pt>
                <c:pt idx="5">
                  <c:v>5.7859344004262394E-3</c:v>
                </c:pt>
                <c:pt idx="6">
                  <c:v>1.2651330839959601E-2</c:v>
                </c:pt>
                <c:pt idx="7">
                  <c:v>2.03539996715329E-2</c:v>
                </c:pt>
                <c:pt idx="8">
                  <c:v>3.3533967396357001E-2</c:v>
                </c:pt>
                <c:pt idx="9">
                  <c:v>4.7496166004264602E-2</c:v>
                </c:pt>
                <c:pt idx="10">
                  <c:v>6.7597221336325009E-2</c:v>
                </c:pt>
                <c:pt idx="11">
                  <c:v>9.5969397639399309E-2</c:v>
                </c:pt>
                <c:pt idx="12">
                  <c:v>0.139820372745182</c:v>
                </c:pt>
                <c:pt idx="13">
                  <c:v>0.19576330278256401</c:v>
                </c:pt>
                <c:pt idx="14">
                  <c:v>0.25894601239861498</c:v>
                </c:pt>
                <c:pt idx="15">
                  <c:v>0.33076845698165103</c:v>
                </c:pt>
                <c:pt idx="16">
                  <c:v>0.40789980280525601</c:v>
                </c:pt>
                <c:pt idx="17">
                  <c:v>0.47372642816447597</c:v>
                </c:pt>
                <c:pt idx="18">
                  <c:v>0.52750319456345507</c:v>
                </c:pt>
                <c:pt idx="19">
                  <c:v>0.55793614971574401</c:v>
                </c:pt>
                <c:pt idx="20">
                  <c:v>0.5772776209197521</c:v>
                </c:pt>
                <c:pt idx="21">
                  <c:v>0.57947852857229998</c:v>
                </c:pt>
                <c:pt idx="22">
                  <c:v>0.57261055388682602</c:v>
                </c:pt>
                <c:pt idx="23">
                  <c:v>0.554625055849157</c:v>
                </c:pt>
                <c:pt idx="24">
                  <c:v>0.53385373128166391</c:v>
                </c:pt>
                <c:pt idx="25">
                  <c:v>0.51004856673586696</c:v>
                </c:pt>
                <c:pt idx="26">
                  <c:v>0.48054748715594703</c:v>
                </c:pt>
                <c:pt idx="27">
                  <c:v>0.45621581041098197</c:v>
                </c:pt>
                <c:pt idx="28">
                  <c:v>0.43462182741029998</c:v>
                </c:pt>
                <c:pt idx="29">
                  <c:v>0.40770546813070097</c:v>
                </c:pt>
                <c:pt idx="30">
                  <c:v>0.38076372682378795</c:v>
                </c:pt>
                <c:pt idx="31">
                  <c:v>0.35516465630493699</c:v>
                </c:pt>
                <c:pt idx="32">
                  <c:v>0.33275256354035898</c:v>
                </c:pt>
                <c:pt idx="33">
                  <c:v>0.31162242112024097</c:v>
                </c:pt>
                <c:pt idx="34">
                  <c:v>0.29035002727487702</c:v>
                </c:pt>
                <c:pt idx="35">
                  <c:v>0.272509543831852</c:v>
                </c:pt>
                <c:pt idx="36">
                  <c:v>0.25622929206750999</c:v>
                </c:pt>
                <c:pt idx="37">
                  <c:v>0.23591031536785101</c:v>
                </c:pt>
                <c:pt idx="38">
                  <c:v>0.22078107592961702</c:v>
                </c:pt>
                <c:pt idx="39">
                  <c:v>0.204823212440885</c:v>
                </c:pt>
                <c:pt idx="40">
                  <c:v>0.19286137258476199</c:v>
                </c:pt>
                <c:pt idx="41">
                  <c:v>0.17630438116484701</c:v>
                </c:pt>
                <c:pt idx="42">
                  <c:v>0.16677826328596299</c:v>
                </c:pt>
                <c:pt idx="43">
                  <c:v>0.157909899247861</c:v>
                </c:pt>
                <c:pt idx="44">
                  <c:v>0.14923463373831</c:v>
                </c:pt>
                <c:pt idx="45">
                  <c:v>0.135577127775768</c:v>
                </c:pt>
                <c:pt idx="46">
                  <c:v>0.125187367886479</c:v>
                </c:pt>
                <c:pt idx="47">
                  <c:v>0.11564560923284699</c:v>
                </c:pt>
                <c:pt idx="48">
                  <c:v>0.111612530534534</c:v>
                </c:pt>
                <c:pt idx="49">
                  <c:v>0.10342211054485</c:v>
                </c:pt>
                <c:pt idx="50">
                  <c:v>9.4972241588527101E-2</c:v>
                </c:pt>
                <c:pt idx="51">
                  <c:v>8.7440881600336293E-2</c:v>
                </c:pt>
                <c:pt idx="52">
                  <c:v>8.3053244128702103E-2</c:v>
                </c:pt>
                <c:pt idx="53">
                  <c:v>7.8073186837302994E-2</c:v>
                </c:pt>
                <c:pt idx="54">
                  <c:v>7.1018266657233403E-2</c:v>
                </c:pt>
                <c:pt idx="55">
                  <c:v>6.6968684958737701E-2</c:v>
                </c:pt>
                <c:pt idx="56">
                  <c:v>6.18422691296922E-2</c:v>
                </c:pt>
                <c:pt idx="57">
                  <c:v>6.0470398956274998E-2</c:v>
                </c:pt>
                <c:pt idx="58">
                  <c:v>5.4975808919005206E-2</c:v>
                </c:pt>
                <c:pt idx="59">
                  <c:v>5.3596926243307502E-2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E5C-4059-9735-201128B99D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6832640"/>
        <c:axId val="256835040"/>
      </c:lineChart>
      <c:catAx>
        <c:axId val="2568326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Days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6835040"/>
        <c:crosses val="autoZero"/>
        <c:auto val="1"/>
        <c:lblAlgn val="ctr"/>
        <c:lblOffset val="100"/>
        <c:noMultiLvlLbl val="0"/>
      </c:catAx>
      <c:valAx>
        <c:axId val="256835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Infected Population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6832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Recovered (1 Neuron)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'SIR_with 1 Neuron'!$F$3</c:f>
              <c:strCache>
                <c:ptCount val="1"/>
                <c:pt idx="0">
                  <c:v>R_predicted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'SIR_with 1 Neuron'!$F$4:$F$63</c:f>
              <c:numCache>
                <c:formatCode>General</c:formatCode>
                <c:ptCount val="60"/>
                <c:pt idx="0">
                  <c:v>-0.12349641540603908</c:v>
                </c:pt>
                <c:pt idx="1">
                  <c:v>-0.11912765798861873</c:v>
                </c:pt>
                <c:pt idx="2">
                  <c:v>-0.11377713539686894</c:v>
                </c:pt>
                <c:pt idx="3">
                  <c:v>-0.10724033435703068</c:v>
                </c:pt>
                <c:pt idx="4">
                  <c:v>-9.9278219776662374E-2</c:v>
                </c:pt>
                <c:pt idx="5">
                  <c:v>-8.9615454135954314E-2</c:v>
                </c:pt>
                <c:pt idx="6">
                  <c:v>-7.7940761690175123E-2</c:v>
                </c:pt>
                <c:pt idx="7">
                  <c:v>-6.3910691135936337E-2</c:v>
                </c:pt>
                <c:pt idx="8">
                  <c:v>-4.7158324110833941E-2</c:v>
                </c:pt>
                <c:pt idx="9">
                  <c:v>-2.7308640751301669E-2</c:v>
                </c:pt>
                <c:pt idx="10">
                  <c:v>-4.00211485939167E-3</c:v>
                </c:pt>
                <c:pt idx="11">
                  <c:v>2.3072558288206674E-2</c:v>
                </c:pt>
                <c:pt idx="12">
                  <c:v>5.4137128482217883E-2</c:v>
                </c:pt>
                <c:pt idx="13">
                  <c:v>8.9276677122863024E-2</c:v>
                </c:pt>
                <c:pt idx="14">
                  <c:v>0.12839251544657351</c:v>
                </c:pt>
                <c:pt idx="15">
                  <c:v>0.17116382513225339</c:v>
                </c:pt>
                <c:pt idx="16">
                  <c:v>0.21702847232328262</c:v>
                </c:pt>
                <c:pt idx="17">
                  <c:v>0.26519248259238626</c:v>
                </c:pt>
                <c:pt idx="18">
                  <c:v>0.3146732012402994</c:v>
                </c:pt>
                <c:pt idx="19">
                  <c:v>0.36437366967845886</c:v>
                </c:pt>
                <c:pt idx="20">
                  <c:v>0.41317740976797213</c:v>
                </c:pt>
                <c:pt idx="21">
                  <c:v>0.46004680011259014</c:v>
                </c:pt>
                <c:pt idx="22">
                  <c:v>0.50410713108854299</c:v>
                </c:pt>
                <c:pt idx="23">
                  <c:v>0.54470273062397256</c:v>
                </c:pt>
                <c:pt idx="24">
                  <c:v>0.58141936600932598</c:v>
                </c:pt>
                <c:pt idx="25">
                  <c:v>0.61407529360692503</c:v>
                </c:pt>
                <c:pt idx="26">
                  <c:v>0.64268912966326819</c:v>
                </c:pt>
                <c:pt idx="27">
                  <c:v>0.66743498886190777</c:v>
                </c:pt>
                <c:pt idx="28">
                  <c:v>0.68859451248040282</c:v>
                </c:pt>
                <c:pt idx="29">
                  <c:v>0.70651278634815617</c:v>
                </c:pt>
                <c:pt idx="30">
                  <c:v>0.72156207975769815</c:v>
                </c:pt>
                <c:pt idx="31">
                  <c:v>0.73411472915713749</c:v>
                </c:pt>
                <c:pt idx="32">
                  <c:v>0.74452472143595061</c:v>
                </c:pt>
                <c:pt idx="33">
                  <c:v>0.75311658909162937</c:v>
                </c:pt>
                <c:pt idx="34">
                  <c:v>0.76017991256102002</c:v>
                </c:pt>
                <c:pt idx="35">
                  <c:v>0.76596779481538924</c:v>
                </c:pt>
                <c:pt idx="36">
                  <c:v>0.77069793258214647</c:v>
                </c:pt>
                <c:pt idx="37">
                  <c:v>0.77455522464078919</c:v>
                </c:pt>
                <c:pt idx="38">
                  <c:v>0.77769515618722984</c:v>
                </c:pt>
                <c:pt idx="39">
                  <c:v>0.78024744641886701</c:v>
                </c:pt>
                <c:pt idx="40">
                  <c:v>0.7823196364405125</c:v>
                </c:pt>
                <c:pt idx="41">
                  <c:v>0.78400043123738106</c:v>
                </c:pt>
                <c:pt idx="42">
                  <c:v>0.7853627026754505</c:v>
                </c:pt>
                <c:pt idx="43">
                  <c:v>0.78646612084628797</c:v>
                </c:pt>
                <c:pt idx="44">
                  <c:v>0.78735941789222108</c:v>
                </c:pt>
                <c:pt idx="45">
                  <c:v>0.7880823091477438</c:v>
                </c:pt>
                <c:pt idx="46">
                  <c:v>0.78866710654886107</c:v>
                </c:pt>
                <c:pt idx="47">
                  <c:v>0.78914006273129123</c:v>
                </c:pt>
                <c:pt idx="48">
                  <c:v>0.78952248375683287</c:v>
                </c:pt>
                <c:pt idx="49">
                  <c:v>0.78983164575762765</c:v>
                </c:pt>
                <c:pt idx="50">
                  <c:v>0.79008154710887735</c:v>
                </c:pt>
                <c:pt idx="51">
                  <c:v>0.79028352372999844</c:v>
                </c:pt>
                <c:pt idx="52">
                  <c:v>0.79044675117830254</c:v>
                </c:pt>
                <c:pt idx="53">
                  <c:v>0.7905786535556838</c:v>
                </c:pt>
                <c:pt idx="54">
                  <c:v>0.79068523599731899</c:v>
                </c:pt>
                <c:pt idx="55">
                  <c:v>0.79077135468088477</c:v>
                </c:pt>
                <c:pt idx="56">
                  <c:v>0.7908409358737396</c:v>
                </c:pt>
                <c:pt idx="57">
                  <c:v>0.7908971534911442</c:v>
                </c:pt>
                <c:pt idx="58">
                  <c:v>0.79094257292887316</c:v>
                </c:pt>
                <c:pt idx="59">
                  <c:v>0.79097926751419745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22-4258-B1FD-CCBDDF48A969}"/>
            </c:ext>
          </c:extLst>
        </c:ser>
        <c:ser>
          <c:idx val="1"/>
          <c:order val="1"/>
          <c:tx>
            <c:strRef>
              <c:f>'SIR_with 1 Neuron'!$I$3</c:f>
              <c:strCache>
                <c:ptCount val="1"/>
                <c:pt idx="0">
                  <c:v>R_data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'SIR_with 1 Neuron'!$I$4:$I$63</c:f>
              <c:numCache>
                <c:formatCode>General</c:formatCode>
                <c:ptCount val="60"/>
                <c:pt idx="0">
                  <c:v>1.29646532345248E-3</c:v>
                </c:pt>
                <c:pt idx="1">
                  <c:v>2.6945909567850398E-3</c:v>
                </c:pt>
                <c:pt idx="2">
                  <c:v>-4.7185297244242705E-3</c:v>
                </c:pt>
                <c:pt idx="3">
                  <c:v>2.4789689316632598E-3</c:v>
                </c:pt>
                <c:pt idx="4">
                  <c:v>3.86363487767975E-3</c:v>
                </c:pt>
                <c:pt idx="5">
                  <c:v>-4.6798608314981898E-3</c:v>
                </c:pt>
                <c:pt idx="6">
                  <c:v>3.0346095032803499E-3</c:v>
                </c:pt>
                <c:pt idx="7">
                  <c:v>7.4668309922445502E-3</c:v>
                </c:pt>
                <c:pt idx="8">
                  <c:v>9.1761695406187595E-3</c:v>
                </c:pt>
                <c:pt idx="9">
                  <c:v>7.5225339506602403E-3</c:v>
                </c:pt>
                <c:pt idx="10">
                  <c:v>3.2927993138720797E-3</c:v>
                </c:pt>
                <c:pt idx="11">
                  <c:v>1.96514990734073E-2</c:v>
                </c:pt>
                <c:pt idx="12">
                  <c:v>2.4532806481925299E-2</c:v>
                </c:pt>
                <c:pt idx="13">
                  <c:v>3.84479753657469E-2</c:v>
                </c:pt>
                <c:pt idx="14">
                  <c:v>6.3388110834698502E-2</c:v>
                </c:pt>
                <c:pt idx="15">
                  <c:v>7.3720662375898097E-2</c:v>
                </c:pt>
                <c:pt idx="16">
                  <c:v>9.9755417736937704E-2</c:v>
                </c:pt>
                <c:pt idx="17">
                  <c:v>0.13353312106332502</c:v>
                </c:pt>
                <c:pt idx="18">
                  <c:v>0.171732007304878</c:v>
                </c:pt>
                <c:pt idx="19">
                  <c:v>0.208737490794312</c:v>
                </c:pt>
                <c:pt idx="20">
                  <c:v>0.245867937524964</c:v>
                </c:pt>
                <c:pt idx="21">
                  <c:v>0.28965693379235602</c:v>
                </c:pt>
                <c:pt idx="22">
                  <c:v>0.33141838551950203</c:v>
                </c:pt>
                <c:pt idx="23">
                  <c:v>0.37486334043008496</c:v>
                </c:pt>
                <c:pt idx="24">
                  <c:v>0.41205954274061996</c:v>
                </c:pt>
                <c:pt idx="25">
                  <c:v>0.44388223355148898</c:v>
                </c:pt>
                <c:pt idx="26">
                  <c:v>0.487722954635535</c:v>
                </c:pt>
                <c:pt idx="27">
                  <c:v>0.51359201939365806</c:v>
                </c:pt>
                <c:pt idx="28">
                  <c:v>0.547713142498501</c:v>
                </c:pt>
                <c:pt idx="29">
                  <c:v>0.57331041777418701</c:v>
                </c:pt>
                <c:pt idx="30">
                  <c:v>0.602138744531867</c:v>
                </c:pt>
                <c:pt idx="31">
                  <c:v>0.624921752972462</c:v>
                </c:pt>
                <c:pt idx="32">
                  <c:v>0.65513191440359508</c:v>
                </c:pt>
                <c:pt idx="33">
                  <c:v>0.68166378325101906</c:v>
                </c:pt>
                <c:pt idx="34">
                  <c:v>0.69814062804294097</c:v>
                </c:pt>
                <c:pt idx="35">
                  <c:v>0.71941411557586699</c:v>
                </c:pt>
                <c:pt idx="36">
                  <c:v>0.73983758563310398</c:v>
                </c:pt>
                <c:pt idx="37">
                  <c:v>0.75684413386429605</c:v>
                </c:pt>
                <c:pt idx="38">
                  <c:v>0.7750441208199299</c:v>
                </c:pt>
                <c:pt idx="39">
                  <c:v>0.78395269848070492</c:v>
                </c:pt>
                <c:pt idx="40">
                  <c:v>0.80233719563429595</c:v>
                </c:pt>
                <c:pt idx="41">
                  <c:v>0.81844367482675706</c:v>
                </c:pt>
                <c:pt idx="42">
                  <c:v>0.83017491401183396</c:v>
                </c:pt>
                <c:pt idx="43">
                  <c:v>0.83969352077445703</c:v>
                </c:pt>
                <c:pt idx="44">
                  <c:v>0.84673055231667504</c:v>
                </c:pt>
                <c:pt idx="45">
                  <c:v>0.86534225693530897</c:v>
                </c:pt>
                <c:pt idx="46">
                  <c:v>0.87833605384871605</c:v>
                </c:pt>
                <c:pt idx="47">
                  <c:v>0.87802773465304806</c:v>
                </c:pt>
                <c:pt idx="48">
                  <c:v>0.88908099354612202</c:v>
                </c:pt>
                <c:pt idx="49">
                  <c:v>0.89472708248588406</c:v>
                </c:pt>
                <c:pt idx="50">
                  <c:v>0.90450311421663898</c:v>
                </c:pt>
                <c:pt idx="51">
                  <c:v>0.90922037148508505</c:v>
                </c:pt>
                <c:pt idx="52">
                  <c:v>0.906309636239233</c:v>
                </c:pt>
                <c:pt idx="53">
                  <c:v>0.92630169320256595</c:v>
                </c:pt>
                <c:pt idx="54">
                  <c:v>0.92736038017037692</c:v>
                </c:pt>
                <c:pt idx="55">
                  <c:v>0.93389441761834491</c:v>
                </c:pt>
                <c:pt idx="56">
                  <c:v>0.94275156262420401</c:v>
                </c:pt>
                <c:pt idx="57">
                  <c:v>0.93680268831874902</c:v>
                </c:pt>
                <c:pt idx="58">
                  <c:v>0.94398061818187207</c:v>
                </c:pt>
                <c:pt idx="59">
                  <c:v>0.94100736181572697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22-4258-B1FD-CCBDDF48A9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6832640"/>
        <c:axId val="256835040"/>
      </c:lineChart>
      <c:catAx>
        <c:axId val="2568326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Days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6835040"/>
        <c:crosses val="autoZero"/>
        <c:auto val="1"/>
        <c:lblAlgn val="ctr"/>
        <c:lblOffset val="100"/>
        <c:noMultiLvlLbl val="0"/>
      </c:catAx>
      <c:valAx>
        <c:axId val="256835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Recovered  Population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6832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Susceptible (2 Neurons)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'SIR_with 2 Neurons'!$L$1</c:f>
              <c:strCache>
                <c:ptCount val="1"/>
                <c:pt idx="0">
                  <c:v>(S1 + S2)_pred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'SIR_with 2 Neurons'!$L$2:$L$61</c:f>
              <c:numCache>
                <c:formatCode>General</c:formatCode>
                <c:ptCount val="60"/>
                <c:pt idx="0">
                  <c:v>1.0031700665587875</c:v>
                </c:pt>
                <c:pt idx="1">
                  <c:v>1.0022602753309446</c:v>
                </c:pt>
                <c:pt idx="2">
                  <c:v>1.0009131763628518</c:v>
                </c:pt>
                <c:pt idx="3">
                  <c:v>0.99892072972090151</c:v>
                </c:pt>
                <c:pt idx="4">
                  <c:v>0.9959785289307066</c:v>
                </c:pt>
                <c:pt idx="5">
                  <c:v>0.99164424599745882</c:v>
                </c:pt>
                <c:pt idx="6">
                  <c:v>0.9852817776408016</c:v>
                </c:pt>
                <c:pt idx="7">
                  <c:v>0.9759904789202094</c:v>
                </c:pt>
                <c:pt idx="8">
                  <c:v>0.9625247170068949</c:v>
                </c:pt>
                <c:pt idx="9">
                  <c:v>0.94322222783599852</c:v>
                </c:pt>
                <c:pt idx="10">
                  <c:v>0.91598463674689734</c:v>
                </c:pt>
                <c:pt idx="11">
                  <c:v>0.87839058210803911</c:v>
                </c:pt>
                <c:pt idx="12">
                  <c:v>0.82805605596415255</c:v>
                </c:pt>
                <c:pt idx="13">
                  <c:v>0.76333837272081939</c:v>
                </c:pt>
                <c:pt idx="14">
                  <c:v>0.68432657327905422</c:v>
                </c:pt>
                <c:pt idx="15">
                  <c:v>0.59374055969905326</c:v>
                </c:pt>
                <c:pt idx="16">
                  <c:v>0.49707381973943576</c:v>
                </c:pt>
                <c:pt idx="17">
                  <c:v>0.40150022863601276</c:v>
                </c:pt>
                <c:pt idx="18">
                  <c:v>0.31387533202126772</c:v>
                </c:pt>
                <c:pt idx="19">
                  <c:v>0.23891655699899883</c:v>
                </c:pt>
                <c:pt idx="20">
                  <c:v>0.17849009629599899</c:v>
                </c:pt>
                <c:pt idx="21">
                  <c:v>0.13205216950039556</c:v>
                </c:pt>
                <c:pt idx="22">
                  <c:v>9.7636956957061649E-2</c:v>
                </c:pt>
                <c:pt idx="23">
                  <c:v>7.2783931736749796E-2</c:v>
                </c:pt>
                <c:pt idx="24">
                  <c:v>5.5134711325836472E-2</c:v>
                </c:pt>
                <c:pt idx="25">
                  <c:v>4.2707053373498116E-2</c:v>
                </c:pt>
                <c:pt idx="26">
                  <c:v>3.3958114768814829E-2</c:v>
                </c:pt>
                <c:pt idx="27">
                  <c:v>2.7743856686115453E-2</c:v>
                </c:pt>
                <c:pt idx="28">
                  <c:v>2.324310968762755E-2</c:v>
                </c:pt>
                <c:pt idx="29">
                  <c:v>1.9880735401929694E-2</c:v>
                </c:pt>
                <c:pt idx="30">
                  <c:v>1.726311971291139E-2</c:v>
                </c:pt>
                <c:pt idx="31">
                  <c:v>1.5128445638777688E-2</c:v>
                </c:pt>
                <c:pt idx="32">
                  <c:v>1.3309678829500626E-2</c:v>
                </c:pt>
                <c:pt idx="33">
                  <c:v>1.1706969243761689E-2</c:v>
                </c:pt>
                <c:pt idx="34">
                  <c:v>1.0266529610868824E-2</c:v>
                </c:pt>
                <c:pt idx="35">
                  <c:v>8.9640511527491196E-3</c:v>
                </c:pt>
                <c:pt idx="36">
                  <c:v>7.7917500989566069E-3</c:v>
                </c:pt>
                <c:pt idx="37">
                  <c:v>6.7487992180330636E-3</c:v>
                </c:pt>
                <c:pt idx="38">
                  <c:v>5.835042356427067E-3</c:v>
                </c:pt>
                <c:pt idx="39">
                  <c:v>5.0476560987442465E-3</c:v>
                </c:pt>
                <c:pt idx="40">
                  <c:v>4.3801021263001338E-3</c:v>
                </c:pt>
                <c:pt idx="41">
                  <c:v>3.8225452770390689E-3</c:v>
                </c:pt>
                <c:pt idx="42">
                  <c:v>3.3629661763052709E-3</c:v>
                </c:pt>
                <c:pt idx="43">
                  <c:v>2.9884031625893037E-3</c:v>
                </c:pt>
                <c:pt idx="44">
                  <c:v>2.686002019660183E-3</c:v>
                </c:pt>
                <c:pt idx="45">
                  <c:v>2.4437514573805164E-3</c:v>
                </c:pt>
                <c:pt idx="46">
                  <c:v>2.2509076268006911E-3</c:v>
                </c:pt>
                <c:pt idx="47">
                  <c:v>2.0981698177773289E-3</c:v>
                </c:pt>
                <c:pt idx="48">
                  <c:v>1.9776840006371366E-3</c:v>
                </c:pt>
                <c:pt idx="49">
                  <c:v>1.8829424198256728E-3</c:v>
                </c:pt>
                <c:pt idx="50">
                  <c:v>1.8086307888309783E-3</c:v>
                </c:pt>
                <c:pt idx="51">
                  <c:v>1.7504578133220594E-3</c:v>
                </c:pt>
                <c:pt idx="52">
                  <c:v>1.704988111936423E-3</c:v>
                </c:pt>
                <c:pt idx="53">
                  <c:v>1.6694898058722263E-3</c:v>
                </c:pt>
                <c:pt idx="54">
                  <c:v>1.6418016288075599E-3</c:v>
                </c:pt>
                <c:pt idx="55">
                  <c:v>1.6202205367479294E-3</c:v>
                </c:pt>
                <c:pt idx="56">
                  <c:v>1.6034086753087262E-3</c:v>
                </c:pt>
                <c:pt idx="57">
                  <c:v>1.5903175585998408E-3</c:v>
                </c:pt>
                <c:pt idx="58">
                  <c:v>1.5801269797792727E-3</c:v>
                </c:pt>
                <c:pt idx="59">
                  <c:v>1.5721962103565357E-3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81-4CDD-AFA0-1A0ED1DEAA25}"/>
            </c:ext>
          </c:extLst>
        </c:ser>
        <c:ser>
          <c:idx val="1"/>
          <c:order val="1"/>
          <c:tx>
            <c:strRef>
              <c:f>'SIR_with 2 Neurons'!$O$1</c:f>
              <c:strCache>
                <c:ptCount val="1"/>
                <c:pt idx="0">
                  <c:v>S data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'SIR_with 2 Neurons'!$O$2:$O$61</c:f>
              <c:numCache>
                <c:formatCode>General</c:formatCode>
                <c:ptCount val="60"/>
                <c:pt idx="0">
                  <c:v>0.99916902781949102</c:v>
                </c:pt>
                <c:pt idx="1">
                  <c:v>0.98960193539692398</c:v>
                </c:pt>
                <c:pt idx="2">
                  <c:v>1.0027006748148801</c:v>
                </c:pt>
                <c:pt idx="3">
                  <c:v>0.99110329365628103</c:v>
                </c:pt>
                <c:pt idx="4">
                  <c:v>0.99855053119660397</c:v>
                </c:pt>
                <c:pt idx="5">
                  <c:v>0.99334815329542803</c:v>
                </c:pt>
                <c:pt idx="6">
                  <c:v>0.98283073740154103</c:v>
                </c:pt>
                <c:pt idx="7">
                  <c:v>0.97539398785926001</c:v>
                </c:pt>
                <c:pt idx="8">
                  <c:v>0.96249140793574095</c:v>
                </c:pt>
                <c:pt idx="9">
                  <c:v>0.94450237023887595</c:v>
                </c:pt>
                <c:pt idx="10">
                  <c:v>0.91819898168117797</c:v>
                </c:pt>
                <c:pt idx="11">
                  <c:v>0.89021613947898592</c:v>
                </c:pt>
                <c:pt idx="12">
                  <c:v>0.83105634839519704</c:v>
                </c:pt>
                <c:pt idx="13">
                  <c:v>0.77338802087821101</c:v>
                </c:pt>
                <c:pt idx="14">
                  <c:v>0.68790871012265198</c:v>
                </c:pt>
                <c:pt idx="15">
                  <c:v>0.59497831839092707</c:v>
                </c:pt>
                <c:pt idx="16">
                  <c:v>0.48898600704502004</c:v>
                </c:pt>
                <c:pt idx="17">
                  <c:v>0.39651123517081099</c:v>
                </c:pt>
                <c:pt idx="18">
                  <c:v>0.31251275507811599</c:v>
                </c:pt>
                <c:pt idx="19">
                  <c:v>0.23552071001902899</c:v>
                </c:pt>
                <c:pt idx="20">
                  <c:v>0.188024971201353</c:v>
                </c:pt>
                <c:pt idx="21">
                  <c:v>0.137907399961987</c:v>
                </c:pt>
                <c:pt idx="22">
                  <c:v>9.9076317792327895E-2</c:v>
                </c:pt>
                <c:pt idx="23">
                  <c:v>7.6771548896384309E-2</c:v>
                </c:pt>
                <c:pt idx="24">
                  <c:v>5.50331848909218E-2</c:v>
                </c:pt>
                <c:pt idx="25">
                  <c:v>4.1882891498532304E-2</c:v>
                </c:pt>
                <c:pt idx="26">
                  <c:v>2.6899076645389701E-2</c:v>
                </c:pt>
                <c:pt idx="27">
                  <c:v>2.8643066551244298E-2</c:v>
                </c:pt>
                <c:pt idx="28">
                  <c:v>1.8585382566350301E-2</c:v>
                </c:pt>
                <c:pt idx="29">
                  <c:v>1.6441050975567299E-2</c:v>
                </c:pt>
                <c:pt idx="30">
                  <c:v>1.6927265894710001E-2</c:v>
                </c:pt>
                <c:pt idx="31">
                  <c:v>5.5360201456173194E-3</c:v>
                </c:pt>
                <c:pt idx="32">
                  <c:v>5.5516744239331806E-3</c:v>
                </c:pt>
                <c:pt idx="33">
                  <c:v>1.2931474477337201E-2</c:v>
                </c:pt>
                <c:pt idx="34">
                  <c:v>8.6066661943624695E-3</c:v>
                </c:pt>
                <c:pt idx="35">
                  <c:v>7.3575980325581393E-3</c:v>
                </c:pt>
                <c:pt idx="36">
                  <c:v>2.8505374714209897E-3</c:v>
                </c:pt>
                <c:pt idx="37">
                  <c:v>-2.1838521820841201E-4</c:v>
                </c:pt>
                <c:pt idx="38">
                  <c:v>8.2348707294253292E-3</c:v>
                </c:pt>
                <c:pt idx="39">
                  <c:v>3.9663387236011597E-3</c:v>
                </c:pt>
                <c:pt idx="40">
                  <c:v>7.9785242352294391E-3</c:v>
                </c:pt>
                <c:pt idx="41">
                  <c:v>3.1396670372780401E-3</c:v>
                </c:pt>
                <c:pt idx="42">
                  <c:v>2.6118371468564702E-3</c:v>
                </c:pt>
                <c:pt idx="43">
                  <c:v>2.39128185473625E-3</c:v>
                </c:pt>
                <c:pt idx="44">
                  <c:v>1.2757458204968699E-3</c:v>
                </c:pt>
                <c:pt idx="45">
                  <c:v>3.5362804167817599E-3</c:v>
                </c:pt>
                <c:pt idx="46">
                  <c:v>-3.1346344649783998E-3</c:v>
                </c:pt>
                <c:pt idx="47">
                  <c:v>9.0828857896239103E-3</c:v>
                </c:pt>
                <c:pt idx="48">
                  <c:v>1.0538230552720001E-2</c:v>
                </c:pt>
                <c:pt idx="49">
                  <c:v>2.5859344138377399E-3</c:v>
                </c:pt>
                <c:pt idx="50">
                  <c:v>2.0336631835871899E-3</c:v>
                </c:pt>
                <c:pt idx="51">
                  <c:v>2.2949557971681501E-3</c:v>
                </c:pt>
                <c:pt idx="52">
                  <c:v>2.3936274802814103E-3</c:v>
                </c:pt>
                <c:pt idx="53">
                  <c:v>2.3043154567460099E-3</c:v>
                </c:pt>
                <c:pt idx="54">
                  <c:v>3.0385585864702198E-3</c:v>
                </c:pt>
                <c:pt idx="55">
                  <c:v>7.9515125832206497E-3</c:v>
                </c:pt>
                <c:pt idx="56">
                  <c:v>-1.1013052498209E-4</c:v>
                </c:pt>
                <c:pt idx="57">
                  <c:v>5.6947636442931599E-3</c:v>
                </c:pt>
                <c:pt idx="58">
                  <c:v>-2.2807198247528698E-3</c:v>
                </c:pt>
                <c:pt idx="59">
                  <c:v>-1.0788247514761E-4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81-4CDD-AFA0-1A0ED1DEAA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3575024"/>
        <c:axId val="1243578384"/>
      </c:lineChart>
      <c:catAx>
        <c:axId val="12435750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Days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3578384"/>
        <c:crosses val="autoZero"/>
        <c:auto val="1"/>
        <c:lblAlgn val="ctr"/>
        <c:lblOffset val="100"/>
        <c:noMultiLvlLbl val="0"/>
      </c:catAx>
      <c:valAx>
        <c:axId val="124357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Susceptible Population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3575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Infected (2 Neurons)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'SIR_with 2 Neurons'!$M$1</c:f>
              <c:strCache>
                <c:ptCount val="1"/>
                <c:pt idx="0">
                  <c:v>(I1+I2)_pred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'SIR_with 2 Neurons'!$M$2:$M$61</c:f>
              <c:numCache>
                <c:formatCode>General</c:formatCode>
                <c:ptCount val="60"/>
                <c:pt idx="0">
                  <c:v>6.7954356590806508E-2</c:v>
                </c:pt>
                <c:pt idx="1">
                  <c:v>6.8380262669201164E-2</c:v>
                </c:pt>
                <c:pt idx="2">
                  <c:v>6.9016881838911415E-2</c:v>
                </c:pt>
                <c:pt idx="3">
                  <c:v>6.9966127156508406E-2</c:v>
                </c:pt>
                <c:pt idx="4">
                  <c:v>7.1377565850503144E-2</c:v>
                </c:pt>
                <c:pt idx="5">
                  <c:v>7.3469074005490853E-2</c:v>
                </c:pt>
                <c:pt idx="6">
                  <c:v>7.6554611213517809E-2</c:v>
                </c:pt>
                <c:pt idx="7">
                  <c:v>8.1079407718707142E-2</c:v>
                </c:pt>
                <c:pt idx="8">
                  <c:v>8.765991808489626E-2</c:v>
                </c:pt>
                <c:pt idx="9">
                  <c:v>9.7119240178764388E-2</c:v>
                </c:pt>
                <c:pt idx="10">
                  <c:v>0.11049620562373441</c:v>
                </c:pt>
                <c:pt idx="11">
                  <c:v>0.12898773121129081</c:v>
                </c:pt>
                <c:pt idx="12">
                  <c:v>0.15376686035897014</c:v>
                </c:pt>
                <c:pt idx="13">
                  <c:v>0.18562805246289615</c:v>
                </c:pt>
                <c:pt idx="14">
                  <c:v>0.22448836726382537</c:v>
                </c:pt>
                <c:pt idx="15">
                  <c:v>0.26893405763865763</c:v>
                </c:pt>
                <c:pt idx="16">
                  <c:v>0.31614635560468041</c:v>
                </c:pt>
                <c:pt idx="17">
                  <c:v>0.36244708277516979</c:v>
                </c:pt>
                <c:pt idx="18">
                  <c:v>0.4042982456634332</c:v>
                </c:pt>
                <c:pt idx="19">
                  <c:v>0.43921138582865793</c:v>
                </c:pt>
                <c:pt idx="20">
                  <c:v>0.46610123784084379</c:v>
                </c:pt>
                <c:pt idx="21">
                  <c:v>0.48506016790940265</c:v>
                </c:pt>
                <c:pt idx="22">
                  <c:v>0.49685914905856787</c:v>
                </c:pt>
                <c:pt idx="23">
                  <c:v>0.50248126399435522</c:v>
                </c:pt>
                <c:pt idx="24">
                  <c:v>0.50282494515573584</c:v>
                </c:pt>
                <c:pt idx="25">
                  <c:v>0.49857546208308579</c:v>
                </c:pt>
                <c:pt idx="26">
                  <c:v>0.49019109934882388</c:v>
                </c:pt>
                <c:pt idx="27">
                  <c:v>0.47795286668519199</c:v>
                </c:pt>
                <c:pt idx="28">
                  <c:v>0.46204442470697993</c:v>
                </c:pt>
                <c:pt idx="29">
                  <c:v>0.44264286159307087</c:v>
                </c:pt>
                <c:pt idx="30">
                  <c:v>0.42000665074420596</c:v>
                </c:pt>
                <c:pt idx="31">
                  <c:v>0.3945468875839433</c:v>
                </c:pt>
                <c:pt idx="32">
                  <c:v>0.3668664654759195</c:v>
                </c:pt>
                <c:pt idx="33">
                  <c:v>0.33775419197181655</c:v>
                </c:pt>
                <c:pt idx="34">
                  <c:v>0.30812992050871246</c:v>
                </c:pt>
                <c:pt idx="35">
                  <c:v>0.27895108204395713</c:v>
                </c:pt>
                <c:pt idx="36">
                  <c:v>0.25110433397545462</c:v>
                </c:pt>
                <c:pt idx="37">
                  <c:v>0.22531104976431537</c:v>
                </c:pt>
                <c:pt idx="38">
                  <c:v>0.20206896945586017</c:v>
                </c:pt>
                <c:pt idx="39">
                  <c:v>0.18163817785010217</c:v>
                </c:pt>
                <c:pt idx="40">
                  <c:v>0.16406521434696364</c:v>
                </c:pt>
                <c:pt idx="41">
                  <c:v>0.14923062113531183</c:v>
                </c:pt>
                <c:pt idx="42">
                  <c:v>0.13690410084219007</c:v>
                </c:pt>
                <c:pt idx="43">
                  <c:v>0.12679537216848225</c:v>
                </c:pt>
                <c:pt idx="44">
                  <c:v>0.11859435825370035</c:v>
                </c:pt>
                <c:pt idx="45">
                  <c:v>0.11199905079099848</c:v>
                </c:pt>
                <c:pt idx="46">
                  <c:v>0.10673231175858877</c:v>
                </c:pt>
                <c:pt idx="47">
                  <c:v>0.10255012910285766</c:v>
                </c:pt>
                <c:pt idx="48">
                  <c:v>9.9243988743796141E-2</c:v>
                </c:pt>
                <c:pt idx="49">
                  <c:v>9.6639616880364709E-2</c:v>
                </c:pt>
                <c:pt idx="50">
                  <c:v>9.459376672151798E-2</c:v>
                </c:pt>
                <c:pt idx="51">
                  <c:v>9.2990177498294191E-2</c:v>
                </c:pt>
                <c:pt idx="52">
                  <c:v>9.1735400989197746E-2</c:v>
                </c:pt>
                <c:pt idx="53">
                  <c:v>9.07548827284681E-2</c:v>
                </c:pt>
                <c:pt idx="54">
                  <c:v>8.998948256118533E-2</c:v>
                </c:pt>
                <c:pt idx="55">
                  <c:v>8.9392495363937119E-2</c:v>
                </c:pt>
                <c:pt idx="56">
                  <c:v>8.892716282845381E-2</c:v>
                </c:pt>
                <c:pt idx="57">
                  <c:v>8.8564631942793515E-2</c:v>
                </c:pt>
                <c:pt idx="58">
                  <c:v>8.8282301546040109E-2</c:v>
                </c:pt>
                <c:pt idx="59">
                  <c:v>8.8062496007899949E-2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D7-4BAA-8BDF-F6935A42CE31}"/>
            </c:ext>
          </c:extLst>
        </c:ser>
        <c:ser>
          <c:idx val="1"/>
          <c:order val="1"/>
          <c:tx>
            <c:strRef>
              <c:f>'SIR_with 2 Neurons'!$P$1</c:f>
              <c:strCache>
                <c:ptCount val="1"/>
                <c:pt idx="0">
                  <c:v>I data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'SIR_with 2 Neurons'!$P$2:$P$61</c:f>
              <c:numCache>
                <c:formatCode>General</c:formatCode>
                <c:ptCount val="60"/>
                <c:pt idx="0">
                  <c:v>-5.1644142064485399E-4</c:v>
                </c:pt>
                <c:pt idx="1">
                  <c:v>2.1639113228485896E-3</c:v>
                </c:pt>
                <c:pt idx="2">
                  <c:v>3.31005964809079E-3</c:v>
                </c:pt>
                <c:pt idx="3">
                  <c:v>1.5165637719900501E-3</c:v>
                </c:pt>
                <c:pt idx="4">
                  <c:v>2.0051112150917699E-3</c:v>
                </c:pt>
                <c:pt idx="5">
                  <c:v>5.7859344004262394E-3</c:v>
                </c:pt>
                <c:pt idx="6">
                  <c:v>1.2651330839959601E-2</c:v>
                </c:pt>
                <c:pt idx="7">
                  <c:v>2.03539996715329E-2</c:v>
                </c:pt>
                <c:pt idx="8">
                  <c:v>3.3533967396357001E-2</c:v>
                </c:pt>
                <c:pt idx="9">
                  <c:v>4.7496166004264602E-2</c:v>
                </c:pt>
                <c:pt idx="10">
                  <c:v>6.7597221336325009E-2</c:v>
                </c:pt>
                <c:pt idx="11">
                  <c:v>9.5969397639399309E-2</c:v>
                </c:pt>
                <c:pt idx="12">
                  <c:v>0.139820372745182</c:v>
                </c:pt>
                <c:pt idx="13">
                  <c:v>0.19576330278256401</c:v>
                </c:pt>
                <c:pt idx="14">
                  <c:v>0.25894601239861498</c:v>
                </c:pt>
                <c:pt idx="15">
                  <c:v>0.33076845698165103</c:v>
                </c:pt>
                <c:pt idx="16">
                  <c:v>0.40789980280525601</c:v>
                </c:pt>
                <c:pt idx="17">
                  <c:v>0.47372642816447597</c:v>
                </c:pt>
                <c:pt idx="18">
                  <c:v>0.52750319456345507</c:v>
                </c:pt>
                <c:pt idx="19">
                  <c:v>0.55793614971574401</c:v>
                </c:pt>
                <c:pt idx="20">
                  <c:v>0.5772776209197521</c:v>
                </c:pt>
                <c:pt idx="21">
                  <c:v>0.57947852857229998</c:v>
                </c:pt>
                <c:pt idx="22">
                  <c:v>0.57261055388682602</c:v>
                </c:pt>
                <c:pt idx="23">
                  <c:v>0.554625055849157</c:v>
                </c:pt>
                <c:pt idx="24">
                  <c:v>0.53385373128166391</c:v>
                </c:pt>
                <c:pt idx="25">
                  <c:v>0.51004856673586696</c:v>
                </c:pt>
                <c:pt idx="26">
                  <c:v>0.48054748715594703</c:v>
                </c:pt>
                <c:pt idx="27">
                  <c:v>0.45621581041098197</c:v>
                </c:pt>
                <c:pt idx="28">
                  <c:v>0.43462182741029998</c:v>
                </c:pt>
                <c:pt idx="29">
                  <c:v>0.40770546813070097</c:v>
                </c:pt>
                <c:pt idx="30">
                  <c:v>0.38076372682378795</c:v>
                </c:pt>
                <c:pt idx="31">
                  <c:v>0.35516465630493699</c:v>
                </c:pt>
                <c:pt idx="32">
                  <c:v>0.33275256354035898</c:v>
                </c:pt>
                <c:pt idx="33">
                  <c:v>0.31162242112024097</c:v>
                </c:pt>
                <c:pt idx="34">
                  <c:v>0.29035002727487702</c:v>
                </c:pt>
                <c:pt idx="35">
                  <c:v>0.272509543831852</c:v>
                </c:pt>
                <c:pt idx="36">
                  <c:v>0.25622929206750999</c:v>
                </c:pt>
                <c:pt idx="37">
                  <c:v>0.23591031536785101</c:v>
                </c:pt>
                <c:pt idx="38">
                  <c:v>0.22078107592961702</c:v>
                </c:pt>
                <c:pt idx="39">
                  <c:v>0.204823212440885</c:v>
                </c:pt>
                <c:pt idx="40">
                  <c:v>0.19286137258476199</c:v>
                </c:pt>
                <c:pt idx="41">
                  <c:v>0.17630438116484701</c:v>
                </c:pt>
                <c:pt idx="42">
                  <c:v>0.16677826328596299</c:v>
                </c:pt>
                <c:pt idx="43">
                  <c:v>0.157909899247861</c:v>
                </c:pt>
                <c:pt idx="44">
                  <c:v>0.14923463373831</c:v>
                </c:pt>
                <c:pt idx="45">
                  <c:v>0.135577127775768</c:v>
                </c:pt>
                <c:pt idx="46">
                  <c:v>0.125187367886479</c:v>
                </c:pt>
                <c:pt idx="47">
                  <c:v>0.11564560923284699</c:v>
                </c:pt>
                <c:pt idx="48">
                  <c:v>0.111612530534534</c:v>
                </c:pt>
                <c:pt idx="49">
                  <c:v>0.10342211054485</c:v>
                </c:pt>
                <c:pt idx="50">
                  <c:v>9.4972241588527101E-2</c:v>
                </c:pt>
                <c:pt idx="51">
                  <c:v>8.7440881600336293E-2</c:v>
                </c:pt>
                <c:pt idx="52">
                  <c:v>8.3053244128702103E-2</c:v>
                </c:pt>
                <c:pt idx="53">
                  <c:v>7.8073186837302994E-2</c:v>
                </c:pt>
                <c:pt idx="54">
                  <c:v>7.1018266657233403E-2</c:v>
                </c:pt>
                <c:pt idx="55">
                  <c:v>6.6968684958737701E-2</c:v>
                </c:pt>
                <c:pt idx="56">
                  <c:v>6.18422691296922E-2</c:v>
                </c:pt>
                <c:pt idx="57">
                  <c:v>6.0470398956274998E-2</c:v>
                </c:pt>
                <c:pt idx="58">
                  <c:v>5.4975808919005206E-2</c:v>
                </c:pt>
                <c:pt idx="59">
                  <c:v>5.3596926243307502E-2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D7-4BAA-8BDF-F6935A42CE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7732928"/>
        <c:axId val="217724768"/>
      </c:lineChart>
      <c:catAx>
        <c:axId val="2177329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Days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7724768"/>
        <c:crosses val="autoZero"/>
        <c:auto val="1"/>
        <c:lblAlgn val="ctr"/>
        <c:lblOffset val="100"/>
        <c:noMultiLvlLbl val="0"/>
      </c:catAx>
      <c:valAx>
        <c:axId val="21772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Infected Population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7732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Recovered (2 Neurons)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'SIR_with 2 Neurons'!$N$1</c:f>
              <c:strCache>
                <c:ptCount val="1"/>
                <c:pt idx="0">
                  <c:v>(R1+R2)_ pred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'SIR_with 2 Neurons'!$N$2:$N$61</c:f>
              <c:numCache>
                <c:formatCode>General</c:formatCode>
                <c:ptCount val="60"/>
                <c:pt idx="0">
                  <c:v>-7.2845646407314391E-2</c:v>
                </c:pt>
                <c:pt idx="1">
                  <c:v>-7.235841873247395E-2</c:v>
                </c:pt>
                <c:pt idx="2">
                  <c:v>-7.1642962130842536E-2</c:v>
                </c:pt>
                <c:pt idx="3">
                  <c:v>-7.0592364549533437E-2</c:v>
                </c:pt>
                <c:pt idx="4">
                  <c:v>-6.9050635804051241E-2</c:v>
                </c:pt>
                <c:pt idx="5">
                  <c:v>-6.6791649073631554E-2</c:v>
                </c:pt>
                <c:pt idx="6">
                  <c:v>-6.3490849080469758E-2</c:v>
                </c:pt>
                <c:pt idx="7">
                  <c:v>-5.8689403375861815E-2</c:v>
                </c:pt>
                <c:pt idx="8">
                  <c:v>-5.1753403649025476E-2</c:v>
                </c:pt>
                <c:pt idx="9">
                  <c:v>-4.1837369480479225E-2</c:v>
                </c:pt>
                <c:pt idx="10">
                  <c:v>-2.7873788001664845E-2</c:v>
                </c:pt>
                <c:pt idx="11">
                  <c:v>-8.629026169817422E-3</c:v>
                </c:pt>
                <c:pt idx="12">
                  <c:v>1.7116902075178686E-2</c:v>
                </c:pt>
                <c:pt idx="13">
                  <c:v>5.0218375446110297E-2</c:v>
                </c:pt>
                <c:pt idx="14">
                  <c:v>9.0668775962887249E-2</c:v>
                </c:pt>
                <c:pt idx="15">
                  <c:v>0.13715130833596101</c:v>
                </c:pt>
                <c:pt idx="16">
                  <c:v>0.18696993094653358</c:v>
                </c:pt>
                <c:pt idx="17">
                  <c:v>0.23660111600028921</c:v>
                </c:pt>
                <c:pt idx="18">
                  <c:v>0.28270060919294515</c:v>
                </c:pt>
                <c:pt idx="19">
                  <c:v>0.32302081912023883</c:v>
                </c:pt>
                <c:pt idx="20">
                  <c:v>0.35677298650013123</c:v>
                </c:pt>
                <c:pt idx="21">
                  <c:v>0.38440977558081357</c:v>
                </c:pt>
                <c:pt idx="22">
                  <c:v>0.40713256700470035</c:v>
                </c:pt>
                <c:pt idx="23">
                  <c:v>0.4264270667238601</c:v>
                </c:pt>
                <c:pt idx="24">
                  <c:v>0.44376094145877198</c:v>
                </c:pt>
                <c:pt idx="25">
                  <c:v>0.46043732780555269</c:v>
                </c:pt>
                <c:pt idx="26">
                  <c:v>0.47754523562236351</c:v>
                </c:pt>
                <c:pt idx="27">
                  <c:v>0.49595072356432612</c:v>
                </c:pt>
                <c:pt idx="28">
                  <c:v>0.5162933918337369</c:v>
                </c:pt>
                <c:pt idx="29">
                  <c:v>0.53897297879104156</c:v>
                </c:pt>
                <c:pt idx="30">
                  <c:v>0.56412641339163416</c:v>
                </c:pt>
                <c:pt idx="31">
                  <c:v>0.59160670929978365</c:v>
                </c:pt>
                <c:pt idx="32">
                  <c:v>0.62098104018929057</c:v>
                </c:pt>
                <c:pt idx="33">
                  <c:v>0.6515642365237051</c:v>
                </c:pt>
                <c:pt idx="34">
                  <c:v>0.68249455445236085</c:v>
                </c:pt>
                <c:pt idx="35">
                  <c:v>0.71284332267421568</c:v>
                </c:pt>
                <c:pt idx="36">
                  <c:v>0.74173576710645484</c:v>
                </c:pt>
                <c:pt idx="37">
                  <c:v>0.76845466851330868</c:v>
                </c:pt>
                <c:pt idx="38">
                  <c:v>0.79250473796508758</c:v>
                </c:pt>
                <c:pt idx="39">
                  <c:v>0.81362991742269752</c:v>
                </c:pt>
                <c:pt idx="40">
                  <c:v>0.83179043027514377</c:v>
                </c:pt>
                <c:pt idx="41">
                  <c:v>0.84711503366780194</c:v>
                </c:pt>
                <c:pt idx="42">
                  <c:v>0.85984500082869753</c:v>
                </c:pt>
                <c:pt idx="43">
                  <c:v>0.87028225608386944</c:v>
                </c:pt>
                <c:pt idx="44">
                  <c:v>0.87874832044933915</c:v>
                </c:pt>
                <c:pt idx="45">
                  <c:v>0.88555583938212523</c:v>
                </c:pt>
                <c:pt idx="46">
                  <c:v>0.89099143335113484</c:v>
                </c:pt>
                <c:pt idx="47">
                  <c:v>0.89530730425120408</c:v>
                </c:pt>
                <c:pt idx="48">
                  <c:v>0.89871887078626411</c:v>
                </c:pt>
                <c:pt idx="49">
                  <c:v>0.90140612092418149</c:v>
                </c:pt>
                <c:pt idx="50">
                  <c:v>0.90351696338831777</c:v>
                </c:pt>
                <c:pt idx="51">
                  <c:v>0.90517142075057344</c:v>
                </c:pt>
                <c:pt idx="52">
                  <c:v>0.90646595099753591</c:v>
                </c:pt>
                <c:pt idx="53">
                  <c:v>0.90747750089686652</c:v>
                </c:pt>
                <c:pt idx="54">
                  <c:v>0.90826710249245091</c:v>
                </c:pt>
                <c:pt idx="55">
                  <c:v>0.90888295120889673</c:v>
                </c:pt>
                <c:pt idx="56">
                  <c:v>0.90936297577023284</c:v>
                </c:pt>
                <c:pt idx="57">
                  <c:v>0.90973694624276624</c:v>
                </c:pt>
                <c:pt idx="58">
                  <c:v>0.91002818103956651</c:v>
                </c:pt>
                <c:pt idx="59">
                  <c:v>0.91025491600080977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22-45F1-98FD-ED63B4AF210B}"/>
            </c:ext>
          </c:extLst>
        </c:ser>
        <c:ser>
          <c:idx val="1"/>
          <c:order val="1"/>
          <c:tx>
            <c:strRef>
              <c:f>'SIR_with 2 Neurons'!$Q$1</c:f>
              <c:strCache>
                <c:ptCount val="1"/>
                <c:pt idx="0">
                  <c:v>R data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'SIR_with 2 Neurons'!$Q$2:$Q$61</c:f>
              <c:numCache>
                <c:formatCode>General</c:formatCode>
                <c:ptCount val="60"/>
                <c:pt idx="0">
                  <c:v>1.29646532345248E-3</c:v>
                </c:pt>
                <c:pt idx="1">
                  <c:v>2.6945909567850398E-3</c:v>
                </c:pt>
                <c:pt idx="2">
                  <c:v>-4.7185297244242705E-3</c:v>
                </c:pt>
                <c:pt idx="3">
                  <c:v>2.4789689316632598E-3</c:v>
                </c:pt>
                <c:pt idx="4">
                  <c:v>3.86363487767975E-3</c:v>
                </c:pt>
                <c:pt idx="5">
                  <c:v>-4.6798608314981898E-3</c:v>
                </c:pt>
                <c:pt idx="6">
                  <c:v>3.0346095032803499E-3</c:v>
                </c:pt>
                <c:pt idx="7">
                  <c:v>7.4668309922445502E-3</c:v>
                </c:pt>
                <c:pt idx="8">
                  <c:v>9.1761695406187595E-3</c:v>
                </c:pt>
                <c:pt idx="9">
                  <c:v>7.5225339506602403E-3</c:v>
                </c:pt>
                <c:pt idx="10">
                  <c:v>3.2927993138720797E-3</c:v>
                </c:pt>
                <c:pt idx="11">
                  <c:v>1.96514990734073E-2</c:v>
                </c:pt>
                <c:pt idx="12">
                  <c:v>2.4532806481925299E-2</c:v>
                </c:pt>
                <c:pt idx="13">
                  <c:v>3.84479753657469E-2</c:v>
                </c:pt>
                <c:pt idx="14">
                  <c:v>6.3388110834698502E-2</c:v>
                </c:pt>
                <c:pt idx="15">
                  <c:v>7.3720662375898097E-2</c:v>
                </c:pt>
                <c:pt idx="16">
                  <c:v>9.9755417736937704E-2</c:v>
                </c:pt>
                <c:pt idx="17">
                  <c:v>0.13353312106332502</c:v>
                </c:pt>
                <c:pt idx="18">
                  <c:v>0.171732007304878</c:v>
                </c:pt>
                <c:pt idx="19">
                  <c:v>0.208737490794312</c:v>
                </c:pt>
                <c:pt idx="20">
                  <c:v>0.245867937524964</c:v>
                </c:pt>
                <c:pt idx="21">
                  <c:v>0.28965693379235602</c:v>
                </c:pt>
                <c:pt idx="22">
                  <c:v>0.33141838551950203</c:v>
                </c:pt>
                <c:pt idx="23">
                  <c:v>0.37486334043008496</c:v>
                </c:pt>
                <c:pt idx="24">
                  <c:v>0.41205954274061996</c:v>
                </c:pt>
                <c:pt idx="25">
                  <c:v>0.44388223355148898</c:v>
                </c:pt>
                <c:pt idx="26">
                  <c:v>0.487722954635535</c:v>
                </c:pt>
                <c:pt idx="27">
                  <c:v>0.51359201939365806</c:v>
                </c:pt>
                <c:pt idx="28">
                  <c:v>0.547713142498501</c:v>
                </c:pt>
                <c:pt idx="29">
                  <c:v>0.57331041777418701</c:v>
                </c:pt>
                <c:pt idx="30">
                  <c:v>0.602138744531867</c:v>
                </c:pt>
                <c:pt idx="31">
                  <c:v>0.624921752972462</c:v>
                </c:pt>
                <c:pt idx="32">
                  <c:v>0.65513191440359508</c:v>
                </c:pt>
                <c:pt idx="33">
                  <c:v>0.68166378325101906</c:v>
                </c:pt>
                <c:pt idx="34">
                  <c:v>0.69814062804294097</c:v>
                </c:pt>
                <c:pt idx="35">
                  <c:v>0.71941411557586699</c:v>
                </c:pt>
                <c:pt idx="36">
                  <c:v>0.73983758563310398</c:v>
                </c:pt>
                <c:pt idx="37">
                  <c:v>0.75684413386429605</c:v>
                </c:pt>
                <c:pt idx="38">
                  <c:v>0.7750441208199299</c:v>
                </c:pt>
                <c:pt idx="39">
                  <c:v>0.78395269848070492</c:v>
                </c:pt>
                <c:pt idx="40">
                  <c:v>0.80233719563429595</c:v>
                </c:pt>
                <c:pt idx="41">
                  <c:v>0.81844367482675706</c:v>
                </c:pt>
                <c:pt idx="42">
                  <c:v>0.83017491401183396</c:v>
                </c:pt>
                <c:pt idx="43">
                  <c:v>0.83969352077445703</c:v>
                </c:pt>
                <c:pt idx="44">
                  <c:v>0.84673055231667504</c:v>
                </c:pt>
                <c:pt idx="45">
                  <c:v>0.86534225693530897</c:v>
                </c:pt>
                <c:pt idx="46">
                  <c:v>0.87833605384871605</c:v>
                </c:pt>
                <c:pt idx="47">
                  <c:v>0.87802773465304806</c:v>
                </c:pt>
                <c:pt idx="48">
                  <c:v>0.88908099354612202</c:v>
                </c:pt>
                <c:pt idx="49">
                  <c:v>0.89472708248588406</c:v>
                </c:pt>
                <c:pt idx="50">
                  <c:v>0.90450311421663898</c:v>
                </c:pt>
                <c:pt idx="51">
                  <c:v>0.90922037148508505</c:v>
                </c:pt>
                <c:pt idx="52">
                  <c:v>0.906309636239233</c:v>
                </c:pt>
                <c:pt idx="53">
                  <c:v>0.92630169320256595</c:v>
                </c:pt>
                <c:pt idx="54">
                  <c:v>0.92736038017037692</c:v>
                </c:pt>
                <c:pt idx="55">
                  <c:v>0.93389441761834491</c:v>
                </c:pt>
                <c:pt idx="56">
                  <c:v>0.94275156262420401</c:v>
                </c:pt>
                <c:pt idx="57">
                  <c:v>0.93680268831874902</c:v>
                </c:pt>
                <c:pt idx="58">
                  <c:v>0.94398061818187207</c:v>
                </c:pt>
                <c:pt idx="59">
                  <c:v>0.94100736181572697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22-45F1-98FD-ED63B4AF21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7716128"/>
        <c:axId val="217726688"/>
      </c:lineChart>
      <c:catAx>
        <c:axId val="2177161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Days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7726688"/>
        <c:crosses val="autoZero"/>
        <c:auto val="1"/>
        <c:lblAlgn val="ctr"/>
        <c:lblOffset val="100"/>
        <c:noMultiLvlLbl val="0"/>
      </c:catAx>
      <c:valAx>
        <c:axId val="217726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Recovered  Population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7716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Susceptible (3 Neurons)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'SIR_with 3 Neurons'!$Q$1</c:f>
              <c:strCache>
                <c:ptCount val="1"/>
                <c:pt idx="0">
                  <c:v>S Pred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'SIR_with 3 Neurons'!$Q$2:$Q$61</c:f>
              <c:numCache>
                <c:formatCode>General</c:formatCode>
                <c:ptCount val="60"/>
                <c:pt idx="0">
                  <c:v>1.055353745296796</c:v>
                </c:pt>
                <c:pt idx="1">
                  <c:v>1.049903679099307</c:v>
                </c:pt>
                <c:pt idx="2">
                  <c:v>1.0423379676534288</c:v>
                </c:pt>
                <c:pt idx="3">
                  <c:v>1.0326234035489805</c:v>
                </c:pt>
                <c:pt idx="4">
                  <c:v>1.0202754284761166</c:v>
                </c:pt>
                <c:pt idx="5">
                  <c:v>1.0047425325265893</c:v>
                </c:pt>
                <c:pt idx="6">
                  <c:v>0.98541689147519751</c:v>
                </c:pt>
                <c:pt idx="7">
                  <c:v>0.96165606468083942</c:v>
                </c:pt>
                <c:pt idx="8">
                  <c:v>0.93281944425011121</c:v>
                </c:pt>
                <c:pt idx="9">
                  <c:v>0.8983219947430805</c:v>
                </c:pt>
                <c:pt idx="10">
                  <c:v>0.85770563362018093</c:v>
                </c:pt>
                <c:pt idx="11">
                  <c:v>0.810724731150684</c:v>
                </c:pt>
                <c:pt idx="12">
                  <c:v>0.75743677626637562</c:v>
                </c:pt>
                <c:pt idx="13">
                  <c:v>0.69828321505016344</c:v>
                </c:pt>
                <c:pt idx="14">
                  <c:v>0.63414080760724634</c:v>
                </c:pt>
                <c:pt idx="15">
                  <c:v>0.56632327561680174</c:v>
                </c:pt>
                <c:pt idx="16">
                  <c:v>0.49651889308758657</c:v>
                </c:pt>
                <c:pt idx="17">
                  <c:v>0.42666242846883895</c:v>
                </c:pt>
                <c:pt idx="18">
                  <c:v>0.35875669886641548</c:v>
                </c:pt>
                <c:pt idx="19">
                  <c:v>0.2946742468721939</c:v>
                </c:pt>
                <c:pt idx="20">
                  <c:v>0.23597699755123847</c:v>
                </c:pt>
                <c:pt idx="21">
                  <c:v>0.183787641238641</c:v>
                </c:pt>
                <c:pt idx="22">
                  <c:v>0.13873229450171687</c:v>
                </c:pt>
                <c:pt idx="23">
                  <c:v>0.10095540488200783</c:v>
                </c:pt>
                <c:pt idx="24">
                  <c:v>7.0191805824572739E-2</c:v>
                </c:pt>
                <c:pt idx="25">
                  <c:v>4.5872045027241626E-2</c:v>
                </c:pt>
                <c:pt idx="26">
                  <c:v>2.7236538556800305E-2</c:v>
                </c:pt>
                <c:pt idx="27">
                  <c:v>1.3439515659250389E-2</c:v>
                </c:pt>
                <c:pt idx="28">
                  <c:v>3.6316304850894099E-3</c:v>
                </c:pt>
                <c:pt idx="29">
                  <c:v>-2.9824511300189371E-3</c:v>
                </c:pt>
                <c:pt idx="30">
                  <c:v>-7.1098625323120501E-3</c:v>
                </c:pt>
                <c:pt idx="31">
                  <c:v>-9.3542517434048733E-3</c:v>
                </c:pt>
                <c:pt idx="32">
                  <c:v>-1.0214040541148606E-2</c:v>
                </c:pt>
                <c:pt idx="33">
                  <c:v>-1.0089264426504485E-2</c:v>
                </c:pt>
                <c:pt idx="34">
                  <c:v>-9.2930278680691814E-3</c:v>
                </c:pt>
                <c:pt idx="35">
                  <c:v>-8.0647401758344728E-3</c:v>
                </c:pt>
                <c:pt idx="36">
                  <c:v>-6.583305585519561E-3</c:v>
                </c:pt>
                <c:pt idx="37">
                  <c:v>-4.9792252521276836E-3</c:v>
                </c:pt>
                <c:pt idx="38">
                  <c:v>-3.3451204875687424E-3</c:v>
                </c:pt>
                <c:pt idx="39">
                  <c:v>-1.7445414423162831E-3</c:v>
                </c:pt>
                <c:pt idx="40">
                  <c:v>-2.1913242674997946E-4</c:v>
                </c:pt>
                <c:pt idx="41">
                  <c:v>1.205669740074633E-3</c:v>
                </c:pt>
                <c:pt idx="42">
                  <c:v>2.5161876603432276E-3</c:v>
                </c:pt>
                <c:pt idx="43">
                  <c:v>3.7070866743604824E-3</c:v>
                </c:pt>
                <c:pt idx="44">
                  <c:v>4.778788562630254E-3</c:v>
                </c:pt>
                <c:pt idx="45">
                  <c:v>5.7355412611856949E-3</c:v>
                </c:pt>
                <c:pt idx="46">
                  <c:v>6.5839989215357164E-3</c:v>
                </c:pt>
                <c:pt idx="47">
                  <c:v>7.3321938408286158E-3</c:v>
                </c:pt>
                <c:pt idx="48">
                  <c:v>7.9888058085968439E-3</c:v>
                </c:pt>
                <c:pt idx="49">
                  <c:v>8.5626547226569372E-3</c:v>
                </c:pt>
                <c:pt idx="50">
                  <c:v>9.0623589879790245E-3</c:v>
                </c:pt>
                <c:pt idx="51">
                  <c:v>9.4961155930581853E-3</c:v>
                </c:pt>
                <c:pt idx="52">
                  <c:v>9.8715683335290905E-3</c:v>
                </c:pt>
                <c:pt idx="53">
                  <c:v>1.0195738907849972E-2</c:v>
                </c:pt>
                <c:pt idx="54">
                  <c:v>1.0475001990178257E-2</c:v>
                </c:pt>
                <c:pt idx="55">
                  <c:v>1.0715090276349315E-2</c:v>
                </c:pt>
                <c:pt idx="56">
                  <c:v>1.0921119221285025E-2</c:v>
                </c:pt>
                <c:pt idx="57">
                  <c:v>1.1097624000774964E-2</c:v>
                </c:pt>
                <c:pt idx="58">
                  <c:v>1.1248603345557662E-2</c:v>
                </c:pt>
                <c:pt idx="59">
                  <c:v>1.1377566474685352E-2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FB-4E5B-936C-99048360EDF6}"/>
            </c:ext>
          </c:extLst>
        </c:ser>
        <c:ser>
          <c:idx val="1"/>
          <c:order val="1"/>
          <c:tx>
            <c:strRef>
              <c:f>'SIR_with 3 Neurons'!$T$1</c:f>
              <c:strCache>
                <c:ptCount val="1"/>
                <c:pt idx="0">
                  <c:v>S Real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'SIR_with 3 Neurons'!$T$2:$T$61</c:f>
              <c:numCache>
                <c:formatCode>General</c:formatCode>
                <c:ptCount val="60"/>
                <c:pt idx="0">
                  <c:v>0.99916902781949102</c:v>
                </c:pt>
                <c:pt idx="1">
                  <c:v>0.98960193539692398</c:v>
                </c:pt>
                <c:pt idx="2">
                  <c:v>1.0027006748148801</c:v>
                </c:pt>
                <c:pt idx="3">
                  <c:v>0.99110329365628103</c:v>
                </c:pt>
                <c:pt idx="4">
                  <c:v>0.99855053119660397</c:v>
                </c:pt>
                <c:pt idx="5">
                  <c:v>0.99334815329542803</c:v>
                </c:pt>
                <c:pt idx="6">
                  <c:v>0.98283073740154103</c:v>
                </c:pt>
                <c:pt idx="7">
                  <c:v>0.97539398785926001</c:v>
                </c:pt>
                <c:pt idx="8">
                  <c:v>0.96249140793574095</c:v>
                </c:pt>
                <c:pt idx="9">
                  <c:v>0.94450237023887595</c:v>
                </c:pt>
                <c:pt idx="10">
                  <c:v>0.91819898168117797</c:v>
                </c:pt>
                <c:pt idx="11">
                  <c:v>0.89021613947898592</c:v>
                </c:pt>
                <c:pt idx="12">
                  <c:v>0.83105634839519704</c:v>
                </c:pt>
                <c:pt idx="13">
                  <c:v>0.77338802087821101</c:v>
                </c:pt>
                <c:pt idx="14">
                  <c:v>0.68790871012265198</c:v>
                </c:pt>
                <c:pt idx="15">
                  <c:v>0.59497831839092707</c:v>
                </c:pt>
                <c:pt idx="16">
                  <c:v>0.48898600704502004</c:v>
                </c:pt>
                <c:pt idx="17">
                  <c:v>0.39651123517081099</c:v>
                </c:pt>
                <c:pt idx="18">
                  <c:v>0.31251275507811599</c:v>
                </c:pt>
                <c:pt idx="19">
                  <c:v>0.23552071001902899</c:v>
                </c:pt>
                <c:pt idx="20">
                  <c:v>0.188024971201353</c:v>
                </c:pt>
                <c:pt idx="21">
                  <c:v>0.137907399961987</c:v>
                </c:pt>
                <c:pt idx="22">
                  <c:v>9.9076317792327895E-2</c:v>
                </c:pt>
                <c:pt idx="23">
                  <c:v>7.6771548896384309E-2</c:v>
                </c:pt>
                <c:pt idx="24">
                  <c:v>5.50331848909218E-2</c:v>
                </c:pt>
                <c:pt idx="25">
                  <c:v>4.1882891498532304E-2</c:v>
                </c:pt>
                <c:pt idx="26">
                  <c:v>2.6899076645389701E-2</c:v>
                </c:pt>
                <c:pt idx="27">
                  <c:v>2.8643066551244298E-2</c:v>
                </c:pt>
                <c:pt idx="28">
                  <c:v>1.8585382566350301E-2</c:v>
                </c:pt>
                <c:pt idx="29">
                  <c:v>1.6441050975567299E-2</c:v>
                </c:pt>
                <c:pt idx="30">
                  <c:v>1.6927265894710001E-2</c:v>
                </c:pt>
                <c:pt idx="31">
                  <c:v>5.5360201456173194E-3</c:v>
                </c:pt>
                <c:pt idx="32">
                  <c:v>5.5516744239331806E-3</c:v>
                </c:pt>
                <c:pt idx="33">
                  <c:v>1.2931474477337201E-2</c:v>
                </c:pt>
                <c:pt idx="34">
                  <c:v>8.6066661943624695E-3</c:v>
                </c:pt>
                <c:pt idx="35">
                  <c:v>7.3575980325581393E-3</c:v>
                </c:pt>
                <c:pt idx="36">
                  <c:v>2.8505374714209897E-3</c:v>
                </c:pt>
                <c:pt idx="37">
                  <c:v>-2.1838521820841201E-4</c:v>
                </c:pt>
                <c:pt idx="38">
                  <c:v>8.2348707294253292E-3</c:v>
                </c:pt>
                <c:pt idx="39">
                  <c:v>3.9663387236011597E-3</c:v>
                </c:pt>
                <c:pt idx="40">
                  <c:v>7.9785242352294391E-3</c:v>
                </c:pt>
                <c:pt idx="41">
                  <c:v>3.1396670372780401E-3</c:v>
                </c:pt>
                <c:pt idx="42">
                  <c:v>2.6118371468564702E-3</c:v>
                </c:pt>
                <c:pt idx="43">
                  <c:v>2.39128185473625E-3</c:v>
                </c:pt>
                <c:pt idx="44">
                  <c:v>1.2757458204968699E-3</c:v>
                </c:pt>
                <c:pt idx="45">
                  <c:v>3.5362804167817599E-3</c:v>
                </c:pt>
                <c:pt idx="46">
                  <c:v>-3.1346344649783998E-3</c:v>
                </c:pt>
                <c:pt idx="47">
                  <c:v>9.0828857896239103E-3</c:v>
                </c:pt>
                <c:pt idx="48">
                  <c:v>1.0538230552720001E-2</c:v>
                </c:pt>
                <c:pt idx="49">
                  <c:v>2.5859344138377399E-3</c:v>
                </c:pt>
                <c:pt idx="50">
                  <c:v>2.0336631835871899E-3</c:v>
                </c:pt>
                <c:pt idx="51">
                  <c:v>2.2949557971681501E-3</c:v>
                </c:pt>
                <c:pt idx="52">
                  <c:v>2.3936274802814103E-3</c:v>
                </c:pt>
                <c:pt idx="53">
                  <c:v>2.3043154567460099E-3</c:v>
                </c:pt>
                <c:pt idx="54">
                  <c:v>3.0385585864702198E-3</c:v>
                </c:pt>
                <c:pt idx="55">
                  <c:v>7.9515125832206497E-3</c:v>
                </c:pt>
                <c:pt idx="56">
                  <c:v>-1.1013052498209E-4</c:v>
                </c:pt>
                <c:pt idx="57">
                  <c:v>5.6947636442931599E-3</c:v>
                </c:pt>
                <c:pt idx="58">
                  <c:v>-2.2807198247528698E-3</c:v>
                </c:pt>
                <c:pt idx="59">
                  <c:v>-1.0788247514761E-4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FB-4E5B-936C-99048360ED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3575024"/>
        <c:axId val="1243578384"/>
      </c:lineChart>
      <c:catAx>
        <c:axId val="12435750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Days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3578384"/>
        <c:crosses val="autoZero"/>
        <c:auto val="1"/>
        <c:lblAlgn val="ctr"/>
        <c:lblOffset val="100"/>
        <c:noMultiLvlLbl val="0"/>
      </c:catAx>
      <c:valAx>
        <c:axId val="124357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Susceptible Population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3575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Infected (3 Neurons)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'SIR_with 3 Neurons'!$R$1</c:f>
              <c:strCache>
                <c:ptCount val="1"/>
                <c:pt idx="0">
                  <c:v>I Pred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'SIR_with 3 Neurons'!$R$2:$R$61</c:f>
              <c:numCache>
                <c:formatCode>General</c:formatCode>
                <c:ptCount val="60"/>
                <c:pt idx="0">
                  <c:v>4.8729136503204984E-3</c:v>
                </c:pt>
                <c:pt idx="1">
                  <c:v>1.6692996635825352E-4</c:v>
                </c:pt>
                <c:pt idx="2">
                  <c:v>-2.8655483701527373E-3</c:v>
                </c:pt>
                <c:pt idx="3">
                  <c:v>-4.5133450773899852E-3</c:v>
                </c:pt>
                <c:pt idx="4">
                  <c:v>-4.1747001360938896E-3</c:v>
                </c:pt>
                <c:pt idx="5">
                  <c:v>-1.1278683536879441E-3</c:v>
                </c:pt>
                <c:pt idx="6">
                  <c:v>5.4578563726357388E-3</c:v>
                </c:pt>
                <c:pt idx="7">
                  <c:v>1.6492115155690712E-2</c:v>
                </c:pt>
                <c:pt idx="8">
                  <c:v>3.2906959904501321E-2</c:v>
                </c:pt>
                <c:pt idx="9">
                  <c:v>5.556834441242664E-2</c:v>
                </c:pt>
                <c:pt idx="10">
                  <c:v>8.515426622182698E-2</c:v>
                </c:pt>
                <c:pt idx="11">
                  <c:v>0.12200581665978216</c:v>
                </c:pt>
                <c:pt idx="12">
                  <c:v>0.16596832020280061</c:v>
                </c:pt>
                <c:pt idx="13">
                  <c:v>0.21625197821149289</c:v>
                </c:pt>
                <c:pt idx="14">
                  <c:v>0.27135073521600028</c:v>
                </c:pt>
                <c:pt idx="15">
                  <c:v>0.32905866117826732</c:v>
                </c:pt>
                <c:pt idx="16">
                  <c:v>0.38661002284647394</c:v>
                </c:pt>
                <c:pt idx="17">
                  <c:v>0.44094182829421991</c:v>
                </c:pt>
                <c:pt idx="18">
                  <c:v>0.48904249096345342</c:v>
                </c:pt>
                <c:pt idx="19">
                  <c:v>0.52832011809775592</c:v>
                </c:pt>
                <c:pt idx="20">
                  <c:v>0.55691227949613165</c:v>
                </c:pt>
                <c:pt idx="21">
                  <c:v>0.57387266083328026</c:v>
                </c:pt>
                <c:pt idx="22">
                  <c:v>0.57920414459359382</c:v>
                </c:pt>
                <c:pt idx="23">
                  <c:v>0.57374879517554156</c:v>
                </c:pt>
                <c:pt idx="24">
                  <c:v>0.55897748259282132</c:v>
                </c:pt>
                <c:pt idx="25">
                  <c:v>0.53673600292183643</c:v>
                </c:pt>
                <c:pt idx="26">
                  <c:v>0.50900020310028715</c:v>
                </c:pt>
                <c:pt idx="27">
                  <c:v>0.47767631545116807</c:v>
                </c:pt>
                <c:pt idx="28">
                  <c:v>0.44446300774307801</c:v>
                </c:pt>
                <c:pt idx="29">
                  <c:v>0.41077512306668496</c:v>
                </c:pt>
                <c:pt idx="30">
                  <c:v>0.37771871957883008</c:v>
                </c:pt>
                <c:pt idx="31">
                  <c:v>0.34610277835244219</c:v>
                </c:pt>
                <c:pt idx="32">
                  <c:v>0.31647314936328641</c:v>
                </c:pt>
                <c:pt idx="33">
                  <c:v>0.28915692587656672</c:v>
                </c:pt>
                <c:pt idx="34">
                  <c:v>0.26430884670891786</c:v>
                </c:pt>
                <c:pt idx="35">
                  <c:v>0.24195451853237415</c:v>
                </c:pt>
                <c:pt idx="36">
                  <c:v>0.22202776912746813</c:v>
                </c:pt>
                <c:pt idx="37">
                  <c:v>0.20440119451950345</c:v>
                </c:pt>
                <c:pt idx="38">
                  <c:v>0.18891004546447121</c:v>
                </c:pt>
                <c:pt idx="39">
                  <c:v>0.1753701766011293</c:v>
                </c:pt>
                <c:pt idx="40">
                  <c:v>0.16359101849683988</c:v>
                </c:pt>
                <c:pt idx="41">
                  <c:v>0.15338456188413474</c:v>
                </c:pt>
                <c:pt idx="42">
                  <c:v>0.14457126043358848</c:v>
                </c:pt>
                <c:pt idx="43">
                  <c:v>0.13698362623840765</c:v>
                </c:pt>
                <c:pt idx="44">
                  <c:v>0.13046814844374666</c:v>
                </c:pt>
                <c:pt idx="45">
                  <c:v>0.12488603041754409</c:v>
                </c:pt>
                <c:pt idx="46">
                  <c:v>0.12011312374778171</c:v>
                </c:pt>
                <c:pt idx="47">
                  <c:v>0.11603934086046053</c:v>
                </c:pt>
                <c:pt idx="48">
                  <c:v>0.11256775138594222</c:v>
                </c:pt>
                <c:pt idx="49">
                  <c:v>0.10961350814598347</c:v>
                </c:pt>
                <c:pt idx="50">
                  <c:v>0.10710270385055409</c:v>
                </c:pt>
                <c:pt idx="51">
                  <c:v>0.10497122639667822</c:v>
                </c:pt>
                <c:pt idx="52">
                  <c:v>0.10316365649122083</c:v>
                </c:pt>
                <c:pt idx="53">
                  <c:v>0.10163223403220911</c:v>
                </c:pt>
                <c:pt idx="54">
                  <c:v>0.10033590755505095</c:v>
                </c:pt>
                <c:pt idx="55">
                  <c:v>9.923947272995548E-2</c:v>
                </c:pt>
                <c:pt idx="56">
                  <c:v>9.8312800349393825E-2</c:v>
                </c:pt>
                <c:pt idx="57">
                  <c:v>9.7530150687669348E-2</c:v>
                </c:pt>
                <c:pt idx="58">
                  <c:v>9.6869568966875264E-2</c:v>
                </c:pt>
                <c:pt idx="59">
                  <c:v>9.6312355496433355E-2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FB-4709-8C13-F8D73F854ABF}"/>
            </c:ext>
          </c:extLst>
        </c:ser>
        <c:ser>
          <c:idx val="1"/>
          <c:order val="1"/>
          <c:tx>
            <c:strRef>
              <c:f>'SIR_with 3 Neurons'!$U$1</c:f>
              <c:strCache>
                <c:ptCount val="1"/>
                <c:pt idx="0">
                  <c:v>I Real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'SIR_with 3 Neurons'!$U$2:$U$61</c:f>
              <c:numCache>
                <c:formatCode>General</c:formatCode>
                <c:ptCount val="60"/>
                <c:pt idx="0">
                  <c:v>-5.1644142064485399E-4</c:v>
                </c:pt>
                <c:pt idx="1">
                  <c:v>2.1639113228485896E-3</c:v>
                </c:pt>
                <c:pt idx="2">
                  <c:v>3.31005964809079E-3</c:v>
                </c:pt>
                <c:pt idx="3">
                  <c:v>1.5165637719900501E-3</c:v>
                </c:pt>
                <c:pt idx="4">
                  <c:v>2.0051112150917699E-3</c:v>
                </c:pt>
                <c:pt idx="5">
                  <c:v>5.7859344004262394E-3</c:v>
                </c:pt>
                <c:pt idx="6">
                  <c:v>1.2651330839959601E-2</c:v>
                </c:pt>
                <c:pt idx="7">
                  <c:v>2.03539996715329E-2</c:v>
                </c:pt>
                <c:pt idx="8">
                  <c:v>3.3533967396357001E-2</c:v>
                </c:pt>
                <c:pt idx="9">
                  <c:v>4.7496166004264602E-2</c:v>
                </c:pt>
                <c:pt idx="10">
                  <c:v>6.7597221336325009E-2</c:v>
                </c:pt>
                <c:pt idx="11">
                  <c:v>9.5969397639399309E-2</c:v>
                </c:pt>
                <c:pt idx="12">
                  <c:v>0.139820372745182</c:v>
                </c:pt>
                <c:pt idx="13">
                  <c:v>0.19576330278256401</c:v>
                </c:pt>
                <c:pt idx="14">
                  <c:v>0.25894601239861498</c:v>
                </c:pt>
                <c:pt idx="15">
                  <c:v>0.33076845698165103</c:v>
                </c:pt>
                <c:pt idx="16">
                  <c:v>0.40789980280525601</c:v>
                </c:pt>
                <c:pt idx="17">
                  <c:v>0.47372642816447597</c:v>
                </c:pt>
                <c:pt idx="18">
                  <c:v>0.52750319456345507</c:v>
                </c:pt>
                <c:pt idx="19">
                  <c:v>0.55793614971574401</c:v>
                </c:pt>
                <c:pt idx="20">
                  <c:v>0.5772776209197521</c:v>
                </c:pt>
                <c:pt idx="21">
                  <c:v>0.57947852857229998</c:v>
                </c:pt>
                <c:pt idx="22">
                  <c:v>0.57261055388682602</c:v>
                </c:pt>
                <c:pt idx="23">
                  <c:v>0.554625055849157</c:v>
                </c:pt>
                <c:pt idx="24">
                  <c:v>0.53385373128166391</c:v>
                </c:pt>
                <c:pt idx="25">
                  <c:v>0.51004856673586696</c:v>
                </c:pt>
                <c:pt idx="26">
                  <c:v>0.48054748715594703</c:v>
                </c:pt>
                <c:pt idx="27">
                  <c:v>0.45621581041098197</c:v>
                </c:pt>
                <c:pt idx="28">
                  <c:v>0.43462182741029998</c:v>
                </c:pt>
                <c:pt idx="29">
                  <c:v>0.40770546813070097</c:v>
                </c:pt>
                <c:pt idx="30">
                  <c:v>0.38076372682378795</c:v>
                </c:pt>
                <c:pt idx="31">
                  <c:v>0.35516465630493699</c:v>
                </c:pt>
                <c:pt idx="32">
                  <c:v>0.33275256354035898</c:v>
                </c:pt>
                <c:pt idx="33">
                  <c:v>0.31162242112024097</c:v>
                </c:pt>
                <c:pt idx="34">
                  <c:v>0.29035002727487702</c:v>
                </c:pt>
                <c:pt idx="35">
                  <c:v>0.272509543831852</c:v>
                </c:pt>
                <c:pt idx="36">
                  <c:v>0.25622929206750999</c:v>
                </c:pt>
                <c:pt idx="37">
                  <c:v>0.23591031536785101</c:v>
                </c:pt>
                <c:pt idx="38">
                  <c:v>0.22078107592961702</c:v>
                </c:pt>
                <c:pt idx="39">
                  <c:v>0.204823212440885</c:v>
                </c:pt>
                <c:pt idx="40">
                  <c:v>0.19286137258476199</c:v>
                </c:pt>
                <c:pt idx="41">
                  <c:v>0.17630438116484701</c:v>
                </c:pt>
                <c:pt idx="42">
                  <c:v>0.16677826328596299</c:v>
                </c:pt>
                <c:pt idx="43">
                  <c:v>0.157909899247861</c:v>
                </c:pt>
                <c:pt idx="44">
                  <c:v>0.14923463373831</c:v>
                </c:pt>
                <c:pt idx="45">
                  <c:v>0.135577127775768</c:v>
                </c:pt>
                <c:pt idx="46">
                  <c:v>0.125187367886479</c:v>
                </c:pt>
                <c:pt idx="47">
                  <c:v>0.11564560923284699</c:v>
                </c:pt>
                <c:pt idx="48">
                  <c:v>0.111612530534534</c:v>
                </c:pt>
                <c:pt idx="49">
                  <c:v>0.10342211054485</c:v>
                </c:pt>
                <c:pt idx="50">
                  <c:v>9.4972241588527101E-2</c:v>
                </c:pt>
                <c:pt idx="51">
                  <c:v>8.7440881600336293E-2</c:v>
                </c:pt>
                <c:pt idx="52">
                  <c:v>8.3053244128702103E-2</c:v>
                </c:pt>
                <c:pt idx="53">
                  <c:v>7.8073186837302994E-2</c:v>
                </c:pt>
                <c:pt idx="54">
                  <c:v>7.1018266657233403E-2</c:v>
                </c:pt>
                <c:pt idx="55">
                  <c:v>6.6968684958737701E-2</c:v>
                </c:pt>
                <c:pt idx="56">
                  <c:v>6.18422691296922E-2</c:v>
                </c:pt>
                <c:pt idx="57">
                  <c:v>6.0470398956274998E-2</c:v>
                </c:pt>
                <c:pt idx="58">
                  <c:v>5.4975808919005206E-2</c:v>
                </c:pt>
                <c:pt idx="59">
                  <c:v>5.3596926243307502E-2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FB-4709-8C13-F8D73F854A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7732928"/>
        <c:axId val="217724768"/>
      </c:lineChart>
      <c:catAx>
        <c:axId val="2177329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Days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7724768"/>
        <c:crosses val="autoZero"/>
        <c:auto val="1"/>
        <c:lblAlgn val="ctr"/>
        <c:lblOffset val="100"/>
        <c:noMultiLvlLbl val="0"/>
      </c:catAx>
      <c:valAx>
        <c:axId val="21772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Infected Population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7732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Recovered</a:t>
            </a:r>
            <a:r>
              <a:rPr lang="en-US" baseline="0"/>
              <a:t> (3 Neurons)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'SIR_with 3 Neurons'!$S$1</c:f>
              <c:strCache>
                <c:ptCount val="1"/>
                <c:pt idx="0">
                  <c:v>R Pred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'SIR_with 3 Neurons'!$S$2:$S$61</c:f>
              <c:numCache>
                <c:formatCode>General</c:formatCode>
                <c:ptCount val="60"/>
                <c:pt idx="0">
                  <c:v>-5.7226901292854127E-2</c:v>
                </c:pt>
                <c:pt idx="1">
                  <c:v>-4.8167403784310725E-2</c:v>
                </c:pt>
                <c:pt idx="2">
                  <c:v>-3.7509063186687008E-2</c:v>
                </c:pt>
                <c:pt idx="3">
                  <c:v>-2.6102976967763869E-2</c:v>
                </c:pt>
                <c:pt idx="4">
                  <c:v>-1.4075703345939328E-2</c:v>
                </c:pt>
                <c:pt idx="5">
                  <c:v>-1.6076070614650106E-3</c:v>
                </c:pt>
                <c:pt idx="6">
                  <c:v>1.1066721629746645E-2</c:v>
                </c:pt>
                <c:pt idx="7">
                  <c:v>2.3667217887401115E-2</c:v>
                </c:pt>
                <c:pt idx="8">
                  <c:v>3.5889223232954848E-2</c:v>
                </c:pt>
                <c:pt idx="9">
                  <c:v>4.7439522935742495E-2</c:v>
                </c:pt>
                <c:pt idx="10">
                  <c:v>5.8088574614095112E-2</c:v>
                </c:pt>
                <c:pt idx="11">
                  <c:v>6.7736101756909139E-2</c:v>
                </c:pt>
                <c:pt idx="12">
                  <c:v>7.6481575572400207E-2</c:v>
                </c:pt>
                <c:pt idx="13">
                  <c:v>8.4684736584996756E-2</c:v>
                </c:pt>
                <c:pt idx="14">
                  <c:v>9.2996530051546289E-2</c:v>
                </c:pt>
                <c:pt idx="15">
                  <c:v>0.10234081965098385</c:v>
                </c:pt>
                <c:pt idx="16">
                  <c:v>0.11383467589452545</c:v>
                </c:pt>
                <c:pt idx="17">
                  <c:v>0.1286500688087493</c:v>
                </c:pt>
                <c:pt idx="18">
                  <c:v>0.14783859149682099</c:v>
                </c:pt>
                <c:pt idx="19">
                  <c:v>0.17215617046023812</c:v>
                </c:pt>
                <c:pt idx="20">
                  <c:v>0.20192918687819317</c:v>
                </c:pt>
                <c:pt idx="21">
                  <c:v>0.2369937947705365</c:v>
                </c:pt>
                <c:pt idx="22">
                  <c:v>0.27671977504719436</c:v>
                </c:pt>
                <c:pt idx="23">
                  <c:v>0.32010731940716752</c:v>
                </c:pt>
                <c:pt idx="24">
                  <c:v>0.36592847056687638</c:v>
                </c:pt>
                <c:pt idx="25">
                  <c:v>0.41287940277066415</c:v>
                </c:pt>
                <c:pt idx="26">
                  <c:v>0.4597147163333748</c:v>
                </c:pt>
                <c:pt idx="27">
                  <c:v>0.50534605161919544</c:v>
                </c:pt>
                <c:pt idx="28">
                  <c:v>0.54889940599394826</c:v>
                </c:pt>
                <c:pt idx="29">
                  <c:v>0.58973487865950069</c:v>
                </c:pt>
                <c:pt idx="30">
                  <c:v>0.62743776368013027</c:v>
                </c:pt>
                <c:pt idx="31">
                  <c:v>0.66179134783263116</c:v>
                </c:pt>
                <c:pt idx="32">
                  <c:v>0.69274069535042138</c:v>
                </c:pt>
                <c:pt idx="33">
                  <c:v>0.72035443995521042</c:v>
                </c:pt>
                <c:pt idx="34">
                  <c:v>0.74478914158803367</c:v>
                </c:pt>
                <c:pt idx="35">
                  <c:v>0.7662586562585183</c:v>
                </c:pt>
                <c:pt idx="36">
                  <c:v>0.78500941985298223</c:v>
                </c:pt>
                <c:pt idx="37">
                  <c:v>0.8013015532038974</c:v>
                </c:pt>
                <c:pt idx="38">
                  <c:v>0.81539514911780131</c:v>
                </c:pt>
                <c:pt idx="39">
                  <c:v>0.82754087080181904</c:v>
                </c:pt>
                <c:pt idx="40">
                  <c:v>0.83797395793755136</c:v>
                </c:pt>
                <c:pt idx="41">
                  <c:v>0.84691081252164224</c:v>
                </c:pt>
                <c:pt idx="42">
                  <c:v>0.85454746120868563</c:v>
                </c:pt>
                <c:pt idx="43">
                  <c:v>0.86105932730860246</c:v>
                </c:pt>
                <c:pt idx="44">
                  <c:v>0.86660187363305674</c:v>
                </c:pt>
                <c:pt idx="45">
                  <c:v>0.87131178783047503</c:v>
                </c:pt>
                <c:pt idx="46">
                  <c:v>0.87530847201551332</c:v>
                </c:pt>
                <c:pt idx="47">
                  <c:v>0.87869566923671094</c:v>
                </c:pt>
                <c:pt idx="48">
                  <c:v>0.88156311311265512</c:v>
                </c:pt>
                <c:pt idx="49">
                  <c:v>0.8839881267945735</c:v>
                </c:pt>
                <c:pt idx="50">
                  <c:v>0.88603712619677033</c:v>
                </c:pt>
                <c:pt idx="51">
                  <c:v>0.88776700274067366</c:v>
                </c:pt>
                <c:pt idx="52">
                  <c:v>0.88922637480758837</c:v>
                </c:pt>
                <c:pt idx="53">
                  <c:v>0.89045670637919905</c:v>
                </c:pt>
                <c:pt idx="54">
                  <c:v>0.89149329726860671</c:v>
                </c:pt>
                <c:pt idx="55">
                  <c:v>0.89236615289328114</c:v>
                </c:pt>
                <c:pt idx="56">
                  <c:v>0.89310074344539103</c:v>
                </c:pt>
                <c:pt idx="57">
                  <c:v>0.89371866310662007</c:v>
                </c:pt>
                <c:pt idx="58">
                  <c:v>0.89423820001687027</c:v>
                </c:pt>
                <c:pt idx="59">
                  <c:v>0.89467482730922399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3C-405B-A71B-1CCE17835B40}"/>
            </c:ext>
          </c:extLst>
        </c:ser>
        <c:ser>
          <c:idx val="1"/>
          <c:order val="1"/>
          <c:tx>
            <c:strRef>
              <c:f>'SIR_with 3 Neurons'!$V$1</c:f>
              <c:strCache>
                <c:ptCount val="1"/>
                <c:pt idx="0">
                  <c:v>R Real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'SIR_with 3 Neurons'!$V$2:$V$61</c:f>
              <c:numCache>
                <c:formatCode>General</c:formatCode>
                <c:ptCount val="60"/>
                <c:pt idx="0">
                  <c:v>1.29646532345248E-3</c:v>
                </c:pt>
                <c:pt idx="1">
                  <c:v>2.6945909567850398E-3</c:v>
                </c:pt>
                <c:pt idx="2">
                  <c:v>-4.7185297244242705E-3</c:v>
                </c:pt>
                <c:pt idx="3">
                  <c:v>2.4789689316632598E-3</c:v>
                </c:pt>
                <c:pt idx="4">
                  <c:v>3.86363487767975E-3</c:v>
                </c:pt>
                <c:pt idx="5">
                  <c:v>-4.6798608314981898E-3</c:v>
                </c:pt>
                <c:pt idx="6">
                  <c:v>3.0346095032803499E-3</c:v>
                </c:pt>
                <c:pt idx="7">
                  <c:v>7.4668309922445502E-3</c:v>
                </c:pt>
                <c:pt idx="8">
                  <c:v>9.1761695406187595E-3</c:v>
                </c:pt>
                <c:pt idx="9">
                  <c:v>7.5225339506602403E-3</c:v>
                </c:pt>
                <c:pt idx="10">
                  <c:v>3.2927993138720797E-3</c:v>
                </c:pt>
                <c:pt idx="11">
                  <c:v>1.96514990734073E-2</c:v>
                </c:pt>
                <c:pt idx="12">
                  <c:v>2.4532806481925299E-2</c:v>
                </c:pt>
                <c:pt idx="13">
                  <c:v>3.84479753657469E-2</c:v>
                </c:pt>
                <c:pt idx="14">
                  <c:v>6.3388110834698502E-2</c:v>
                </c:pt>
                <c:pt idx="15">
                  <c:v>7.3720662375898097E-2</c:v>
                </c:pt>
                <c:pt idx="16">
                  <c:v>9.9755417736937704E-2</c:v>
                </c:pt>
                <c:pt idx="17">
                  <c:v>0.13353312106332502</c:v>
                </c:pt>
                <c:pt idx="18">
                  <c:v>0.171732007304878</c:v>
                </c:pt>
                <c:pt idx="19">
                  <c:v>0.208737490794312</c:v>
                </c:pt>
                <c:pt idx="20">
                  <c:v>0.245867937524964</c:v>
                </c:pt>
                <c:pt idx="21">
                  <c:v>0.28965693379235602</c:v>
                </c:pt>
                <c:pt idx="22">
                  <c:v>0.33141838551950203</c:v>
                </c:pt>
                <c:pt idx="23">
                  <c:v>0.37486334043008496</c:v>
                </c:pt>
                <c:pt idx="24">
                  <c:v>0.41205954274061996</c:v>
                </c:pt>
                <c:pt idx="25">
                  <c:v>0.44388223355148898</c:v>
                </c:pt>
                <c:pt idx="26">
                  <c:v>0.487722954635535</c:v>
                </c:pt>
                <c:pt idx="27">
                  <c:v>0.51359201939365806</c:v>
                </c:pt>
                <c:pt idx="28">
                  <c:v>0.547713142498501</c:v>
                </c:pt>
                <c:pt idx="29">
                  <c:v>0.57331041777418701</c:v>
                </c:pt>
                <c:pt idx="30">
                  <c:v>0.602138744531867</c:v>
                </c:pt>
                <c:pt idx="31">
                  <c:v>0.624921752972462</c:v>
                </c:pt>
                <c:pt idx="32">
                  <c:v>0.65513191440359508</c:v>
                </c:pt>
                <c:pt idx="33">
                  <c:v>0.68166378325101906</c:v>
                </c:pt>
                <c:pt idx="34">
                  <c:v>0.69814062804294097</c:v>
                </c:pt>
                <c:pt idx="35">
                  <c:v>0.71941411557586699</c:v>
                </c:pt>
                <c:pt idx="36">
                  <c:v>0.73983758563310398</c:v>
                </c:pt>
                <c:pt idx="37">
                  <c:v>0.75684413386429605</c:v>
                </c:pt>
                <c:pt idx="38">
                  <c:v>0.7750441208199299</c:v>
                </c:pt>
                <c:pt idx="39">
                  <c:v>0.78395269848070492</c:v>
                </c:pt>
                <c:pt idx="40">
                  <c:v>0.80233719563429595</c:v>
                </c:pt>
                <c:pt idx="41">
                  <c:v>0.81844367482675706</c:v>
                </c:pt>
                <c:pt idx="42">
                  <c:v>0.83017491401183396</c:v>
                </c:pt>
                <c:pt idx="43">
                  <c:v>0.83969352077445703</c:v>
                </c:pt>
                <c:pt idx="44">
                  <c:v>0.84673055231667504</c:v>
                </c:pt>
                <c:pt idx="45">
                  <c:v>0.86534225693530897</c:v>
                </c:pt>
                <c:pt idx="46">
                  <c:v>0.87833605384871605</c:v>
                </c:pt>
                <c:pt idx="47">
                  <c:v>0.87802773465304806</c:v>
                </c:pt>
                <c:pt idx="48">
                  <c:v>0.88908099354612202</c:v>
                </c:pt>
                <c:pt idx="49">
                  <c:v>0.89472708248588406</c:v>
                </c:pt>
                <c:pt idx="50">
                  <c:v>0.90450311421663898</c:v>
                </c:pt>
                <c:pt idx="51">
                  <c:v>0.90922037148508505</c:v>
                </c:pt>
                <c:pt idx="52">
                  <c:v>0.906309636239233</c:v>
                </c:pt>
                <c:pt idx="53">
                  <c:v>0.92630169320256595</c:v>
                </c:pt>
                <c:pt idx="54">
                  <c:v>0.92736038017037692</c:v>
                </c:pt>
                <c:pt idx="55">
                  <c:v>0.93389441761834491</c:v>
                </c:pt>
                <c:pt idx="56">
                  <c:v>0.94275156262420401</c:v>
                </c:pt>
                <c:pt idx="57">
                  <c:v>0.93680268831874902</c:v>
                </c:pt>
                <c:pt idx="58">
                  <c:v>0.94398061818187207</c:v>
                </c:pt>
                <c:pt idx="59">
                  <c:v>0.94100736181572697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63C-405B-A71B-1CCE17835B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7716128"/>
        <c:axId val="217726688"/>
      </c:lineChart>
      <c:catAx>
        <c:axId val="2177161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Days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7726688"/>
        <c:crosses val="autoZero"/>
        <c:auto val="1"/>
        <c:lblAlgn val="ctr"/>
        <c:lblOffset val="100"/>
        <c:noMultiLvlLbl val="0"/>
      </c:catAx>
      <c:valAx>
        <c:axId val="217726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Recovered  Population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7716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'SIR Data (60 Days)'!$B$1</c:f>
              <c:strCache>
                <c:ptCount val="1"/>
                <c:pt idx="0">
                  <c:v>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'SIR Data (60 Days)'!$B$2:$B$61</c:f>
              <c:numCache>
                <c:formatCode>General</c:formatCode>
                <c:ptCount val="60"/>
                <c:pt idx="0">
                  <c:v>999.16902781949102</c:v>
                </c:pt>
                <c:pt idx="1">
                  <c:v>989.60193539692398</c:v>
                </c:pt>
                <c:pt idx="2">
                  <c:v>1002.70067481488</c:v>
                </c:pt>
                <c:pt idx="3">
                  <c:v>991.10329365628104</c:v>
                </c:pt>
                <c:pt idx="4">
                  <c:v>998.55053119660397</c:v>
                </c:pt>
                <c:pt idx="5">
                  <c:v>993.34815329542801</c:v>
                </c:pt>
                <c:pt idx="6">
                  <c:v>982.830737401541</c:v>
                </c:pt>
                <c:pt idx="7">
                  <c:v>975.39398785926005</c:v>
                </c:pt>
                <c:pt idx="8">
                  <c:v>962.49140793574099</c:v>
                </c:pt>
                <c:pt idx="9">
                  <c:v>944.50237023887598</c:v>
                </c:pt>
                <c:pt idx="10">
                  <c:v>918.198981681178</c:v>
                </c:pt>
                <c:pt idx="11">
                  <c:v>890.21613947898595</c:v>
                </c:pt>
                <c:pt idx="12">
                  <c:v>831.05634839519701</c:v>
                </c:pt>
                <c:pt idx="13">
                  <c:v>773.38802087821102</c:v>
                </c:pt>
                <c:pt idx="14">
                  <c:v>687.908710122652</c:v>
                </c:pt>
                <c:pt idx="15">
                  <c:v>594.97831839092703</c:v>
                </c:pt>
                <c:pt idx="16">
                  <c:v>488.98600704502002</c:v>
                </c:pt>
                <c:pt idx="17">
                  <c:v>396.51123517081101</c:v>
                </c:pt>
                <c:pt idx="18">
                  <c:v>312.51275507811602</c:v>
                </c:pt>
                <c:pt idx="19">
                  <c:v>235.520710019029</c:v>
                </c:pt>
                <c:pt idx="20">
                  <c:v>188.024971201353</c:v>
                </c:pt>
                <c:pt idx="21">
                  <c:v>137.90739996198701</c:v>
                </c:pt>
                <c:pt idx="22">
                  <c:v>99.076317792327899</c:v>
                </c:pt>
                <c:pt idx="23">
                  <c:v>76.771548896384303</c:v>
                </c:pt>
                <c:pt idx="24">
                  <c:v>55.033184890921802</c:v>
                </c:pt>
                <c:pt idx="25">
                  <c:v>41.882891498532302</c:v>
                </c:pt>
                <c:pt idx="26">
                  <c:v>26.899076645389702</c:v>
                </c:pt>
                <c:pt idx="27">
                  <c:v>28.643066551244299</c:v>
                </c:pt>
                <c:pt idx="28">
                  <c:v>18.585382566350301</c:v>
                </c:pt>
                <c:pt idx="29">
                  <c:v>16.4410509755673</c:v>
                </c:pt>
                <c:pt idx="30">
                  <c:v>16.927265894710001</c:v>
                </c:pt>
                <c:pt idx="31">
                  <c:v>5.5360201456173197</c:v>
                </c:pt>
                <c:pt idx="32">
                  <c:v>5.5516744239331803</c:v>
                </c:pt>
                <c:pt idx="33">
                  <c:v>12.931474477337201</c:v>
                </c:pt>
                <c:pt idx="34">
                  <c:v>8.6066661943624698</c:v>
                </c:pt>
                <c:pt idx="35">
                  <c:v>7.3575980325581396</c:v>
                </c:pt>
                <c:pt idx="36">
                  <c:v>2.8505374714209899</c:v>
                </c:pt>
                <c:pt idx="37">
                  <c:v>-0.218385218208412</c:v>
                </c:pt>
                <c:pt idx="38">
                  <c:v>8.2348707294253298</c:v>
                </c:pt>
                <c:pt idx="39">
                  <c:v>3.9663387236011598</c:v>
                </c:pt>
                <c:pt idx="40">
                  <c:v>7.9785242352294397</c:v>
                </c:pt>
                <c:pt idx="41">
                  <c:v>3.13966703727804</c:v>
                </c:pt>
                <c:pt idx="42">
                  <c:v>2.6118371468564701</c:v>
                </c:pt>
                <c:pt idx="43">
                  <c:v>2.39128185473625</c:v>
                </c:pt>
                <c:pt idx="44">
                  <c:v>1.2757458204968699</c:v>
                </c:pt>
                <c:pt idx="45">
                  <c:v>3.5362804167817599</c:v>
                </c:pt>
                <c:pt idx="46">
                  <c:v>-3.1346344649783999</c:v>
                </c:pt>
                <c:pt idx="47">
                  <c:v>9.0828857896239104</c:v>
                </c:pt>
                <c:pt idx="48">
                  <c:v>10.53823055272</c:v>
                </c:pt>
                <c:pt idx="49">
                  <c:v>2.58593441383774</c:v>
                </c:pt>
                <c:pt idx="50">
                  <c:v>2.0336631835871901</c:v>
                </c:pt>
                <c:pt idx="51">
                  <c:v>2.29495579716815</c:v>
                </c:pt>
                <c:pt idx="52">
                  <c:v>2.3936274802814101</c:v>
                </c:pt>
                <c:pt idx="53">
                  <c:v>2.3043154567460098</c:v>
                </c:pt>
                <c:pt idx="54">
                  <c:v>3.03855858647022</c:v>
                </c:pt>
                <c:pt idx="55">
                  <c:v>7.9515125832206497</c:v>
                </c:pt>
                <c:pt idx="56">
                  <c:v>-0.11013052498209</c:v>
                </c:pt>
                <c:pt idx="57">
                  <c:v>5.6947636442931602</c:v>
                </c:pt>
                <c:pt idx="58">
                  <c:v>-2.2807198247528699</c:v>
                </c:pt>
                <c:pt idx="59">
                  <c:v>-0.10788247514761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B1-45F2-BE46-CCEF276D0517}"/>
            </c:ext>
          </c:extLst>
        </c:ser>
        <c:ser>
          <c:idx val="1"/>
          <c:order val="1"/>
          <c:tx>
            <c:strRef>
              <c:f>'SIR Data (60 Days)'!$C$1</c:f>
              <c:strCache>
                <c:ptCount val="1"/>
                <c:pt idx="0">
                  <c:v>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'SIR Data (60 Days)'!$C$2:$C$61</c:f>
              <c:numCache>
                <c:formatCode>General</c:formatCode>
                <c:ptCount val="60"/>
                <c:pt idx="0">
                  <c:v>-0.51644142064485399</c:v>
                </c:pt>
                <c:pt idx="1">
                  <c:v>2.1639113228485898</c:v>
                </c:pt>
                <c:pt idx="2">
                  <c:v>3.3100596480907898</c:v>
                </c:pt>
                <c:pt idx="3">
                  <c:v>1.51656377199005</c:v>
                </c:pt>
                <c:pt idx="4">
                  <c:v>2.00511121509177</c:v>
                </c:pt>
                <c:pt idx="5">
                  <c:v>5.7859344004262399</c:v>
                </c:pt>
                <c:pt idx="6">
                  <c:v>12.6513308399596</c:v>
                </c:pt>
                <c:pt idx="7">
                  <c:v>20.3539996715329</c:v>
                </c:pt>
                <c:pt idx="8">
                  <c:v>33.533967396356999</c:v>
                </c:pt>
                <c:pt idx="9">
                  <c:v>47.496166004264602</c:v>
                </c:pt>
                <c:pt idx="10">
                  <c:v>67.597221336325006</c:v>
                </c:pt>
                <c:pt idx="11">
                  <c:v>95.969397639399304</c:v>
                </c:pt>
                <c:pt idx="12">
                  <c:v>139.820372745182</c:v>
                </c:pt>
                <c:pt idx="13">
                  <c:v>195.76330278256401</c:v>
                </c:pt>
                <c:pt idx="14">
                  <c:v>258.94601239861498</c:v>
                </c:pt>
                <c:pt idx="15">
                  <c:v>330.76845698165101</c:v>
                </c:pt>
                <c:pt idx="16">
                  <c:v>407.899802805256</c:v>
                </c:pt>
                <c:pt idx="17">
                  <c:v>473.72642816447598</c:v>
                </c:pt>
                <c:pt idx="18">
                  <c:v>527.50319456345505</c:v>
                </c:pt>
                <c:pt idx="19">
                  <c:v>557.93614971574402</c:v>
                </c:pt>
                <c:pt idx="20">
                  <c:v>577.27762091975205</c:v>
                </c:pt>
                <c:pt idx="21">
                  <c:v>579.47852857229998</c:v>
                </c:pt>
                <c:pt idx="22">
                  <c:v>572.61055388682598</c:v>
                </c:pt>
                <c:pt idx="23">
                  <c:v>554.62505584915698</c:v>
                </c:pt>
                <c:pt idx="24">
                  <c:v>533.85373128166395</c:v>
                </c:pt>
                <c:pt idx="25">
                  <c:v>510.04856673586698</c:v>
                </c:pt>
                <c:pt idx="26">
                  <c:v>480.54748715594701</c:v>
                </c:pt>
                <c:pt idx="27">
                  <c:v>456.21581041098199</c:v>
                </c:pt>
                <c:pt idx="28">
                  <c:v>434.6218274103</c:v>
                </c:pt>
                <c:pt idx="29">
                  <c:v>407.70546813070098</c:v>
                </c:pt>
                <c:pt idx="30">
                  <c:v>380.76372682378798</c:v>
                </c:pt>
                <c:pt idx="31">
                  <c:v>355.16465630493701</c:v>
                </c:pt>
                <c:pt idx="32">
                  <c:v>332.75256354035901</c:v>
                </c:pt>
                <c:pt idx="33">
                  <c:v>311.62242112024097</c:v>
                </c:pt>
                <c:pt idx="34">
                  <c:v>290.35002727487699</c:v>
                </c:pt>
                <c:pt idx="35">
                  <c:v>272.509543831852</c:v>
                </c:pt>
                <c:pt idx="36">
                  <c:v>256.22929206751002</c:v>
                </c:pt>
                <c:pt idx="37">
                  <c:v>235.91031536785101</c:v>
                </c:pt>
                <c:pt idx="38">
                  <c:v>220.781075929617</c:v>
                </c:pt>
                <c:pt idx="39">
                  <c:v>204.82321244088499</c:v>
                </c:pt>
                <c:pt idx="40">
                  <c:v>192.86137258476199</c:v>
                </c:pt>
                <c:pt idx="41">
                  <c:v>176.304381164847</c:v>
                </c:pt>
                <c:pt idx="42">
                  <c:v>166.77826328596299</c:v>
                </c:pt>
                <c:pt idx="43">
                  <c:v>157.90989924786101</c:v>
                </c:pt>
                <c:pt idx="44">
                  <c:v>149.23463373831001</c:v>
                </c:pt>
                <c:pt idx="45">
                  <c:v>135.57712777576799</c:v>
                </c:pt>
                <c:pt idx="46">
                  <c:v>125.187367886479</c:v>
                </c:pt>
                <c:pt idx="47">
                  <c:v>115.64560923284699</c:v>
                </c:pt>
                <c:pt idx="48">
                  <c:v>111.612530534534</c:v>
                </c:pt>
                <c:pt idx="49">
                  <c:v>103.42211054485</c:v>
                </c:pt>
                <c:pt idx="50">
                  <c:v>94.972241588527098</c:v>
                </c:pt>
                <c:pt idx="51">
                  <c:v>87.440881600336297</c:v>
                </c:pt>
                <c:pt idx="52">
                  <c:v>83.053244128702104</c:v>
                </c:pt>
                <c:pt idx="53">
                  <c:v>78.073186837302998</c:v>
                </c:pt>
                <c:pt idx="54">
                  <c:v>71.018266657233397</c:v>
                </c:pt>
                <c:pt idx="55">
                  <c:v>66.968684958737697</c:v>
                </c:pt>
                <c:pt idx="56">
                  <c:v>61.842269129692198</c:v>
                </c:pt>
                <c:pt idx="57">
                  <c:v>60.470398956274998</c:v>
                </c:pt>
                <c:pt idx="58">
                  <c:v>54.975808919005203</c:v>
                </c:pt>
                <c:pt idx="59">
                  <c:v>53.5969262433075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B1-45F2-BE46-CCEF276D0517}"/>
            </c:ext>
          </c:extLst>
        </c:ser>
        <c:ser>
          <c:idx val="2"/>
          <c:order val="2"/>
          <c:tx>
            <c:strRef>
              <c:f>'SIR Data (60 Days)'!$D$1</c:f>
              <c:strCache>
                <c:ptCount val="1"/>
                <c:pt idx="0">
                  <c:v>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'SIR Data (60 Days)'!$D$2:$D$61</c:f>
              <c:numCache>
                <c:formatCode>General</c:formatCode>
                <c:ptCount val="60"/>
                <c:pt idx="0">
                  <c:v>1.2964653234524799</c:v>
                </c:pt>
                <c:pt idx="1">
                  <c:v>2.6945909567850399</c:v>
                </c:pt>
                <c:pt idx="2">
                  <c:v>-4.7185297244242701</c:v>
                </c:pt>
                <c:pt idx="3">
                  <c:v>2.4789689316632599</c:v>
                </c:pt>
                <c:pt idx="4">
                  <c:v>3.86363487767975</c:v>
                </c:pt>
                <c:pt idx="5">
                  <c:v>-4.67986083149819</c:v>
                </c:pt>
                <c:pt idx="6">
                  <c:v>3.03460950328035</c:v>
                </c:pt>
                <c:pt idx="7">
                  <c:v>7.4668309922445504</c:v>
                </c:pt>
                <c:pt idx="8">
                  <c:v>9.1761695406187602</c:v>
                </c:pt>
                <c:pt idx="9">
                  <c:v>7.5225339506602404</c:v>
                </c:pt>
                <c:pt idx="10">
                  <c:v>3.2927993138720799</c:v>
                </c:pt>
                <c:pt idx="11">
                  <c:v>19.651499073407301</c:v>
                </c:pt>
                <c:pt idx="12">
                  <c:v>24.532806481925299</c:v>
                </c:pt>
                <c:pt idx="13">
                  <c:v>38.447975365746899</c:v>
                </c:pt>
                <c:pt idx="14">
                  <c:v>63.388110834698502</c:v>
                </c:pt>
                <c:pt idx="15">
                  <c:v>73.720662375898101</c:v>
                </c:pt>
                <c:pt idx="16">
                  <c:v>99.755417736937702</c:v>
                </c:pt>
                <c:pt idx="17">
                  <c:v>133.53312106332501</c:v>
                </c:pt>
                <c:pt idx="18">
                  <c:v>171.73200730487801</c:v>
                </c:pt>
                <c:pt idx="19">
                  <c:v>208.73749079431201</c:v>
                </c:pt>
                <c:pt idx="20">
                  <c:v>245.86793752496399</c:v>
                </c:pt>
                <c:pt idx="21">
                  <c:v>289.65693379235603</c:v>
                </c:pt>
                <c:pt idx="22">
                  <c:v>331.41838551950201</c:v>
                </c:pt>
                <c:pt idx="23">
                  <c:v>374.86334043008497</c:v>
                </c:pt>
                <c:pt idx="24">
                  <c:v>412.05954274061997</c:v>
                </c:pt>
                <c:pt idx="25">
                  <c:v>443.88223355148898</c:v>
                </c:pt>
                <c:pt idx="26">
                  <c:v>487.72295463553502</c:v>
                </c:pt>
                <c:pt idx="27">
                  <c:v>513.59201939365801</c:v>
                </c:pt>
                <c:pt idx="28">
                  <c:v>547.71314249850104</c:v>
                </c:pt>
                <c:pt idx="29">
                  <c:v>573.31041777418704</c:v>
                </c:pt>
                <c:pt idx="30">
                  <c:v>602.13874453186702</c:v>
                </c:pt>
                <c:pt idx="31">
                  <c:v>624.92175297246195</c:v>
                </c:pt>
                <c:pt idx="32">
                  <c:v>655.13191440359503</c:v>
                </c:pt>
                <c:pt idx="33">
                  <c:v>681.66378325101903</c:v>
                </c:pt>
                <c:pt idx="34">
                  <c:v>698.14062804294099</c:v>
                </c:pt>
                <c:pt idx="35">
                  <c:v>719.41411557586696</c:v>
                </c:pt>
                <c:pt idx="36">
                  <c:v>739.83758563310403</c:v>
                </c:pt>
                <c:pt idx="37">
                  <c:v>756.84413386429605</c:v>
                </c:pt>
                <c:pt idx="38">
                  <c:v>775.04412081992996</c:v>
                </c:pt>
                <c:pt idx="39">
                  <c:v>783.95269848070495</c:v>
                </c:pt>
                <c:pt idx="40">
                  <c:v>802.33719563429599</c:v>
                </c:pt>
                <c:pt idx="41">
                  <c:v>818.44367482675705</c:v>
                </c:pt>
                <c:pt idx="42">
                  <c:v>830.17491401183395</c:v>
                </c:pt>
                <c:pt idx="43">
                  <c:v>839.69352077445706</c:v>
                </c:pt>
                <c:pt idx="44">
                  <c:v>846.73055231667502</c:v>
                </c:pt>
                <c:pt idx="45">
                  <c:v>865.34225693530902</c:v>
                </c:pt>
                <c:pt idx="46">
                  <c:v>878.33605384871601</c:v>
                </c:pt>
                <c:pt idx="47">
                  <c:v>878.02773465304801</c:v>
                </c:pt>
                <c:pt idx="48">
                  <c:v>889.08099354612204</c:v>
                </c:pt>
                <c:pt idx="49">
                  <c:v>894.72708248588401</c:v>
                </c:pt>
                <c:pt idx="50">
                  <c:v>904.50311421663901</c:v>
                </c:pt>
                <c:pt idx="51">
                  <c:v>909.22037148508502</c:v>
                </c:pt>
                <c:pt idx="52">
                  <c:v>906.30963623923299</c:v>
                </c:pt>
                <c:pt idx="53">
                  <c:v>926.30169320256596</c:v>
                </c:pt>
                <c:pt idx="54">
                  <c:v>927.36038017037697</c:v>
                </c:pt>
                <c:pt idx="55">
                  <c:v>933.89441761834496</c:v>
                </c:pt>
                <c:pt idx="56">
                  <c:v>942.75156262420398</c:v>
                </c:pt>
                <c:pt idx="57">
                  <c:v>936.80268831874901</c:v>
                </c:pt>
                <c:pt idx="58">
                  <c:v>943.98061818187205</c:v>
                </c:pt>
                <c:pt idx="59">
                  <c:v>941.00736181572699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8B1-45F2-BE46-CCEF276D05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6154543"/>
        <c:axId val="576145903"/>
      </c:lineChart>
      <c:catAx>
        <c:axId val="5761545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145903"/>
        <c:crosses val="autoZero"/>
        <c:auto val="1"/>
        <c:lblAlgn val="ctr"/>
        <c:lblOffset val="100"/>
        <c:noMultiLvlLbl val="0"/>
      </c:catAx>
      <c:valAx>
        <c:axId val="57614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154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'SIR Data (14 Days)'!$B$1</c:f>
              <c:strCache>
                <c:ptCount val="1"/>
                <c:pt idx="0">
                  <c:v>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'SIR Data (14 Days)'!$B$2:$B$16</c:f>
              <c:numCache>
                <c:formatCode>General</c:formatCode>
                <c:ptCount val="15"/>
                <c:pt idx="0">
                  <c:v>0.45</c:v>
                </c:pt>
                <c:pt idx="1">
                  <c:v>947</c:v>
                </c:pt>
                <c:pt idx="2">
                  <c:v>942</c:v>
                </c:pt>
                <c:pt idx="3">
                  <c:v>922</c:v>
                </c:pt>
                <c:pt idx="4">
                  <c:v>875</c:v>
                </c:pt>
                <c:pt idx="5">
                  <c:v>720</c:v>
                </c:pt>
                <c:pt idx="6">
                  <c:v>633</c:v>
                </c:pt>
                <c:pt idx="7">
                  <c:v>564</c:v>
                </c:pt>
                <c:pt idx="8">
                  <c:v>422</c:v>
                </c:pt>
                <c:pt idx="9">
                  <c:v>291</c:v>
                </c:pt>
                <c:pt idx="10">
                  <c:v>189</c:v>
                </c:pt>
                <c:pt idx="11">
                  <c:v>95</c:v>
                </c:pt>
                <c:pt idx="12">
                  <c:v>52</c:v>
                </c:pt>
                <c:pt idx="13">
                  <c:v>21</c:v>
                </c:pt>
                <c:pt idx="14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E3-419A-AC44-A97530273DCE}"/>
            </c:ext>
          </c:extLst>
        </c:ser>
        <c:ser>
          <c:idx val="1"/>
          <c:order val="1"/>
          <c:tx>
            <c:strRef>
              <c:f>'SIR Data (14 Days)'!$C$1</c:f>
              <c:strCache>
                <c:ptCount val="1"/>
                <c:pt idx="0">
                  <c:v>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'SIR Data (14 Days)'!$C$2:$C$16</c:f>
              <c:numCache>
                <c:formatCode>General</c:formatCode>
                <c:ptCount val="15"/>
                <c:pt idx="0">
                  <c:v>0</c:v>
                </c:pt>
                <c:pt idx="1">
                  <c:v>3</c:v>
                </c:pt>
                <c:pt idx="2">
                  <c:v>8</c:v>
                </c:pt>
                <c:pt idx="3">
                  <c:v>28</c:v>
                </c:pt>
                <c:pt idx="4">
                  <c:v>75</c:v>
                </c:pt>
                <c:pt idx="5">
                  <c:v>221</c:v>
                </c:pt>
                <c:pt idx="6">
                  <c:v>291</c:v>
                </c:pt>
                <c:pt idx="7">
                  <c:v>255</c:v>
                </c:pt>
                <c:pt idx="8">
                  <c:v>235</c:v>
                </c:pt>
                <c:pt idx="9">
                  <c:v>190</c:v>
                </c:pt>
                <c:pt idx="10">
                  <c:v>126</c:v>
                </c:pt>
                <c:pt idx="11">
                  <c:v>70</c:v>
                </c:pt>
                <c:pt idx="12">
                  <c:v>28</c:v>
                </c:pt>
                <c:pt idx="13">
                  <c:v>12</c:v>
                </c:pt>
                <c:pt idx="14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E3-419A-AC44-A97530273DCE}"/>
            </c:ext>
          </c:extLst>
        </c:ser>
        <c:ser>
          <c:idx val="2"/>
          <c:order val="2"/>
          <c:tx>
            <c:strRef>
              <c:f>'SIR Data (14 Days)'!$D$1</c:f>
              <c:strCache>
                <c:ptCount val="1"/>
                <c:pt idx="0">
                  <c:v>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'SIR Data (14 Days)'!$D$2:$D$16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9</c:v>
                </c:pt>
                <c:pt idx="6">
                  <c:v>26</c:v>
                </c:pt>
                <c:pt idx="7">
                  <c:v>131</c:v>
                </c:pt>
                <c:pt idx="8">
                  <c:v>293</c:v>
                </c:pt>
                <c:pt idx="9">
                  <c:v>469</c:v>
                </c:pt>
                <c:pt idx="10">
                  <c:v>635</c:v>
                </c:pt>
                <c:pt idx="11">
                  <c:v>785</c:v>
                </c:pt>
                <c:pt idx="12">
                  <c:v>870</c:v>
                </c:pt>
                <c:pt idx="13">
                  <c:v>917</c:v>
                </c:pt>
                <c:pt idx="14">
                  <c:v>937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E3-419A-AC44-A97530273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6154543"/>
        <c:axId val="576145903"/>
      </c:lineChart>
      <c:catAx>
        <c:axId val="5761545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145903"/>
        <c:crosses val="autoZero"/>
        <c:auto val="1"/>
        <c:lblAlgn val="ctr"/>
        <c:lblOffset val="100"/>
        <c:noMultiLvlLbl val="0"/>
      </c:catAx>
      <c:valAx>
        <c:axId val="57614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154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Infected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Estimation!$E$1</c:f>
              <c:strCache>
                <c:ptCount val="1"/>
                <c:pt idx="0">
                  <c:v>f13I Predicted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Estimation!$E$2:$E$16</c:f>
              <c:numCache>
                <c:formatCode>General</c:formatCode>
                <c:ptCount val="15"/>
                <c:pt idx="0">
                  <c:v>0.12401742947629356</c:v>
                </c:pt>
                <c:pt idx="1">
                  <c:v>0.12386539608127582</c:v>
                </c:pt>
                <c:pt idx="2">
                  <c:v>0.12358150004126449</c:v>
                </c:pt>
                <c:pt idx="3">
                  <c:v>0.12305656560706636</c:v>
                </c:pt>
                <c:pt idx="4">
                  <c:v>0.12210337532739236</c:v>
                </c:pt>
                <c:pt idx="5">
                  <c:v>0.12042818000992889</c:v>
                </c:pt>
                <c:pt idx="6">
                  <c:v>0.11764644639809234</c:v>
                </c:pt>
                <c:pt idx="7">
                  <c:v>0.11343538895588119</c:v>
                </c:pt>
                <c:pt idx="8">
                  <c:v>0.10787621634803286</c:v>
                </c:pt>
                <c:pt idx="9">
                  <c:v>0.10172815247872136</c:v>
                </c:pt>
                <c:pt idx="10">
                  <c:v>9.6128328411528755E-2</c:v>
                </c:pt>
                <c:pt idx="11">
                  <c:v>9.1860522929542832E-2</c:v>
                </c:pt>
                <c:pt idx="12">
                  <c:v>8.9028934995397324E-2</c:v>
                </c:pt>
                <c:pt idx="13">
                  <c:v>8.7318943842600277E-2</c:v>
                </c:pt>
                <c:pt idx="14">
                  <c:v>8.6344347607372515E-2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54-46C3-9880-998BD7F8E971}"/>
            </c:ext>
          </c:extLst>
        </c:ser>
        <c:ser>
          <c:idx val="1"/>
          <c:order val="1"/>
          <c:tx>
            <c:strRef>
              <c:f>Estimation!$H$1</c:f>
              <c:strCache>
                <c:ptCount val="1"/>
                <c:pt idx="0">
                  <c:v>f13I Real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Estimation!$H$2:$H$16</c:f>
              <c:numCache>
                <c:formatCode>General</c:formatCode>
                <c:ptCount val="15"/>
                <c:pt idx="0">
                  <c:v>0</c:v>
                </c:pt>
                <c:pt idx="1">
                  <c:v>3.1578947368421052E-3</c:v>
                </c:pt>
                <c:pt idx="2">
                  <c:v>8.4210526315789472E-3</c:v>
                </c:pt>
                <c:pt idx="3">
                  <c:v>2.9473684210526315E-2</c:v>
                </c:pt>
                <c:pt idx="4">
                  <c:v>7.8947368421052627E-2</c:v>
                </c:pt>
                <c:pt idx="5">
                  <c:v>0.23263157894736841</c:v>
                </c:pt>
                <c:pt idx="6">
                  <c:v>0.30631578947368421</c:v>
                </c:pt>
                <c:pt idx="7">
                  <c:v>0.26842105263157895</c:v>
                </c:pt>
                <c:pt idx="8">
                  <c:v>0.24736842105263157</c:v>
                </c:pt>
                <c:pt idx="9">
                  <c:v>0.2</c:v>
                </c:pt>
                <c:pt idx="10">
                  <c:v>0.13263157894736843</c:v>
                </c:pt>
                <c:pt idx="11">
                  <c:v>7.3684210526315783E-2</c:v>
                </c:pt>
                <c:pt idx="12">
                  <c:v>2.9473684210526315E-2</c:v>
                </c:pt>
                <c:pt idx="13">
                  <c:v>1.2631578947368421E-2</c:v>
                </c:pt>
                <c:pt idx="14">
                  <c:v>5.263157894736842E-3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54-46C3-9880-998BD7F8E9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6628784"/>
        <c:axId val="1206643664"/>
      </c:lineChart>
      <c:catAx>
        <c:axId val="12066287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6643664"/>
        <c:crosses val="autoZero"/>
        <c:auto val="1"/>
        <c:lblAlgn val="ctr"/>
        <c:lblOffset val="100"/>
        <c:noMultiLvlLbl val="0"/>
      </c:catAx>
      <c:valAx>
        <c:axId val="120664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6628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Susceptible</a:t>
            </a:r>
          </a:p>
        </c:rich>
      </c:tx>
      <c:layout>
        <c:manualLayout>
          <c:xMode val="edge"/>
          <c:yMode val="edge"/>
          <c:x val="0.37524300087489065"/>
          <c:y val="1.85185185185185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Estimation!$D$1</c:f>
              <c:strCache>
                <c:ptCount val="1"/>
                <c:pt idx="0">
                  <c:v>f13S Predicted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Estimation!$D$2:$D$16</c:f>
              <c:numCache>
                <c:formatCode>General</c:formatCode>
                <c:ptCount val="15"/>
                <c:pt idx="0">
                  <c:v>0.93744596318135376</c:v>
                </c:pt>
                <c:pt idx="1">
                  <c:v>0.93349231866442328</c:v>
                </c:pt>
                <c:pt idx="2">
                  <c:v>0.92610957211825762</c:v>
                </c:pt>
                <c:pt idx="3">
                  <c:v>0.91245859663834272</c:v>
                </c:pt>
                <c:pt idx="4">
                  <c:v>0.8876707826032435</c:v>
                </c:pt>
                <c:pt idx="5">
                  <c:v>0.84410715119907587</c:v>
                </c:pt>
                <c:pt idx="6">
                  <c:v>0.77176787441902783</c:v>
                </c:pt>
                <c:pt idx="7">
                  <c:v>0.66225888026064172</c:v>
                </c:pt>
                <c:pt idx="8">
                  <c:v>0.51769200863927956</c:v>
                </c:pt>
                <c:pt idx="9">
                  <c:v>0.35781095748071434</c:v>
                </c:pt>
                <c:pt idx="10">
                  <c:v>0.21218694035968755</c:v>
                </c:pt>
                <c:pt idx="11">
                  <c:v>0.10120220742512087</c:v>
                </c:pt>
                <c:pt idx="12">
                  <c:v>2.756646372069016E-2</c:v>
                </c:pt>
                <c:pt idx="13">
                  <c:v>-1.6902037061435893E-2</c:v>
                </c:pt>
                <c:pt idx="14">
                  <c:v>-4.2246515234666604E-2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59-4D0D-BCE7-B888BB648FD2}"/>
            </c:ext>
          </c:extLst>
        </c:ser>
        <c:ser>
          <c:idx val="1"/>
          <c:order val="1"/>
          <c:tx>
            <c:strRef>
              <c:f>Estimation!$G$1</c:f>
              <c:strCache>
                <c:ptCount val="1"/>
                <c:pt idx="0">
                  <c:v>f13S Real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Estimation!$G$2:$G$16</c:f>
              <c:numCache>
                <c:formatCode>General</c:formatCode>
                <c:ptCount val="15"/>
                <c:pt idx="0">
                  <c:v>1</c:v>
                </c:pt>
                <c:pt idx="1">
                  <c:v>0.99684210526315786</c:v>
                </c:pt>
                <c:pt idx="2">
                  <c:v>0.991578947368421</c:v>
                </c:pt>
                <c:pt idx="3">
                  <c:v>0.97052631578947368</c:v>
                </c:pt>
                <c:pt idx="4">
                  <c:v>0.92105263157894735</c:v>
                </c:pt>
                <c:pt idx="5">
                  <c:v>0.75789473684210529</c:v>
                </c:pt>
                <c:pt idx="6">
                  <c:v>0.66631578947368419</c:v>
                </c:pt>
                <c:pt idx="7">
                  <c:v>0.59368421052631581</c:v>
                </c:pt>
                <c:pt idx="8">
                  <c:v>0.4442105263157895</c:v>
                </c:pt>
                <c:pt idx="9">
                  <c:v>0.30631578947368421</c:v>
                </c:pt>
                <c:pt idx="10">
                  <c:v>0.19894736842105262</c:v>
                </c:pt>
                <c:pt idx="11">
                  <c:v>0.1</c:v>
                </c:pt>
                <c:pt idx="12">
                  <c:v>5.473684210526316E-2</c:v>
                </c:pt>
                <c:pt idx="13">
                  <c:v>2.2105263157894735E-2</c:v>
                </c:pt>
                <c:pt idx="14">
                  <c:v>8.4210526315789472E-3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59-4D0D-BCE7-B888BB648F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6628784"/>
        <c:axId val="1206643664"/>
      </c:lineChart>
      <c:catAx>
        <c:axId val="12066287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6643664"/>
        <c:crosses val="autoZero"/>
        <c:auto val="1"/>
        <c:lblAlgn val="ctr"/>
        <c:lblOffset val="100"/>
        <c:noMultiLvlLbl val="0"/>
      </c:catAx>
      <c:valAx>
        <c:axId val="120664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6628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Recovered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Estimation!$F$1</c:f>
              <c:strCache>
                <c:ptCount val="1"/>
                <c:pt idx="0">
                  <c:v>f12R Predicted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Estimation!$F$2:$F$16</c:f>
              <c:numCache>
                <c:formatCode>General</c:formatCode>
                <c:ptCount val="15"/>
                <c:pt idx="0">
                  <c:v>-6.1464257226088573E-2</c:v>
                </c:pt>
                <c:pt idx="1">
                  <c:v>-5.7358580345432827E-2</c:v>
                </c:pt>
                <c:pt idx="2">
                  <c:v>-4.9691939685015861E-2</c:v>
                </c:pt>
                <c:pt idx="3">
                  <c:v>-3.5516033331705436E-2</c:v>
                </c:pt>
                <c:pt idx="4">
                  <c:v>-9.7750354827346869E-3</c:v>
                </c:pt>
                <c:pt idx="5">
                  <c:v>3.546377987549669E-2</c:v>
                </c:pt>
                <c:pt idx="6">
                  <c:v>0.11058477139796909</c:v>
                </c:pt>
                <c:pt idx="7">
                  <c:v>0.22430479443358142</c:v>
                </c:pt>
                <c:pt idx="8">
                  <c:v>0.37443080095309944</c:v>
                </c:pt>
                <c:pt idx="9">
                  <c:v>0.54045987427664077</c:v>
                </c:pt>
                <c:pt idx="10">
                  <c:v>0.69168367747941539</c:v>
                </c:pt>
                <c:pt idx="11">
                  <c:v>0.80693618694604252</c:v>
                </c:pt>
                <c:pt idx="12">
                  <c:v>0.88340349937702833</c:v>
                </c:pt>
                <c:pt idx="13">
                  <c:v>0.9295819797125201</c:v>
                </c:pt>
                <c:pt idx="14">
                  <c:v>0.9559010475099724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99-4162-B686-621200FCE07F}"/>
            </c:ext>
          </c:extLst>
        </c:ser>
        <c:ser>
          <c:idx val="1"/>
          <c:order val="1"/>
          <c:tx>
            <c:strRef>
              <c:f>Estimation!$I$1</c:f>
              <c:strCache>
                <c:ptCount val="1"/>
                <c:pt idx="0">
                  <c:v>f13R Real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Estimation!$I$2:$I$16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9.4736842105263164E-3</c:v>
                </c:pt>
                <c:pt idx="6">
                  <c:v>2.736842105263158E-2</c:v>
                </c:pt>
                <c:pt idx="7">
                  <c:v>0.13789473684210526</c:v>
                </c:pt>
                <c:pt idx="8">
                  <c:v>0.30842105263157893</c:v>
                </c:pt>
                <c:pt idx="9">
                  <c:v>0.49368421052631578</c:v>
                </c:pt>
                <c:pt idx="10">
                  <c:v>0.66842105263157892</c:v>
                </c:pt>
                <c:pt idx="11">
                  <c:v>0.82631578947368423</c:v>
                </c:pt>
                <c:pt idx="12">
                  <c:v>0.91578947368421049</c:v>
                </c:pt>
                <c:pt idx="13">
                  <c:v>0.96526315789473682</c:v>
                </c:pt>
                <c:pt idx="14">
                  <c:v>0.98631578947368426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599-4162-B686-621200FCE0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6628784"/>
        <c:axId val="1206643664"/>
      </c:lineChart>
      <c:catAx>
        <c:axId val="12066287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6643664"/>
        <c:crosses val="autoZero"/>
        <c:auto val="1"/>
        <c:lblAlgn val="ctr"/>
        <c:lblOffset val="100"/>
        <c:noMultiLvlLbl val="0"/>
      </c:catAx>
      <c:valAx>
        <c:axId val="120664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6628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Infected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'Estimation with Equations'!$E$1</c:f>
              <c:strCache>
                <c:ptCount val="1"/>
                <c:pt idx="0">
                  <c:v>I Predicted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'Estimation with Equations'!$E$2:$E$15</c:f>
              <c:numCache>
                <c:formatCode>General</c:formatCode>
                <c:ptCount val="14"/>
                <c:pt idx="0">
                  <c:v>0.11900787380661333</c:v>
                </c:pt>
                <c:pt idx="1">
                  <c:v>0.1189381550460029</c:v>
                </c:pt>
                <c:pt idx="2">
                  <c:v>0.11881197092457835</c:v>
                </c:pt>
                <c:pt idx="3">
                  <c:v>0.11858785916815379</c:v>
                </c:pt>
                <c:pt idx="4">
                  <c:v>0.11820284708156296</c:v>
                </c:pt>
                <c:pt idx="5">
                  <c:v>0.11757774906617391</c:v>
                </c:pt>
                <c:pt idx="6">
                  <c:v>0.11665036625692328</c:v>
                </c:pt>
                <c:pt idx="7">
                  <c:v>0.11544348385013935</c:v>
                </c:pt>
                <c:pt idx="8">
                  <c:v>0.11411492148613518</c:v>
                </c:pt>
                <c:pt idx="9">
                  <c:v>0.11289673507974772</c:v>
                </c:pt>
                <c:pt idx="10">
                  <c:v>0.1119532605530882</c:v>
                </c:pt>
                <c:pt idx="11">
                  <c:v>0.11131364776263729</c:v>
                </c:pt>
                <c:pt idx="12">
                  <c:v>0.11091821507220721</c:v>
                </c:pt>
                <c:pt idx="13">
                  <c:v>0.1106875154729718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1F-4B98-ABD7-95D07DE3F077}"/>
            </c:ext>
          </c:extLst>
        </c:ser>
        <c:ser>
          <c:idx val="1"/>
          <c:order val="1"/>
          <c:tx>
            <c:strRef>
              <c:f>'Estimation with Equations'!$H$1</c:f>
              <c:strCache>
                <c:ptCount val="1"/>
                <c:pt idx="0">
                  <c:v>I Real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'Estimation with Equations'!$H$2:$H$15</c:f>
              <c:numCache>
                <c:formatCode>General</c:formatCode>
                <c:ptCount val="14"/>
                <c:pt idx="0">
                  <c:v>3.1578947368421052E-3</c:v>
                </c:pt>
                <c:pt idx="1">
                  <c:v>8.4210526315789472E-3</c:v>
                </c:pt>
                <c:pt idx="2">
                  <c:v>2.9473684210526315E-2</c:v>
                </c:pt>
                <c:pt idx="3">
                  <c:v>7.8947368421052627E-2</c:v>
                </c:pt>
                <c:pt idx="4">
                  <c:v>0.23263157894736841</c:v>
                </c:pt>
                <c:pt idx="5">
                  <c:v>0.30631578947368421</c:v>
                </c:pt>
                <c:pt idx="6">
                  <c:v>0.26842105263157895</c:v>
                </c:pt>
                <c:pt idx="7">
                  <c:v>0.24736842105263157</c:v>
                </c:pt>
                <c:pt idx="8">
                  <c:v>0.2</c:v>
                </c:pt>
                <c:pt idx="9">
                  <c:v>0.13263157894736843</c:v>
                </c:pt>
                <c:pt idx="10">
                  <c:v>7.3684210526315783E-2</c:v>
                </c:pt>
                <c:pt idx="11">
                  <c:v>2.9473684210526315E-2</c:v>
                </c:pt>
                <c:pt idx="12">
                  <c:v>1.2631578947368421E-2</c:v>
                </c:pt>
                <c:pt idx="13">
                  <c:v>5.263157894736842E-3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1F-4B98-ABD7-95D07DE3F0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6628784"/>
        <c:axId val="1206643664"/>
      </c:lineChart>
      <c:catAx>
        <c:axId val="12066287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6643664"/>
        <c:crosses val="autoZero"/>
        <c:auto val="1"/>
        <c:lblAlgn val="ctr"/>
        <c:lblOffset val="100"/>
        <c:noMultiLvlLbl val="0"/>
      </c:catAx>
      <c:valAx>
        <c:axId val="120664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6628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Susceptible</a:t>
            </a:r>
          </a:p>
        </c:rich>
      </c:tx>
      <c:layout>
        <c:manualLayout>
          <c:xMode val="edge"/>
          <c:yMode val="edge"/>
          <c:x val="0.37524300087489065"/>
          <c:y val="1.85185185185185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'Estimation with Equations'!$D$1</c:f>
              <c:strCache>
                <c:ptCount val="1"/>
                <c:pt idx="0">
                  <c:v>S Predicted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'Estimation with Equations'!$D$2:$D$15</c:f>
              <c:numCache>
                <c:formatCode>General</c:formatCode>
                <c:ptCount val="14"/>
                <c:pt idx="0">
                  <c:v>0.939522768401301</c:v>
                </c:pt>
                <c:pt idx="1">
                  <c:v>0.93113749386024947</c:v>
                </c:pt>
                <c:pt idx="2">
                  <c:v>0.9159609690396413</c:v>
                </c:pt>
                <c:pt idx="3">
                  <c:v>0.88900640775594542</c:v>
                </c:pt>
                <c:pt idx="4">
                  <c:v>0.84269990403413209</c:v>
                </c:pt>
                <c:pt idx="5">
                  <c:v>0.76751757967537859</c:v>
                </c:pt>
                <c:pt idx="6">
                  <c:v>0.65597859946214476</c:v>
                </c:pt>
                <c:pt idx="7">
                  <c:v>0.51082340405934201</c:v>
                </c:pt>
                <c:pt idx="8">
                  <c:v>0.35103341253421289</c:v>
                </c:pt>
                <c:pt idx="9">
                  <c:v>0.204518652800983</c:v>
                </c:pt>
                <c:pt idx="10">
                  <c:v>9.1044275757265869E-2</c:v>
                </c:pt>
                <c:pt idx="11">
                  <c:v>1.4116217929793728E-2</c:v>
                </c:pt>
                <c:pt idx="12">
                  <c:v>-3.3443601589812355E-2</c:v>
                </c:pt>
                <c:pt idx="13">
                  <c:v>-6.1190501551342702E-2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80-46E5-8F0B-0D21FCE1B11F}"/>
            </c:ext>
          </c:extLst>
        </c:ser>
        <c:ser>
          <c:idx val="1"/>
          <c:order val="1"/>
          <c:tx>
            <c:strRef>
              <c:f>'Estimation with Equations'!$G$1</c:f>
              <c:strCache>
                <c:ptCount val="1"/>
                <c:pt idx="0">
                  <c:v>S Real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'Estimation with Equations'!$G$2:$G$15</c:f>
              <c:numCache>
                <c:formatCode>General</c:formatCode>
                <c:ptCount val="14"/>
                <c:pt idx="0">
                  <c:v>0.99684210526315786</c:v>
                </c:pt>
                <c:pt idx="1">
                  <c:v>0.991578947368421</c:v>
                </c:pt>
                <c:pt idx="2">
                  <c:v>0.97052631578947368</c:v>
                </c:pt>
                <c:pt idx="3">
                  <c:v>0.92105263157894735</c:v>
                </c:pt>
                <c:pt idx="4">
                  <c:v>0.75789473684210529</c:v>
                </c:pt>
                <c:pt idx="5">
                  <c:v>0.66631578947368419</c:v>
                </c:pt>
                <c:pt idx="6">
                  <c:v>0.59368421052631581</c:v>
                </c:pt>
                <c:pt idx="7">
                  <c:v>0.4442105263157895</c:v>
                </c:pt>
                <c:pt idx="8">
                  <c:v>0.30631578947368421</c:v>
                </c:pt>
                <c:pt idx="9">
                  <c:v>0.19894736842105262</c:v>
                </c:pt>
                <c:pt idx="10">
                  <c:v>0.1</c:v>
                </c:pt>
                <c:pt idx="11">
                  <c:v>5.473684210526316E-2</c:v>
                </c:pt>
                <c:pt idx="12">
                  <c:v>2.2105263157894735E-2</c:v>
                </c:pt>
                <c:pt idx="13">
                  <c:v>8.4210526315789472E-3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80-46E5-8F0B-0D21FCE1B1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6628784"/>
        <c:axId val="1206643664"/>
      </c:lineChart>
      <c:catAx>
        <c:axId val="12066287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6643664"/>
        <c:crosses val="autoZero"/>
        <c:auto val="1"/>
        <c:lblAlgn val="ctr"/>
        <c:lblOffset val="100"/>
        <c:noMultiLvlLbl val="0"/>
      </c:catAx>
      <c:valAx>
        <c:axId val="120664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6628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Recovered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'Estimation with Equations'!$F$1</c:f>
              <c:strCache>
                <c:ptCount val="1"/>
                <c:pt idx="0">
                  <c:v>R Predicted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'Estimation with Equations'!$F$2:$F$15</c:f>
              <c:numCache>
                <c:formatCode>General</c:formatCode>
                <c:ptCount val="14"/>
                <c:pt idx="0">
                  <c:v>-5.8534529124635248E-2</c:v>
                </c:pt>
                <c:pt idx="1">
                  <c:v>-5.0079528372672211E-2</c:v>
                </c:pt>
                <c:pt idx="2">
                  <c:v>-3.4776805946325151E-2</c:v>
                </c:pt>
                <c:pt idx="3">
                  <c:v>-7.598108957126759E-3</c:v>
                </c:pt>
                <c:pt idx="4">
                  <c:v>3.9093447994520525E-2</c:v>
                </c:pt>
                <c:pt idx="5">
                  <c:v>0.11490093716801975</c:v>
                </c:pt>
                <c:pt idx="6">
                  <c:v>0.22736739929268251</c:v>
                </c:pt>
                <c:pt idx="7">
                  <c:v>0.37372960607239286</c:v>
                </c:pt>
                <c:pt idx="8">
                  <c:v>0.53484830193463906</c:v>
                </c:pt>
                <c:pt idx="9">
                  <c:v>0.68258137825235032</c:v>
                </c:pt>
                <c:pt idx="10">
                  <c:v>0.79699933064450179</c:v>
                </c:pt>
                <c:pt idx="11">
                  <c:v>0.87456706961286246</c:v>
                </c:pt>
                <c:pt idx="12">
                  <c:v>0.92252236407971067</c:v>
                </c:pt>
                <c:pt idx="13">
                  <c:v>0.95049998829354587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BB-4744-9170-EBC21A6F859D}"/>
            </c:ext>
          </c:extLst>
        </c:ser>
        <c:ser>
          <c:idx val="1"/>
          <c:order val="1"/>
          <c:tx>
            <c:strRef>
              <c:f>'Estimation with Equations'!$I$1</c:f>
              <c:strCache>
                <c:ptCount val="1"/>
                <c:pt idx="0">
                  <c:v>R Real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'Estimation with Equations'!$I$2:$I$15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9.4736842105263164E-3</c:v>
                </c:pt>
                <c:pt idx="5">
                  <c:v>2.736842105263158E-2</c:v>
                </c:pt>
                <c:pt idx="6">
                  <c:v>0.13789473684210526</c:v>
                </c:pt>
                <c:pt idx="7">
                  <c:v>0.30842105263157893</c:v>
                </c:pt>
                <c:pt idx="8">
                  <c:v>0.49368421052631578</c:v>
                </c:pt>
                <c:pt idx="9">
                  <c:v>0.66842105263157892</c:v>
                </c:pt>
                <c:pt idx="10">
                  <c:v>0.82631578947368423</c:v>
                </c:pt>
                <c:pt idx="11">
                  <c:v>0.91578947368421049</c:v>
                </c:pt>
                <c:pt idx="12">
                  <c:v>0.96526315789473682</c:v>
                </c:pt>
                <c:pt idx="13">
                  <c:v>0.98631578947368426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BB-4744-9170-EBC21A6F85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6628784"/>
        <c:axId val="1206643664"/>
      </c:lineChart>
      <c:catAx>
        <c:axId val="12066287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6643664"/>
        <c:crosses val="autoZero"/>
        <c:auto val="1"/>
        <c:lblAlgn val="ctr"/>
        <c:lblOffset val="100"/>
        <c:noMultiLvlLbl val="0"/>
      </c:catAx>
      <c:valAx>
        <c:axId val="120664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6628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'Estimation with Equations'!$N$1</c:f>
              <c:strCache>
                <c:ptCount val="1"/>
                <c:pt idx="0">
                  <c:v>bsi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'Estimation with Equations'!$N$2:$N$15</c:f>
              <c:numCache>
                <c:formatCode>General</c:formatCode>
                <c:ptCount val="14"/>
                <c:pt idx="0">
                  <c:v>2.7149172086463856E-3</c:v>
                </c:pt>
                <c:pt idx="1">
                  <c:v>7.201554411953243E-3</c:v>
                </c:pt>
                <c:pt idx="2">
                  <c:v>2.4670293086383351E-2</c:v>
                </c:pt>
                <c:pt idx="3">
                  <c:v>6.2712580717148567E-2</c:v>
                </c:pt>
                <c:pt idx="4">
                  <c:v>0.1520582985708599</c:v>
                </c:pt>
                <c:pt idx="5">
                  <c:v>0.17602812199376636</c:v>
                </c:pt>
                <c:pt idx="6">
                  <c:v>0.13743730832366183</c:v>
                </c:pt>
                <c:pt idx="7">
                  <c:v>9.4768862929060935E-2</c:v>
                </c:pt>
                <c:pt idx="8">
                  <c:v>5.2836245148207922E-2</c:v>
                </c:pt>
                <c:pt idx="9">
                  <c:v>2.2757141290638872E-2</c:v>
                </c:pt>
                <c:pt idx="10">
                  <c:v>6.354874846004388E-3</c:v>
                </c:pt>
                <c:pt idx="11">
                  <c:v>1.391383124177803E-3</c:v>
                </c:pt>
                <c:pt idx="12">
                  <c:v>2.4081630995385049E-4</c:v>
                </c:pt>
                <c:pt idx="13">
                  <c:v>3.8224811103785792E-5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3C-48DD-B3B8-55DCB7DDEBED}"/>
            </c:ext>
          </c:extLst>
        </c:ser>
        <c:ser>
          <c:idx val="1"/>
          <c:order val="1"/>
          <c:tx>
            <c:strRef>
              <c:f>'Estimation with Equations'!$O$1</c:f>
              <c:strCache>
                <c:ptCount val="1"/>
                <c:pt idx="0">
                  <c:v>bsi+ai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'Estimation with Equations'!$O$2:$O$15</c:f>
              <c:numCache>
                <c:formatCode>General</c:formatCode>
                <c:ptCount val="14"/>
                <c:pt idx="0">
                  <c:v>-1.3663252683988993E-3</c:v>
                </c:pt>
                <c:pt idx="1">
                  <c:v>-3.6053092379599457E-3</c:v>
                </c:pt>
                <c:pt idx="2">
                  <c:v>-1.2083434977406811E-2</c:v>
                </c:pt>
                <c:pt idx="3">
                  <c:v>-2.8997782210961408E-2</c:v>
                </c:pt>
                <c:pt idx="4">
                  <c:v>-5.2712025639295071E-2</c:v>
                </c:pt>
                <c:pt idx="5">
                  <c:v>-4.5214703789760169E-2</c:v>
                </c:pt>
                <c:pt idx="6">
                  <c:v>-2.2806993402625472E-2</c:v>
                </c:pt>
                <c:pt idx="7">
                  <c:v>1.0870839056992168E-2</c:v>
                </c:pt>
                <c:pt idx="8">
                  <c:v>3.2574577734132887E-2</c:v>
                </c:pt>
                <c:pt idx="9">
                  <c:v>3.3883720199755565E-2</c:v>
                </c:pt>
                <c:pt idx="10">
                  <c:v>2.5112270426436961E-2</c:v>
                </c:pt>
                <c:pt idx="11">
                  <c:v>1.1195474984798738E-2</c:v>
                </c:pt>
                <c:pt idx="12">
                  <c:v>5.1535514510360949E-3</c:v>
                </c:pt>
                <c:pt idx="13">
                  <c:v>2.2094284226420249E-3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23C-48DD-B3B8-55DCB7DDEBED}"/>
            </c:ext>
          </c:extLst>
        </c:ser>
        <c:ser>
          <c:idx val="2"/>
          <c:order val="2"/>
          <c:tx>
            <c:strRef>
              <c:f>'Estimation with Equations'!$P$1</c:f>
              <c:strCache>
                <c:ptCount val="1"/>
                <c:pt idx="0">
                  <c:v>ai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'Estimation with Equations'!$P$2:$P$15</c:f>
              <c:numCache>
                <c:formatCode>General</c:formatCode>
                <c:ptCount val="14"/>
                <c:pt idx="0">
                  <c:v>-1.3485919402474863E-3</c:v>
                </c:pt>
                <c:pt idx="1">
                  <c:v>-3.5962451739932973E-3</c:v>
                </c:pt>
                <c:pt idx="2">
                  <c:v>-1.2586858108976541E-2</c:v>
                </c:pt>
                <c:pt idx="3">
                  <c:v>-3.3714798506187159E-2</c:v>
                </c:pt>
                <c:pt idx="4">
                  <c:v>-9.9346272931564825E-2</c:v>
                </c:pt>
                <c:pt idx="5">
                  <c:v>-0.13081341820400619</c:v>
                </c:pt>
                <c:pt idx="6">
                  <c:v>-0.11463031492103636</c:v>
                </c:pt>
                <c:pt idx="7">
                  <c:v>-0.1056397019860531</c:v>
                </c:pt>
                <c:pt idx="8">
                  <c:v>-8.5410822882340809E-2</c:v>
                </c:pt>
                <c:pt idx="9">
                  <c:v>-5.6640861490394434E-2</c:v>
                </c:pt>
                <c:pt idx="10">
                  <c:v>-3.1467145272441349E-2</c:v>
                </c:pt>
                <c:pt idx="11">
                  <c:v>-1.2586858108976541E-2</c:v>
                </c:pt>
                <c:pt idx="12">
                  <c:v>-5.3943677609899453E-3</c:v>
                </c:pt>
                <c:pt idx="13">
                  <c:v>-2.2476532337458105E-3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23C-48DD-B3B8-55DCB7DDEB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0288543"/>
        <c:axId val="330294783"/>
      </c:lineChart>
      <c:catAx>
        <c:axId val="3302885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0294783"/>
        <c:crosses val="autoZero"/>
        <c:auto val="1"/>
        <c:lblAlgn val="ctr"/>
        <c:lblOffset val="100"/>
        <c:noMultiLvlLbl val="0"/>
      </c:catAx>
      <c:valAx>
        <c:axId val="330294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0288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SIR Real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'SIR Predicted'!$B$1</c:f>
              <c:strCache>
                <c:ptCount val="1"/>
                <c:pt idx="0">
                  <c:v>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'SIR Predicted'!$B$2:$B$15</c:f>
              <c:numCache>
                <c:formatCode>General</c:formatCode>
                <c:ptCount val="14"/>
                <c:pt idx="0">
                  <c:v>947</c:v>
                </c:pt>
                <c:pt idx="1">
                  <c:v>942</c:v>
                </c:pt>
                <c:pt idx="2">
                  <c:v>922</c:v>
                </c:pt>
                <c:pt idx="3">
                  <c:v>875</c:v>
                </c:pt>
                <c:pt idx="4">
                  <c:v>720</c:v>
                </c:pt>
                <c:pt idx="5">
                  <c:v>633</c:v>
                </c:pt>
                <c:pt idx="6">
                  <c:v>564</c:v>
                </c:pt>
                <c:pt idx="7">
                  <c:v>422</c:v>
                </c:pt>
                <c:pt idx="8">
                  <c:v>291</c:v>
                </c:pt>
                <c:pt idx="9">
                  <c:v>189</c:v>
                </c:pt>
                <c:pt idx="10">
                  <c:v>95</c:v>
                </c:pt>
                <c:pt idx="11">
                  <c:v>52</c:v>
                </c:pt>
                <c:pt idx="12">
                  <c:v>21</c:v>
                </c:pt>
                <c:pt idx="1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EB-4254-A5A1-51FE00170AF3}"/>
            </c:ext>
          </c:extLst>
        </c:ser>
        <c:ser>
          <c:idx val="1"/>
          <c:order val="1"/>
          <c:tx>
            <c:strRef>
              <c:f>'SIR Predicted'!$C$1</c:f>
              <c:strCache>
                <c:ptCount val="1"/>
                <c:pt idx="0">
                  <c:v>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'SIR Predicted'!$C$2:$C$15</c:f>
              <c:numCache>
                <c:formatCode>General</c:formatCode>
                <c:ptCount val="14"/>
                <c:pt idx="0">
                  <c:v>3</c:v>
                </c:pt>
                <c:pt idx="1">
                  <c:v>8</c:v>
                </c:pt>
                <c:pt idx="2">
                  <c:v>28</c:v>
                </c:pt>
                <c:pt idx="3">
                  <c:v>75</c:v>
                </c:pt>
                <c:pt idx="4">
                  <c:v>221</c:v>
                </c:pt>
                <c:pt idx="5">
                  <c:v>291</c:v>
                </c:pt>
                <c:pt idx="6">
                  <c:v>255</c:v>
                </c:pt>
                <c:pt idx="7">
                  <c:v>235</c:v>
                </c:pt>
                <c:pt idx="8">
                  <c:v>190</c:v>
                </c:pt>
                <c:pt idx="9">
                  <c:v>126</c:v>
                </c:pt>
                <c:pt idx="10">
                  <c:v>70</c:v>
                </c:pt>
                <c:pt idx="11">
                  <c:v>28</c:v>
                </c:pt>
                <c:pt idx="12">
                  <c:v>12</c:v>
                </c:pt>
                <c:pt idx="1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EB-4254-A5A1-51FE00170AF3}"/>
            </c:ext>
          </c:extLst>
        </c:ser>
        <c:ser>
          <c:idx val="2"/>
          <c:order val="2"/>
          <c:tx>
            <c:strRef>
              <c:f>'SIR Predicted'!$D$1</c:f>
              <c:strCache>
                <c:ptCount val="1"/>
                <c:pt idx="0">
                  <c:v>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'SIR Predicted'!$D$2:$D$15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9</c:v>
                </c:pt>
                <c:pt idx="5">
                  <c:v>26</c:v>
                </c:pt>
                <c:pt idx="6">
                  <c:v>131</c:v>
                </c:pt>
                <c:pt idx="7">
                  <c:v>293</c:v>
                </c:pt>
                <c:pt idx="8">
                  <c:v>469</c:v>
                </c:pt>
                <c:pt idx="9">
                  <c:v>635</c:v>
                </c:pt>
                <c:pt idx="10">
                  <c:v>785</c:v>
                </c:pt>
                <c:pt idx="11">
                  <c:v>870</c:v>
                </c:pt>
                <c:pt idx="12">
                  <c:v>917</c:v>
                </c:pt>
                <c:pt idx="13">
                  <c:v>937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CEB-4254-A5A1-51FE00170A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334960"/>
        <c:axId val="135344560"/>
      </c:lineChart>
      <c:catAx>
        <c:axId val="1353349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344560"/>
        <c:crosses val="autoZero"/>
        <c:auto val="1"/>
        <c:lblAlgn val="ctr"/>
        <c:lblOffset val="100"/>
        <c:noMultiLvlLbl val="0"/>
      </c:catAx>
      <c:valAx>
        <c:axId val="135344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334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SIR Predicted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'SIR Predicted'!$J$1</c:f>
              <c:strCache>
                <c:ptCount val="1"/>
                <c:pt idx="0">
                  <c:v>S Pred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'SIR Predicted'!$J$2:$J$15</c:f>
              <c:numCache>
                <c:formatCode>General</c:formatCode>
                <c:ptCount val="14"/>
                <c:pt idx="0">
                  <c:v>947.42082865178588</c:v>
                </c:pt>
                <c:pt idx="1">
                  <c:v>940.57935196043036</c:v>
                </c:pt>
                <c:pt idx="2">
                  <c:v>917.14257352836614</c:v>
                </c:pt>
                <c:pt idx="3">
                  <c:v>857.56562184707502</c:v>
                </c:pt>
                <c:pt idx="4">
                  <c:v>713.11023820475816</c:v>
                </c:pt>
                <c:pt idx="5">
                  <c:v>545.88352231068006</c:v>
                </c:pt>
                <c:pt idx="6">
                  <c:v>415.3180794032013</c:v>
                </c:pt>
                <c:pt idx="7">
                  <c:v>325.28765962059339</c:v>
                </c:pt>
                <c:pt idx="8">
                  <c:v>275.09322672979584</c:v>
                </c:pt>
                <c:pt idx="9">
                  <c:v>253.47394250368893</c:v>
                </c:pt>
                <c:pt idx="10">
                  <c:v>247.43681139998478</c:v>
                </c:pt>
                <c:pt idx="11">
                  <c:v>246.11499743201585</c:v>
                </c:pt>
                <c:pt idx="12">
                  <c:v>245.8862219375597</c:v>
                </c:pt>
                <c:pt idx="13">
                  <c:v>245.8499083670111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78-4342-81A1-7BED664F9E81}"/>
            </c:ext>
          </c:extLst>
        </c:ser>
        <c:ser>
          <c:idx val="1"/>
          <c:order val="1"/>
          <c:tx>
            <c:strRef>
              <c:f>'SIR Predicted'!$K$1</c:f>
              <c:strCache>
                <c:ptCount val="1"/>
                <c:pt idx="0">
                  <c:v>I Pred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'SIR Predicted'!$K$2:$K$15</c:f>
              <c:numCache>
                <c:formatCode>General</c:formatCode>
                <c:ptCount val="14"/>
                <c:pt idx="0">
                  <c:v>1.2980090049789543</c:v>
                </c:pt>
                <c:pt idx="1">
                  <c:v>4.7230527810409031</c:v>
                </c:pt>
                <c:pt idx="2">
                  <c:v>16.202316009577373</c:v>
                </c:pt>
                <c:pt idx="3">
                  <c:v>43.750209109990706</c:v>
                </c:pt>
                <c:pt idx="4">
                  <c:v>93.826633467321017</c:v>
                </c:pt>
                <c:pt idx="5">
                  <c:v>136.78060206759318</c:v>
                </c:pt>
                <c:pt idx="6">
                  <c:v>158.44724580008739</c:v>
                </c:pt>
                <c:pt idx="7">
                  <c:v>148.11994869594483</c:v>
                </c:pt>
                <c:pt idx="8">
                  <c:v>117.17409984851858</c:v>
                </c:pt>
                <c:pt idx="9">
                  <c:v>84.984565658750796</c:v>
                </c:pt>
                <c:pt idx="10">
                  <c:v>61.12790875363568</c:v>
                </c:pt>
                <c:pt idx="11">
                  <c:v>50.492207518076881</c:v>
                </c:pt>
                <c:pt idx="12">
                  <c:v>45.596333639592594</c:v>
                </c:pt>
                <c:pt idx="13">
                  <c:v>43.49737663808267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78-4342-81A1-7BED664F9E81}"/>
            </c:ext>
          </c:extLst>
        </c:ser>
        <c:ser>
          <c:idx val="2"/>
          <c:order val="2"/>
          <c:tx>
            <c:strRef>
              <c:f>'SIR Predicted'!$L$1</c:f>
              <c:strCache>
                <c:ptCount val="1"/>
                <c:pt idx="0">
                  <c:v>R Pred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'SIR Predicted'!$L$2:$L$15</c:f>
              <c:numCache>
                <c:formatCode>General</c:formatCode>
                <c:ptCount val="14"/>
                <c:pt idx="0">
                  <c:v>1.281162343235112</c:v>
                </c:pt>
                <c:pt idx="1">
                  <c:v>4.6975952585287448</c:v>
                </c:pt>
                <c:pt idx="2">
                  <c:v>16.655110462056456</c:v>
                </c:pt>
                <c:pt idx="3">
                  <c:v>48.684169042934258</c:v>
                </c:pt>
                <c:pt idx="4">
                  <c:v>143.06312832792082</c:v>
                </c:pt>
                <c:pt idx="5">
                  <c:v>267.3358756217267</c:v>
                </c:pt>
                <c:pt idx="6">
                  <c:v>376.23467479671126</c:v>
                </c:pt>
                <c:pt idx="7">
                  <c:v>476.5923916834617</c:v>
                </c:pt>
                <c:pt idx="8">
                  <c:v>557.73267342168549</c:v>
                </c:pt>
                <c:pt idx="9">
                  <c:v>611.54149183756022</c:v>
                </c:pt>
                <c:pt idx="10">
                  <c:v>641.43527984637944</c:v>
                </c:pt>
                <c:pt idx="11">
                  <c:v>653.39279504990714</c:v>
                </c:pt>
                <c:pt idx="12">
                  <c:v>658.51744442284757</c:v>
                </c:pt>
                <c:pt idx="13">
                  <c:v>660.65271499490609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978-4342-81A1-7BED664F9E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336880"/>
        <c:axId val="135346480"/>
      </c:lineChart>
      <c:catAx>
        <c:axId val="1353368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346480"/>
        <c:crosses val="autoZero"/>
        <c:auto val="1"/>
        <c:lblAlgn val="ctr"/>
        <c:lblOffset val="100"/>
        <c:noMultiLvlLbl val="0"/>
      </c:catAx>
      <c:valAx>
        <c:axId val="135346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336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Susceptible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'SIR Predicted'!$B$1</c:f>
              <c:strCache>
                <c:ptCount val="1"/>
                <c:pt idx="0">
                  <c:v>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'SIR Predicted'!$B$2:$B$15</c:f>
              <c:numCache>
                <c:formatCode>General</c:formatCode>
                <c:ptCount val="14"/>
                <c:pt idx="0">
                  <c:v>947</c:v>
                </c:pt>
                <c:pt idx="1">
                  <c:v>942</c:v>
                </c:pt>
                <c:pt idx="2">
                  <c:v>922</c:v>
                </c:pt>
                <c:pt idx="3">
                  <c:v>875</c:v>
                </c:pt>
                <c:pt idx="4">
                  <c:v>720</c:v>
                </c:pt>
                <c:pt idx="5">
                  <c:v>633</c:v>
                </c:pt>
                <c:pt idx="6">
                  <c:v>564</c:v>
                </c:pt>
                <c:pt idx="7">
                  <c:v>422</c:v>
                </c:pt>
                <c:pt idx="8">
                  <c:v>291</c:v>
                </c:pt>
                <c:pt idx="9">
                  <c:v>189</c:v>
                </c:pt>
                <c:pt idx="10">
                  <c:v>95</c:v>
                </c:pt>
                <c:pt idx="11">
                  <c:v>52</c:v>
                </c:pt>
                <c:pt idx="12">
                  <c:v>21</c:v>
                </c:pt>
                <c:pt idx="1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49-4CD4-9F39-997480CC8180}"/>
            </c:ext>
          </c:extLst>
        </c:ser>
        <c:ser>
          <c:idx val="1"/>
          <c:order val="1"/>
          <c:tx>
            <c:strRef>
              <c:f>'SIR Predicted'!$J$1</c:f>
              <c:strCache>
                <c:ptCount val="1"/>
                <c:pt idx="0">
                  <c:v>S Pred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'SIR Predicted'!$J$2:$J$15</c:f>
              <c:numCache>
                <c:formatCode>General</c:formatCode>
                <c:ptCount val="14"/>
                <c:pt idx="0">
                  <c:v>947.42082865178588</c:v>
                </c:pt>
                <c:pt idx="1">
                  <c:v>940.57935196043036</c:v>
                </c:pt>
                <c:pt idx="2">
                  <c:v>917.14257352836614</c:v>
                </c:pt>
                <c:pt idx="3">
                  <c:v>857.56562184707502</c:v>
                </c:pt>
                <c:pt idx="4">
                  <c:v>713.11023820475816</c:v>
                </c:pt>
                <c:pt idx="5">
                  <c:v>545.88352231068006</c:v>
                </c:pt>
                <c:pt idx="6">
                  <c:v>415.3180794032013</c:v>
                </c:pt>
                <c:pt idx="7">
                  <c:v>325.28765962059339</c:v>
                </c:pt>
                <c:pt idx="8">
                  <c:v>275.09322672979584</c:v>
                </c:pt>
                <c:pt idx="9">
                  <c:v>253.47394250368893</c:v>
                </c:pt>
                <c:pt idx="10">
                  <c:v>247.43681139998478</c:v>
                </c:pt>
                <c:pt idx="11">
                  <c:v>246.11499743201585</c:v>
                </c:pt>
                <c:pt idx="12">
                  <c:v>245.8862219375597</c:v>
                </c:pt>
                <c:pt idx="13">
                  <c:v>245.8499083670111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D49-4CD4-9F39-997480CC81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348880"/>
        <c:axId val="135362800"/>
      </c:lineChart>
      <c:catAx>
        <c:axId val="1353488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362800"/>
        <c:crosses val="autoZero"/>
        <c:auto val="1"/>
        <c:lblAlgn val="ctr"/>
        <c:lblOffset val="100"/>
        <c:noMultiLvlLbl val="0"/>
      </c:catAx>
      <c:valAx>
        <c:axId val="135362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348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Infected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'SIR Predicted'!$C$1</c:f>
              <c:strCache>
                <c:ptCount val="1"/>
                <c:pt idx="0">
                  <c:v>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'SIR Predicted'!$C$2:$C$15</c:f>
              <c:numCache>
                <c:formatCode>General</c:formatCode>
                <c:ptCount val="14"/>
                <c:pt idx="0">
                  <c:v>3</c:v>
                </c:pt>
                <c:pt idx="1">
                  <c:v>8</c:v>
                </c:pt>
                <c:pt idx="2">
                  <c:v>28</c:v>
                </c:pt>
                <c:pt idx="3">
                  <c:v>75</c:v>
                </c:pt>
                <c:pt idx="4">
                  <c:v>221</c:v>
                </c:pt>
                <c:pt idx="5">
                  <c:v>291</c:v>
                </c:pt>
                <c:pt idx="6">
                  <c:v>255</c:v>
                </c:pt>
                <c:pt idx="7">
                  <c:v>235</c:v>
                </c:pt>
                <c:pt idx="8">
                  <c:v>190</c:v>
                </c:pt>
                <c:pt idx="9">
                  <c:v>126</c:v>
                </c:pt>
                <c:pt idx="10">
                  <c:v>70</c:v>
                </c:pt>
                <c:pt idx="11">
                  <c:v>28</c:v>
                </c:pt>
                <c:pt idx="12">
                  <c:v>12</c:v>
                </c:pt>
                <c:pt idx="1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3B-4D08-89ED-42D6E4375448}"/>
            </c:ext>
          </c:extLst>
        </c:ser>
        <c:ser>
          <c:idx val="1"/>
          <c:order val="1"/>
          <c:tx>
            <c:strRef>
              <c:f>'SIR Predicted'!$K$1</c:f>
              <c:strCache>
                <c:ptCount val="1"/>
                <c:pt idx="0">
                  <c:v>I Pred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'SIR Predicted'!$K$2:$K$15</c:f>
              <c:numCache>
                <c:formatCode>General</c:formatCode>
                <c:ptCount val="14"/>
                <c:pt idx="0">
                  <c:v>1.2980090049789543</c:v>
                </c:pt>
                <c:pt idx="1">
                  <c:v>4.7230527810409031</c:v>
                </c:pt>
                <c:pt idx="2">
                  <c:v>16.202316009577373</c:v>
                </c:pt>
                <c:pt idx="3">
                  <c:v>43.750209109990706</c:v>
                </c:pt>
                <c:pt idx="4">
                  <c:v>93.826633467321017</c:v>
                </c:pt>
                <c:pt idx="5">
                  <c:v>136.78060206759318</c:v>
                </c:pt>
                <c:pt idx="6">
                  <c:v>158.44724580008739</c:v>
                </c:pt>
                <c:pt idx="7">
                  <c:v>148.11994869594483</c:v>
                </c:pt>
                <c:pt idx="8">
                  <c:v>117.17409984851858</c:v>
                </c:pt>
                <c:pt idx="9">
                  <c:v>84.984565658750796</c:v>
                </c:pt>
                <c:pt idx="10">
                  <c:v>61.12790875363568</c:v>
                </c:pt>
                <c:pt idx="11">
                  <c:v>50.492207518076881</c:v>
                </c:pt>
                <c:pt idx="12">
                  <c:v>45.596333639592594</c:v>
                </c:pt>
                <c:pt idx="13">
                  <c:v>43.49737663808267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73B-4D08-89ED-42D6E43754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348880"/>
        <c:axId val="135362800"/>
      </c:lineChart>
      <c:catAx>
        <c:axId val="1353488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362800"/>
        <c:crosses val="autoZero"/>
        <c:auto val="1"/>
        <c:lblAlgn val="ctr"/>
        <c:lblOffset val="100"/>
        <c:noMultiLvlLbl val="0"/>
      </c:catAx>
      <c:valAx>
        <c:axId val="135362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348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Recovered</a:t>
            </a:r>
          </a:p>
        </c:rich>
      </c:tx>
      <c:layout>
        <c:manualLayout>
          <c:xMode val="edge"/>
          <c:yMode val="edge"/>
          <c:x val="0.43079855643044623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'SIR Predicted'!$D$1</c:f>
              <c:strCache>
                <c:ptCount val="1"/>
                <c:pt idx="0">
                  <c:v>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'SIR Predicted'!$D$2:$D$15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9</c:v>
                </c:pt>
                <c:pt idx="5">
                  <c:v>26</c:v>
                </c:pt>
                <c:pt idx="6">
                  <c:v>131</c:v>
                </c:pt>
                <c:pt idx="7">
                  <c:v>293</c:v>
                </c:pt>
                <c:pt idx="8">
                  <c:v>469</c:v>
                </c:pt>
                <c:pt idx="9">
                  <c:v>635</c:v>
                </c:pt>
                <c:pt idx="10">
                  <c:v>785</c:v>
                </c:pt>
                <c:pt idx="11">
                  <c:v>870</c:v>
                </c:pt>
                <c:pt idx="12">
                  <c:v>917</c:v>
                </c:pt>
                <c:pt idx="13">
                  <c:v>937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9E-44D2-ABD6-6F769FC5B72D}"/>
            </c:ext>
          </c:extLst>
        </c:ser>
        <c:ser>
          <c:idx val="1"/>
          <c:order val="1"/>
          <c:tx>
            <c:strRef>
              <c:f>'SIR Predicted'!$L$1</c:f>
              <c:strCache>
                <c:ptCount val="1"/>
                <c:pt idx="0">
                  <c:v>R Pred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'SIR Predicted'!$L$2:$L$15</c:f>
              <c:numCache>
                <c:formatCode>General</c:formatCode>
                <c:ptCount val="14"/>
                <c:pt idx="0">
                  <c:v>1.281162343235112</c:v>
                </c:pt>
                <c:pt idx="1">
                  <c:v>4.6975952585287448</c:v>
                </c:pt>
                <c:pt idx="2">
                  <c:v>16.655110462056456</c:v>
                </c:pt>
                <c:pt idx="3">
                  <c:v>48.684169042934258</c:v>
                </c:pt>
                <c:pt idx="4">
                  <c:v>143.06312832792082</c:v>
                </c:pt>
                <c:pt idx="5">
                  <c:v>267.3358756217267</c:v>
                </c:pt>
                <c:pt idx="6">
                  <c:v>376.23467479671126</c:v>
                </c:pt>
                <c:pt idx="7">
                  <c:v>476.5923916834617</c:v>
                </c:pt>
                <c:pt idx="8">
                  <c:v>557.73267342168549</c:v>
                </c:pt>
                <c:pt idx="9">
                  <c:v>611.54149183756022</c:v>
                </c:pt>
                <c:pt idx="10">
                  <c:v>641.43527984637944</c:v>
                </c:pt>
                <c:pt idx="11">
                  <c:v>653.39279504990714</c:v>
                </c:pt>
                <c:pt idx="12">
                  <c:v>658.51744442284757</c:v>
                </c:pt>
                <c:pt idx="13">
                  <c:v>660.65271499490609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9E-44D2-ABD6-6F769FC5B7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348880"/>
        <c:axId val="135362800"/>
      </c:lineChart>
      <c:catAx>
        <c:axId val="1353488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362800"/>
        <c:crosses val="autoZero"/>
        <c:auto val="1"/>
        <c:lblAlgn val="ctr"/>
        <c:lblOffset val="100"/>
        <c:noMultiLvlLbl val="0"/>
      </c:catAx>
      <c:valAx>
        <c:axId val="135362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348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Susceptible (1 Neuron)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'Estimation with 1 Neuron'!$D$3</c:f>
              <c:strCache>
                <c:ptCount val="1"/>
                <c:pt idx="0">
                  <c:v>f13S Predicted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'Estimation with 1 Neuron'!$D$4:$D$63</c:f>
              <c:numCache>
                <c:formatCode>General</c:formatCode>
                <c:ptCount val="60"/>
                <c:pt idx="0">
                  <c:v>0.97155583420803893</c:v>
                </c:pt>
                <c:pt idx="1">
                  <c:v>0.96637180337597872</c:v>
                </c:pt>
                <c:pt idx="2">
                  <c:v>0.96006216122019539</c:v>
                </c:pt>
                <c:pt idx="3">
                  <c:v>0.95240193229676295</c:v>
                </c:pt>
                <c:pt idx="4">
                  <c:v>0.94313057090735974</c:v>
                </c:pt>
                <c:pt idx="5">
                  <c:v>0.93195088254269765</c:v>
                </c:pt>
                <c:pt idx="6">
                  <c:v>0.91853038790681651</c:v>
                </c:pt>
                <c:pt idx="7">
                  <c:v>0.90250639615091754</c:v>
                </c:pt>
                <c:pt idx="8">
                  <c:v>0.88349629504425609</c:v>
                </c:pt>
                <c:pt idx="9">
                  <c:v>0.86111465028044376</c:v>
                </c:pt>
                <c:pt idx="10">
                  <c:v>0.83499846838699943</c:v>
                </c:pt>
                <c:pt idx="11">
                  <c:v>0.80484121336109271</c:v>
                </c:pt>
                <c:pt idx="12">
                  <c:v>0.77043469128111863</c:v>
                </c:pt>
                <c:pt idx="13">
                  <c:v>0.73171568030198408</c:v>
                </c:pt>
                <c:pt idx="14">
                  <c:v>0.68881143312101289</c:v>
                </c:pt>
                <c:pt idx="15">
                  <c:v>0.64207559804111691</c:v>
                </c:pt>
                <c:pt idx="16">
                  <c:v>0.59210479331719612</c:v>
                </c:pt>
                <c:pt idx="17">
                  <c:v>0.53972722815156238</c:v>
                </c:pt>
                <c:pt idx="18">
                  <c:v>0.48595906567766606</c:v>
                </c:pt>
                <c:pt idx="19">
                  <c:v>0.4319311376813616</c:v>
                </c:pt>
                <c:pt idx="20">
                  <c:v>0.37879618831333012</c:v>
                </c:pt>
                <c:pt idx="21">
                  <c:v>0.32763228391224408</c:v>
                </c:pt>
                <c:pt idx="22">
                  <c:v>0.27935914129433159</c:v>
                </c:pt>
                <c:pt idx="23">
                  <c:v>0.23468042058137686</c:v>
                </c:pt>
                <c:pt idx="24">
                  <c:v>0.194058060605447</c:v>
                </c:pt>
                <c:pt idx="25">
                  <c:v>0.15771721294728108</c:v>
                </c:pt>
                <c:pt idx="26">
                  <c:v>0.12567470413831455</c:v>
                </c:pt>
                <c:pt idx="27">
                  <c:v>9.7781413456627886E-2</c:v>
                </c:pt>
                <c:pt idx="28">
                  <c:v>7.3769292792242036E-2</c:v>
                </c:pt>
                <c:pt idx="29">
                  <c:v>5.3295920709950095E-2</c:v>
                </c:pt>
                <c:pt idx="30">
                  <c:v>3.5982269873053307E-2</c:v>
                </c:pt>
                <c:pt idx="31">
                  <c:v>2.1441888224417394E-2</c:v>
                </c:pt>
                <c:pt idx="32">
                  <c:v>9.3015186995780152E-3</c:v>
                </c:pt>
                <c:pt idx="33">
                  <c:v>-7.8575282475928931E-4</c:v>
                </c:pt>
                <c:pt idx="34">
                  <c:v>-9.1332840940621662E-3</c:v>
                </c:pt>
                <c:pt idx="35">
                  <c:v>-1.6018023977955764E-2</c:v>
                </c:pt>
                <c:pt idx="36">
                  <c:v>-2.1680635260410863E-2</c:v>
                </c:pt>
                <c:pt idx="37">
                  <c:v>-2.6327483781249994E-2</c:v>
                </c:pt>
                <c:pt idx="38">
                  <c:v>-3.0133667936974751E-2</c:v>
                </c:pt>
                <c:pt idx="39">
                  <c:v>-3.3246510154130104E-2</c:v>
                </c:pt>
                <c:pt idx="40">
                  <c:v>-3.5789129356032123E-2</c:v>
                </c:pt>
                <c:pt idx="41">
                  <c:v>-3.7863860740966537E-2</c:v>
                </c:pt>
                <c:pt idx="42">
                  <c:v>-3.9555393363646052E-2</c:v>
                </c:pt>
                <c:pt idx="43">
                  <c:v>-4.0933566162846213E-2</c:v>
                </c:pt>
                <c:pt idx="44">
                  <c:v>-4.2055807953564062E-2</c:v>
                </c:pt>
                <c:pt idx="45">
                  <c:v>-4.2969233860365275E-2</c:v>
                </c:pt>
                <c:pt idx="46">
                  <c:v>-4.371242543478332E-2</c:v>
                </c:pt>
                <c:pt idx="47">
                  <c:v>-4.4316928495019281E-2</c:v>
                </c:pt>
                <c:pt idx="48">
                  <c:v>-4.4808504538318028E-2</c:v>
                </c:pt>
                <c:pt idx="49">
                  <c:v>-4.5208170447475771E-2</c:v>
                </c:pt>
                <c:pt idx="50">
                  <c:v>-4.553305849437389E-2</c:v>
                </c:pt>
                <c:pt idx="51">
                  <c:v>-4.5797125199481481E-2</c:v>
                </c:pt>
                <c:pt idx="52">
                  <c:v>-4.6011733967698476E-2</c:v>
                </c:pt>
                <c:pt idx="53">
                  <c:v>-4.6186132896327059E-2</c:v>
                </c:pt>
                <c:pt idx="54">
                  <c:v>-4.6327845904877318E-2</c:v>
                </c:pt>
                <c:pt idx="55">
                  <c:v>-4.6442992442697395E-2</c:v>
                </c:pt>
                <c:pt idx="56">
                  <c:v>-4.6536548508093911E-2</c:v>
                </c:pt>
                <c:pt idx="57">
                  <c:v>-4.661255954914395E-2</c:v>
                </c:pt>
                <c:pt idx="58">
                  <c:v>-4.667431398275429E-2</c:v>
                </c:pt>
                <c:pt idx="59">
                  <c:v>-4.6724484528381016E-2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72-4B92-A2D7-596FA8497BA0}"/>
            </c:ext>
          </c:extLst>
        </c:ser>
        <c:ser>
          <c:idx val="1"/>
          <c:order val="1"/>
          <c:tx>
            <c:strRef>
              <c:f>'Estimation with 1 Neuron'!$G$3</c:f>
              <c:strCache>
                <c:ptCount val="1"/>
                <c:pt idx="0">
                  <c:v>f13S Real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'Estimation with 1 Neuron'!$G$4:$G$63</c:f>
              <c:numCache>
                <c:formatCode>General</c:formatCode>
                <c:ptCount val="60"/>
                <c:pt idx="0">
                  <c:v>0.99916902781949102</c:v>
                </c:pt>
                <c:pt idx="1">
                  <c:v>0.98960193539692398</c:v>
                </c:pt>
                <c:pt idx="2">
                  <c:v>1.0027006748148801</c:v>
                </c:pt>
                <c:pt idx="3">
                  <c:v>0.99110329365628103</c:v>
                </c:pt>
                <c:pt idx="4">
                  <c:v>0.99855053119660397</c:v>
                </c:pt>
                <c:pt idx="5">
                  <c:v>0.99334815329542803</c:v>
                </c:pt>
                <c:pt idx="6">
                  <c:v>0.98283073740154103</c:v>
                </c:pt>
                <c:pt idx="7">
                  <c:v>0.97539398785926001</c:v>
                </c:pt>
                <c:pt idx="8">
                  <c:v>0.96249140793574095</c:v>
                </c:pt>
                <c:pt idx="9">
                  <c:v>0.94450237023887595</c:v>
                </c:pt>
                <c:pt idx="10">
                  <c:v>0.91819898168117797</c:v>
                </c:pt>
                <c:pt idx="11">
                  <c:v>0.89021613947898592</c:v>
                </c:pt>
                <c:pt idx="12">
                  <c:v>0.83105634839519704</c:v>
                </c:pt>
                <c:pt idx="13">
                  <c:v>0.77338802087821101</c:v>
                </c:pt>
                <c:pt idx="14">
                  <c:v>0.68790871012265198</c:v>
                </c:pt>
                <c:pt idx="15">
                  <c:v>0.59497831839092707</c:v>
                </c:pt>
                <c:pt idx="16">
                  <c:v>0.48898600704502004</c:v>
                </c:pt>
                <c:pt idx="17">
                  <c:v>0.39651123517081099</c:v>
                </c:pt>
                <c:pt idx="18">
                  <c:v>0.31251275507811599</c:v>
                </c:pt>
                <c:pt idx="19">
                  <c:v>0.23552071001902899</c:v>
                </c:pt>
                <c:pt idx="20">
                  <c:v>0.188024971201353</c:v>
                </c:pt>
                <c:pt idx="21">
                  <c:v>0.137907399961987</c:v>
                </c:pt>
                <c:pt idx="22">
                  <c:v>9.9076317792327895E-2</c:v>
                </c:pt>
                <c:pt idx="23">
                  <c:v>7.6771548896384309E-2</c:v>
                </c:pt>
                <c:pt idx="24">
                  <c:v>5.50331848909218E-2</c:v>
                </c:pt>
                <c:pt idx="25">
                  <c:v>4.1882891498532304E-2</c:v>
                </c:pt>
                <c:pt idx="26">
                  <c:v>2.6899076645389701E-2</c:v>
                </c:pt>
                <c:pt idx="27">
                  <c:v>2.8643066551244298E-2</c:v>
                </c:pt>
                <c:pt idx="28">
                  <c:v>1.8585382566350301E-2</c:v>
                </c:pt>
                <c:pt idx="29">
                  <c:v>1.6441050975567299E-2</c:v>
                </c:pt>
                <c:pt idx="30">
                  <c:v>1.6927265894710001E-2</c:v>
                </c:pt>
                <c:pt idx="31">
                  <c:v>5.5360201456173194E-3</c:v>
                </c:pt>
                <c:pt idx="32">
                  <c:v>5.5516744239331806E-3</c:v>
                </c:pt>
                <c:pt idx="33">
                  <c:v>1.2931474477337201E-2</c:v>
                </c:pt>
                <c:pt idx="34">
                  <c:v>8.6066661943624695E-3</c:v>
                </c:pt>
                <c:pt idx="35">
                  <c:v>7.3575980325581393E-3</c:v>
                </c:pt>
                <c:pt idx="36">
                  <c:v>2.8505374714209897E-3</c:v>
                </c:pt>
                <c:pt idx="37">
                  <c:v>-2.1838521820841201E-4</c:v>
                </c:pt>
                <c:pt idx="38">
                  <c:v>8.2348707294253292E-3</c:v>
                </c:pt>
                <c:pt idx="39">
                  <c:v>3.9663387236011597E-3</c:v>
                </c:pt>
                <c:pt idx="40">
                  <c:v>7.9785242352294391E-3</c:v>
                </c:pt>
                <c:pt idx="41">
                  <c:v>3.1396670372780401E-3</c:v>
                </c:pt>
                <c:pt idx="42">
                  <c:v>2.6118371468564702E-3</c:v>
                </c:pt>
                <c:pt idx="43">
                  <c:v>2.39128185473625E-3</c:v>
                </c:pt>
                <c:pt idx="44">
                  <c:v>1.2757458204968699E-3</c:v>
                </c:pt>
                <c:pt idx="45">
                  <c:v>3.5362804167817599E-3</c:v>
                </c:pt>
                <c:pt idx="46">
                  <c:v>-3.1346344649783998E-3</c:v>
                </c:pt>
                <c:pt idx="47">
                  <c:v>9.0828857896239103E-3</c:v>
                </c:pt>
                <c:pt idx="48">
                  <c:v>1.0538230552720001E-2</c:v>
                </c:pt>
                <c:pt idx="49">
                  <c:v>2.5859344138377399E-3</c:v>
                </c:pt>
                <c:pt idx="50">
                  <c:v>2.0336631835871899E-3</c:v>
                </c:pt>
                <c:pt idx="51">
                  <c:v>2.2949557971681501E-3</c:v>
                </c:pt>
                <c:pt idx="52">
                  <c:v>2.3936274802814103E-3</c:v>
                </c:pt>
                <c:pt idx="53">
                  <c:v>2.3043154567460099E-3</c:v>
                </c:pt>
                <c:pt idx="54">
                  <c:v>3.0385585864702198E-3</c:v>
                </c:pt>
                <c:pt idx="55">
                  <c:v>7.9515125832206497E-3</c:v>
                </c:pt>
                <c:pt idx="56">
                  <c:v>-1.1013052498209E-4</c:v>
                </c:pt>
                <c:pt idx="57">
                  <c:v>5.6947636442931599E-3</c:v>
                </c:pt>
                <c:pt idx="58">
                  <c:v>-2.2807198247528698E-3</c:v>
                </c:pt>
                <c:pt idx="59">
                  <c:v>-1.0788247514761E-4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F72-4B92-A2D7-596FA8497B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6832640"/>
        <c:axId val="256835040"/>
      </c:lineChart>
      <c:catAx>
        <c:axId val="2568326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6835040"/>
        <c:crosses val="autoZero"/>
        <c:auto val="1"/>
        <c:lblAlgn val="ctr"/>
        <c:lblOffset val="100"/>
        <c:noMultiLvlLbl val="0"/>
      </c:catAx>
      <c:valAx>
        <c:axId val="256835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6832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Infected (1</a:t>
            </a:r>
            <a:r>
              <a:rPr lang="en-US" baseline="0"/>
              <a:t> Neuron)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'Estimation with 1 Neuron'!$E$3</c:f>
              <c:strCache>
                <c:ptCount val="1"/>
                <c:pt idx="0">
                  <c:v>f13I Predicted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'Estimation with 1 Neuron'!$E$4:$E$63</c:f>
              <c:numCache>
                <c:formatCode>General</c:formatCode>
                <c:ptCount val="60"/>
                <c:pt idx="0">
                  <c:v>0.15212836581249589</c:v>
                </c:pt>
                <c:pt idx="1">
                  <c:v>0.15264842653238037</c:v>
                </c:pt>
                <c:pt idx="2">
                  <c:v>0.1532814083081554</c:v>
                </c:pt>
                <c:pt idx="3">
                  <c:v>0.15404988062197011</c:v>
                </c:pt>
                <c:pt idx="4">
                  <c:v>0.15497998135529578</c:v>
                </c:pt>
                <c:pt idx="5">
                  <c:v>0.15610152498946042</c:v>
                </c:pt>
                <c:pt idx="6">
                  <c:v>0.15744786576706113</c:v>
                </c:pt>
                <c:pt idx="7">
                  <c:v>0.15905538874637254</c:v>
                </c:pt>
                <c:pt idx="8">
                  <c:v>0.16096247749389025</c:v>
                </c:pt>
                <c:pt idx="9">
                  <c:v>0.16320779868605623</c:v>
                </c:pt>
                <c:pt idx="10">
                  <c:v>0.16582776774027977</c:v>
                </c:pt>
                <c:pt idx="11">
                  <c:v>0.16885313627426274</c:v>
                </c:pt>
                <c:pt idx="12">
                  <c:v>0.1723047902518918</c:v>
                </c:pt>
                <c:pt idx="13">
                  <c:v>0.17618907207338338</c:v>
                </c:pt>
                <c:pt idx="14">
                  <c:v>0.18049321577890406</c:v>
                </c:pt>
                <c:pt idx="15">
                  <c:v>0.18518174345619667</c:v>
                </c:pt>
                <c:pt idx="16">
                  <c:v>0.19019480250615617</c:v>
                </c:pt>
                <c:pt idx="17">
                  <c:v>0.19544930718181797</c:v>
                </c:pt>
                <c:pt idx="18">
                  <c:v>0.20084331624328158</c:v>
                </c:pt>
                <c:pt idx="19">
                  <c:v>0.20626338491915749</c:v>
                </c:pt>
                <c:pt idx="20">
                  <c:v>0.21159387019491371</c:v>
                </c:pt>
                <c:pt idx="21">
                  <c:v>0.21672662071606646</c:v>
                </c:pt>
                <c:pt idx="22">
                  <c:v>0.22156937071394414</c:v>
                </c:pt>
                <c:pt idx="23">
                  <c:v>0.22605152917523211</c:v>
                </c:pt>
                <c:pt idx="24">
                  <c:v>0.23012675450796655</c:v>
                </c:pt>
                <c:pt idx="25">
                  <c:v>0.23377245955999584</c:v>
                </c:pt>
                <c:pt idx="26">
                  <c:v>0.23698695629775407</c:v>
                </c:pt>
                <c:pt idx="27">
                  <c:v>0.23978520447601573</c:v>
                </c:pt>
                <c:pt idx="28">
                  <c:v>0.24219409461637595</c:v>
                </c:pt>
                <c:pt idx="29">
                  <c:v>0.24424797835443773</c:v>
                </c:pt>
                <c:pt idx="30">
                  <c:v>0.24598487962099261</c:v>
                </c:pt>
                <c:pt idx="31">
                  <c:v>0.24744356719299135</c:v>
                </c:pt>
                <c:pt idx="32">
                  <c:v>0.24866148612890984</c:v>
                </c:pt>
                <c:pt idx="33">
                  <c:v>0.24967343876973397</c:v>
                </c:pt>
                <c:pt idx="34">
                  <c:v>0.25051086108873788</c:v>
                </c:pt>
                <c:pt idx="35">
                  <c:v>0.25120153652957283</c:v>
                </c:pt>
                <c:pt idx="36">
                  <c:v>0.25176960832454887</c:v>
                </c:pt>
                <c:pt idx="37">
                  <c:v>0.25223577904483008</c:v>
                </c:pt>
                <c:pt idx="38">
                  <c:v>0.25261761451922526</c:v>
                </c:pt>
                <c:pt idx="39">
                  <c:v>0.25292989409795175</c:v>
                </c:pt>
                <c:pt idx="40">
                  <c:v>0.25318496904163368</c:v>
                </c:pt>
                <c:pt idx="41">
                  <c:v>0.25339310559262462</c:v>
                </c:pt>
                <c:pt idx="42">
                  <c:v>0.25356279973642071</c:v>
                </c:pt>
                <c:pt idx="43">
                  <c:v>0.2537010576984769</c:v>
                </c:pt>
                <c:pt idx="44">
                  <c:v>0.25381364072363094</c:v>
                </c:pt>
                <c:pt idx="45">
                  <c:v>0.25390527538978963</c:v>
                </c:pt>
                <c:pt idx="46">
                  <c:v>0.2539798321888761</c:v>
                </c:pt>
                <c:pt idx="47">
                  <c:v>0.25404047578974637</c:v>
                </c:pt>
                <c:pt idx="48">
                  <c:v>0.25408979057957648</c:v>
                </c:pt>
                <c:pt idx="49">
                  <c:v>0.25412988496696798</c:v>
                </c:pt>
                <c:pt idx="50">
                  <c:v>0.25416247765729433</c:v>
                </c:pt>
                <c:pt idx="51">
                  <c:v>0.25418896876531522</c:v>
                </c:pt>
                <c:pt idx="52">
                  <c:v>0.2542104982650632</c:v>
                </c:pt>
                <c:pt idx="53">
                  <c:v>0.25422799392342404</c:v>
                </c:pt>
                <c:pt idx="54">
                  <c:v>0.25424221053818408</c:v>
                </c:pt>
                <c:pt idx="55">
                  <c:v>0.25425376201102268</c:v>
                </c:pt>
                <c:pt idx="56">
                  <c:v>0.25426314753288698</c:v>
                </c:pt>
                <c:pt idx="57">
                  <c:v>0.25427077294215022</c:v>
                </c:pt>
                <c:pt idx="58">
                  <c:v>0.25427696813200151</c:v>
                </c:pt>
                <c:pt idx="59">
                  <c:v>0.25428200122901057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D1-446F-B97B-B6D32D2AD849}"/>
            </c:ext>
          </c:extLst>
        </c:ser>
        <c:ser>
          <c:idx val="1"/>
          <c:order val="1"/>
          <c:tx>
            <c:strRef>
              <c:f>'Estimation with 1 Neuron'!$H$3</c:f>
              <c:strCache>
                <c:ptCount val="1"/>
                <c:pt idx="0">
                  <c:v>f13I Real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'Estimation with 1 Neuron'!$H$4:$H$63</c:f>
              <c:numCache>
                <c:formatCode>General</c:formatCode>
                <c:ptCount val="60"/>
                <c:pt idx="0">
                  <c:v>-5.1644142064485399E-4</c:v>
                </c:pt>
                <c:pt idx="1">
                  <c:v>2.1639113228485896E-3</c:v>
                </c:pt>
                <c:pt idx="2">
                  <c:v>3.31005964809079E-3</c:v>
                </c:pt>
                <c:pt idx="3">
                  <c:v>1.5165637719900501E-3</c:v>
                </c:pt>
                <c:pt idx="4">
                  <c:v>2.0051112150917699E-3</c:v>
                </c:pt>
                <c:pt idx="5">
                  <c:v>5.7859344004262394E-3</c:v>
                </c:pt>
                <c:pt idx="6">
                  <c:v>1.2651330839959601E-2</c:v>
                </c:pt>
                <c:pt idx="7">
                  <c:v>2.03539996715329E-2</c:v>
                </c:pt>
                <c:pt idx="8">
                  <c:v>3.3533967396357001E-2</c:v>
                </c:pt>
                <c:pt idx="9">
                  <c:v>4.7496166004264602E-2</c:v>
                </c:pt>
                <c:pt idx="10">
                  <c:v>6.7597221336325009E-2</c:v>
                </c:pt>
                <c:pt idx="11">
                  <c:v>9.5969397639399309E-2</c:v>
                </c:pt>
                <c:pt idx="12">
                  <c:v>0.139820372745182</c:v>
                </c:pt>
                <c:pt idx="13">
                  <c:v>0.19576330278256401</c:v>
                </c:pt>
                <c:pt idx="14">
                  <c:v>0.25894601239861498</c:v>
                </c:pt>
                <c:pt idx="15">
                  <c:v>0.33076845698165103</c:v>
                </c:pt>
                <c:pt idx="16">
                  <c:v>0.40789980280525601</c:v>
                </c:pt>
                <c:pt idx="17">
                  <c:v>0.47372642816447597</c:v>
                </c:pt>
                <c:pt idx="18">
                  <c:v>0.52750319456345507</c:v>
                </c:pt>
                <c:pt idx="19">
                  <c:v>0.55793614971574401</c:v>
                </c:pt>
                <c:pt idx="20">
                  <c:v>0.5772776209197521</c:v>
                </c:pt>
                <c:pt idx="21">
                  <c:v>0.57947852857229998</c:v>
                </c:pt>
                <c:pt idx="22">
                  <c:v>0.57261055388682602</c:v>
                </c:pt>
                <c:pt idx="23">
                  <c:v>0.554625055849157</c:v>
                </c:pt>
                <c:pt idx="24">
                  <c:v>0.53385373128166391</c:v>
                </c:pt>
                <c:pt idx="25">
                  <c:v>0.51004856673586696</c:v>
                </c:pt>
                <c:pt idx="26">
                  <c:v>0.48054748715594703</c:v>
                </c:pt>
                <c:pt idx="27">
                  <c:v>0.45621581041098197</c:v>
                </c:pt>
                <c:pt idx="28">
                  <c:v>0.43462182741029998</c:v>
                </c:pt>
                <c:pt idx="29">
                  <c:v>0.40770546813070097</c:v>
                </c:pt>
                <c:pt idx="30">
                  <c:v>0.38076372682378795</c:v>
                </c:pt>
                <c:pt idx="31">
                  <c:v>0.35516465630493699</c:v>
                </c:pt>
                <c:pt idx="32">
                  <c:v>0.33275256354035898</c:v>
                </c:pt>
                <c:pt idx="33">
                  <c:v>0.31162242112024097</c:v>
                </c:pt>
                <c:pt idx="34">
                  <c:v>0.29035002727487702</c:v>
                </c:pt>
                <c:pt idx="35">
                  <c:v>0.272509543831852</c:v>
                </c:pt>
                <c:pt idx="36">
                  <c:v>0.25622929206750999</c:v>
                </c:pt>
                <c:pt idx="37">
                  <c:v>0.23591031536785101</c:v>
                </c:pt>
                <c:pt idx="38">
                  <c:v>0.22078107592961702</c:v>
                </c:pt>
                <c:pt idx="39">
                  <c:v>0.204823212440885</c:v>
                </c:pt>
                <c:pt idx="40">
                  <c:v>0.19286137258476199</c:v>
                </c:pt>
                <c:pt idx="41">
                  <c:v>0.17630438116484701</c:v>
                </c:pt>
                <c:pt idx="42">
                  <c:v>0.16677826328596299</c:v>
                </c:pt>
                <c:pt idx="43">
                  <c:v>0.157909899247861</c:v>
                </c:pt>
                <c:pt idx="44">
                  <c:v>0.14923463373831</c:v>
                </c:pt>
                <c:pt idx="45">
                  <c:v>0.135577127775768</c:v>
                </c:pt>
                <c:pt idx="46">
                  <c:v>0.125187367886479</c:v>
                </c:pt>
                <c:pt idx="47">
                  <c:v>0.11564560923284699</c:v>
                </c:pt>
                <c:pt idx="48">
                  <c:v>0.111612530534534</c:v>
                </c:pt>
                <c:pt idx="49">
                  <c:v>0.10342211054485</c:v>
                </c:pt>
                <c:pt idx="50">
                  <c:v>9.4972241588527101E-2</c:v>
                </c:pt>
                <c:pt idx="51">
                  <c:v>8.7440881600336293E-2</c:v>
                </c:pt>
                <c:pt idx="52">
                  <c:v>8.3053244128702103E-2</c:v>
                </c:pt>
                <c:pt idx="53">
                  <c:v>7.8073186837302994E-2</c:v>
                </c:pt>
                <c:pt idx="54">
                  <c:v>7.1018266657233403E-2</c:v>
                </c:pt>
                <c:pt idx="55">
                  <c:v>6.6968684958737701E-2</c:v>
                </c:pt>
                <c:pt idx="56">
                  <c:v>6.18422691296922E-2</c:v>
                </c:pt>
                <c:pt idx="57">
                  <c:v>6.0470398956274998E-2</c:v>
                </c:pt>
                <c:pt idx="58">
                  <c:v>5.4975808919005206E-2</c:v>
                </c:pt>
                <c:pt idx="59">
                  <c:v>5.3596926243307502E-2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D1-446F-B97B-B6D32D2AD8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6832640"/>
        <c:axId val="256835040"/>
      </c:lineChart>
      <c:catAx>
        <c:axId val="2568326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6835040"/>
        <c:crosses val="autoZero"/>
        <c:auto val="1"/>
        <c:lblAlgn val="ctr"/>
        <c:lblOffset val="100"/>
        <c:noMultiLvlLbl val="0"/>
      </c:catAx>
      <c:valAx>
        <c:axId val="256835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6832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Recovered (1 Neuron)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'Estimation with 1 Neuron'!$F$3</c:f>
              <c:strCache>
                <c:ptCount val="1"/>
                <c:pt idx="0">
                  <c:v>f12R Predicted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'Estimation with 1 Neuron'!$F$4:$F$63</c:f>
              <c:numCache>
                <c:formatCode>General</c:formatCode>
                <c:ptCount val="60"/>
                <c:pt idx="0">
                  <c:v>-0.12346379366297278</c:v>
                </c:pt>
                <c:pt idx="1">
                  <c:v>-0.11880056115172349</c:v>
                </c:pt>
                <c:pt idx="2">
                  <c:v>-0.11312479852831619</c:v>
                </c:pt>
                <c:pt idx="3">
                  <c:v>-0.10623413184121888</c:v>
                </c:pt>
                <c:pt idx="4">
                  <c:v>-9.7894190344878507E-2</c:v>
                </c:pt>
                <c:pt idx="5">
                  <c:v>-8.7837636297145361E-2</c:v>
                </c:pt>
                <c:pt idx="6">
                  <c:v>-7.5765391950902428E-2</c:v>
                </c:pt>
                <c:pt idx="7">
                  <c:v>-6.1351203120470044E-2</c:v>
                </c:pt>
                <c:pt idx="8">
                  <c:v>-4.4250895580923544E-2</c:v>
                </c:pt>
                <c:pt idx="9">
                  <c:v>-2.4117756543175051E-2</c:v>
                </c:pt>
                <c:pt idx="10">
                  <c:v>-6.2525960005577197E-4</c:v>
                </c:pt>
                <c:pt idx="11">
                  <c:v>2.6502336018613959E-2</c:v>
                </c:pt>
                <c:pt idx="12">
                  <c:v>5.7452308648037909E-2</c:v>
                </c:pt>
                <c:pt idx="13">
                  <c:v>9.2281528737680973E-2</c:v>
                </c:pt>
                <c:pt idx="14">
                  <c:v>0.13087552765598426</c:v>
                </c:pt>
                <c:pt idx="15">
                  <c:v>0.17291618533053468</c:v>
                </c:pt>
                <c:pt idx="16">
                  <c:v>0.21786682099434132</c:v>
                </c:pt>
                <c:pt idx="17">
                  <c:v>0.26498242903238151</c:v>
                </c:pt>
                <c:pt idx="18">
                  <c:v>0.3133489321341319</c:v>
                </c:pt>
                <c:pt idx="19">
                  <c:v>0.36194910418358683</c:v>
                </c:pt>
                <c:pt idx="20">
                  <c:v>0.4097460080608194</c:v>
                </c:pt>
                <c:pt idx="21">
                  <c:v>0.45576988217245895</c:v>
                </c:pt>
                <c:pt idx="22">
                  <c:v>0.49919340633127729</c:v>
                </c:pt>
                <c:pt idx="23">
                  <c:v>0.53938361154787684</c:v>
                </c:pt>
                <c:pt idx="24">
                  <c:v>0.57592496630832823</c:v>
                </c:pt>
                <c:pt idx="25">
                  <c:v>0.60861493821934987</c:v>
                </c:pt>
                <c:pt idx="26">
                  <c:v>0.63743839117720658</c:v>
                </c:pt>
                <c:pt idx="27">
                  <c:v>0.66252946493165732</c:v>
                </c:pt>
                <c:pt idx="28">
                  <c:v>0.68412927893232101</c:v>
                </c:pt>
                <c:pt idx="29">
                  <c:v>0.70254585425795546</c:v>
                </c:pt>
                <c:pt idx="30">
                  <c:v>0.71812014038521399</c:v>
                </c:pt>
                <c:pt idx="31">
                  <c:v>0.73119976560861288</c:v>
                </c:pt>
                <c:pt idx="32">
                  <c:v>0.74212048882589987</c:v>
                </c:pt>
                <c:pt idx="33">
                  <c:v>0.75119437245930332</c:v>
                </c:pt>
                <c:pt idx="34">
                  <c:v>0.75870329369544753</c:v>
                </c:pt>
                <c:pt idx="35">
                  <c:v>0.76489637855511239</c:v>
                </c:pt>
                <c:pt idx="36">
                  <c:v>0.76999011234766723</c:v>
                </c:pt>
                <c:pt idx="37">
                  <c:v>0.77417012897936166</c:v>
                </c:pt>
                <c:pt idx="38">
                  <c:v>0.77759393610431338</c:v>
                </c:pt>
                <c:pt idx="39">
                  <c:v>0.78039405583733201</c:v>
                </c:pt>
                <c:pt idx="40">
                  <c:v>0.78268123832334435</c:v>
                </c:pt>
                <c:pt idx="41">
                  <c:v>0.78454753795769483</c:v>
                </c:pt>
                <c:pt idx="42">
                  <c:v>0.78606913575976334</c:v>
                </c:pt>
                <c:pt idx="43">
                  <c:v>0.78730885450595678</c:v>
                </c:pt>
                <c:pt idx="44">
                  <c:v>0.78831835359527413</c:v>
                </c:pt>
                <c:pt idx="45">
                  <c:v>0.78914001487067975</c:v>
                </c:pt>
                <c:pt idx="46">
                  <c:v>0.78980854390227417</c:v>
                </c:pt>
                <c:pt idx="47">
                  <c:v>0.7903523173509599</c:v>
                </c:pt>
                <c:pt idx="48">
                  <c:v>0.79079450866137524</c:v>
                </c:pt>
                <c:pt idx="49">
                  <c:v>0.79115402331736373</c:v>
                </c:pt>
                <c:pt idx="50">
                  <c:v>0.79144627244779753</c:v>
                </c:pt>
                <c:pt idx="51">
                  <c:v>0.7916838104726065</c:v>
                </c:pt>
                <c:pt idx="52">
                  <c:v>0.79187685920583539</c:v>
                </c:pt>
                <c:pt idx="53">
                  <c:v>0.79203373766205099</c:v>
                </c:pt>
                <c:pt idx="54">
                  <c:v>0.7921612138924492</c:v>
                </c:pt>
                <c:pt idx="55">
                  <c:v>0.79226479257400317</c:v>
                </c:pt>
                <c:pt idx="56">
                  <c:v>0.79234894980607118</c:v>
                </c:pt>
                <c:pt idx="57">
                  <c:v>0.79241732462275749</c:v>
                </c:pt>
                <c:pt idx="58">
                  <c:v>0.79247287507989306</c:v>
                </c:pt>
                <c:pt idx="59">
                  <c:v>0.79251800539008077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71-427E-9BE7-2AAC1C17639A}"/>
            </c:ext>
          </c:extLst>
        </c:ser>
        <c:ser>
          <c:idx val="1"/>
          <c:order val="1"/>
          <c:tx>
            <c:strRef>
              <c:f>'Estimation with 1 Neuron'!$I$3</c:f>
              <c:strCache>
                <c:ptCount val="1"/>
                <c:pt idx="0">
                  <c:v>f13R Real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'Estimation with 1 Neuron'!$I$4:$I$63</c:f>
              <c:numCache>
                <c:formatCode>General</c:formatCode>
                <c:ptCount val="60"/>
                <c:pt idx="0">
                  <c:v>1.29646532345248E-3</c:v>
                </c:pt>
                <c:pt idx="1">
                  <c:v>2.6945909567850398E-3</c:v>
                </c:pt>
                <c:pt idx="2">
                  <c:v>-4.7185297244242705E-3</c:v>
                </c:pt>
                <c:pt idx="3">
                  <c:v>2.4789689316632598E-3</c:v>
                </c:pt>
                <c:pt idx="4">
                  <c:v>3.86363487767975E-3</c:v>
                </c:pt>
                <c:pt idx="5">
                  <c:v>-4.6798608314981898E-3</c:v>
                </c:pt>
                <c:pt idx="6">
                  <c:v>3.0346095032803499E-3</c:v>
                </c:pt>
                <c:pt idx="7">
                  <c:v>7.4668309922445502E-3</c:v>
                </c:pt>
                <c:pt idx="8">
                  <c:v>9.1761695406187595E-3</c:v>
                </c:pt>
                <c:pt idx="9">
                  <c:v>7.5225339506602403E-3</c:v>
                </c:pt>
                <c:pt idx="10">
                  <c:v>3.2927993138720797E-3</c:v>
                </c:pt>
                <c:pt idx="11">
                  <c:v>1.96514990734073E-2</c:v>
                </c:pt>
                <c:pt idx="12">
                  <c:v>2.4532806481925299E-2</c:v>
                </c:pt>
                <c:pt idx="13">
                  <c:v>3.84479753657469E-2</c:v>
                </c:pt>
                <c:pt idx="14">
                  <c:v>6.3388110834698502E-2</c:v>
                </c:pt>
                <c:pt idx="15">
                  <c:v>7.3720662375898097E-2</c:v>
                </c:pt>
                <c:pt idx="16">
                  <c:v>9.9755417736937704E-2</c:v>
                </c:pt>
                <c:pt idx="17">
                  <c:v>0.13353312106332502</c:v>
                </c:pt>
                <c:pt idx="18">
                  <c:v>0.171732007304878</c:v>
                </c:pt>
                <c:pt idx="19">
                  <c:v>0.208737490794312</c:v>
                </c:pt>
                <c:pt idx="20">
                  <c:v>0.245867937524964</c:v>
                </c:pt>
                <c:pt idx="21">
                  <c:v>0.28965693379235602</c:v>
                </c:pt>
                <c:pt idx="22">
                  <c:v>0.33141838551950203</c:v>
                </c:pt>
                <c:pt idx="23">
                  <c:v>0.37486334043008496</c:v>
                </c:pt>
                <c:pt idx="24">
                  <c:v>0.41205954274061996</c:v>
                </c:pt>
                <c:pt idx="25">
                  <c:v>0.44388223355148898</c:v>
                </c:pt>
                <c:pt idx="26">
                  <c:v>0.487722954635535</c:v>
                </c:pt>
                <c:pt idx="27">
                  <c:v>0.51359201939365806</c:v>
                </c:pt>
                <c:pt idx="28">
                  <c:v>0.547713142498501</c:v>
                </c:pt>
                <c:pt idx="29">
                  <c:v>0.57331041777418701</c:v>
                </c:pt>
                <c:pt idx="30">
                  <c:v>0.602138744531867</c:v>
                </c:pt>
                <c:pt idx="31">
                  <c:v>0.624921752972462</c:v>
                </c:pt>
                <c:pt idx="32">
                  <c:v>0.65513191440359508</c:v>
                </c:pt>
                <c:pt idx="33">
                  <c:v>0.68166378325101906</c:v>
                </c:pt>
                <c:pt idx="34">
                  <c:v>0.69814062804294097</c:v>
                </c:pt>
                <c:pt idx="35">
                  <c:v>0.71941411557586699</c:v>
                </c:pt>
                <c:pt idx="36">
                  <c:v>0.73983758563310398</c:v>
                </c:pt>
                <c:pt idx="37">
                  <c:v>0.75684413386429605</c:v>
                </c:pt>
                <c:pt idx="38">
                  <c:v>0.7750441208199299</c:v>
                </c:pt>
                <c:pt idx="39">
                  <c:v>0.78395269848070492</c:v>
                </c:pt>
                <c:pt idx="40">
                  <c:v>0.80233719563429595</c:v>
                </c:pt>
                <c:pt idx="41">
                  <c:v>0.81844367482675706</c:v>
                </c:pt>
                <c:pt idx="42">
                  <c:v>0.83017491401183396</c:v>
                </c:pt>
                <c:pt idx="43">
                  <c:v>0.83969352077445703</c:v>
                </c:pt>
                <c:pt idx="44">
                  <c:v>0.84673055231667504</c:v>
                </c:pt>
                <c:pt idx="45">
                  <c:v>0.86534225693530897</c:v>
                </c:pt>
                <c:pt idx="46">
                  <c:v>0.87833605384871605</c:v>
                </c:pt>
                <c:pt idx="47">
                  <c:v>0.87802773465304806</c:v>
                </c:pt>
                <c:pt idx="48">
                  <c:v>0.88908099354612202</c:v>
                </c:pt>
                <c:pt idx="49">
                  <c:v>0.89472708248588406</c:v>
                </c:pt>
                <c:pt idx="50">
                  <c:v>0.90450311421663898</c:v>
                </c:pt>
                <c:pt idx="51">
                  <c:v>0.90922037148508505</c:v>
                </c:pt>
                <c:pt idx="52">
                  <c:v>0.906309636239233</c:v>
                </c:pt>
                <c:pt idx="53">
                  <c:v>0.92630169320256595</c:v>
                </c:pt>
                <c:pt idx="54">
                  <c:v>0.92736038017037692</c:v>
                </c:pt>
                <c:pt idx="55">
                  <c:v>0.93389441761834491</c:v>
                </c:pt>
                <c:pt idx="56">
                  <c:v>0.94275156262420401</c:v>
                </c:pt>
                <c:pt idx="57">
                  <c:v>0.93680268831874902</c:v>
                </c:pt>
                <c:pt idx="58">
                  <c:v>0.94398061818187207</c:v>
                </c:pt>
                <c:pt idx="59">
                  <c:v>0.94100736181572697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71-427E-9BE7-2AAC1C1763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6832640"/>
        <c:axId val="256835040"/>
      </c:lineChart>
      <c:catAx>
        <c:axId val="2568326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6835040"/>
        <c:crosses val="autoZero"/>
        <c:auto val="1"/>
        <c:lblAlgn val="ctr"/>
        <c:lblOffset val="100"/>
        <c:noMultiLvlLbl val="0"/>
      </c:catAx>
      <c:valAx>
        <c:axId val="256835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6832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Susceptible (2 Neurons)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'Estimation with 2 Neurons'!$L$1</c:f>
              <c:strCache>
                <c:ptCount val="1"/>
                <c:pt idx="0">
                  <c:v>S Pred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'Estimation with 2 Neurons'!$L$2:$L$61</c:f>
              <c:numCache>
                <c:formatCode>General</c:formatCode>
                <c:ptCount val="60"/>
                <c:pt idx="0">
                  <c:v>1.0031700665587875</c:v>
                </c:pt>
                <c:pt idx="1">
                  <c:v>1.0022602753309446</c:v>
                </c:pt>
                <c:pt idx="2">
                  <c:v>1.0009131763628518</c:v>
                </c:pt>
                <c:pt idx="3">
                  <c:v>0.99892072972090151</c:v>
                </c:pt>
                <c:pt idx="4">
                  <c:v>0.9959785289307066</c:v>
                </c:pt>
                <c:pt idx="5">
                  <c:v>0.99164424599745882</c:v>
                </c:pt>
                <c:pt idx="6">
                  <c:v>0.9852817776408016</c:v>
                </c:pt>
                <c:pt idx="7">
                  <c:v>0.9759904789202094</c:v>
                </c:pt>
                <c:pt idx="8">
                  <c:v>0.9625247170068949</c:v>
                </c:pt>
                <c:pt idx="9">
                  <c:v>0.94322222783599852</c:v>
                </c:pt>
                <c:pt idx="10">
                  <c:v>0.91598463674689734</c:v>
                </c:pt>
                <c:pt idx="11">
                  <c:v>0.87839058210803911</c:v>
                </c:pt>
                <c:pt idx="12">
                  <c:v>0.82805605596415255</c:v>
                </c:pt>
                <c:pt idx="13">
                  <c:v>0.76333837272081939</c:v>
                </c:pt>
                <c:pt idx="14">
                  <c:v>0.68432657327905422</c:v>
                </c:pt>
                <c:pt idx="15">
                  <c:v>0.59374055969905326</c:v>
                </c:pt>
                <c:pt idx="16">
                  <c:v>0.49707381973943576</c:v>
                </c:pt>
                <c:pt idx="17">
                  <c:v>0.40150022863601276</c:v>
                </c:pt>
                <c:pt idx="18">
                  <c:v>0.31387533202126772</c:v>
                </c:pt>
                <c:pt idx="19">
                  <c:v>0.23891655699899883</c:v>
                </c:pt>
                <c:pt idx="20">
                  <c:v>0.17849009629599899</c:v>
                </c:pt>
                <c:pt idx="21">
                  <c:v>0.13205216950039556</c:v>
                </c:pt>
                <c:pt idx="22">
                  <c:v>9.7636956957061649E-2</c:v>
                </c:pt>
                <c:pt idx="23">
                  <c:v>7.2783931736749796E-2</c:v>
                </c:pt>
                <c:pt idx="24">
                  <c:v>5.5134711325836472E-2</c:v>
                </c:pt>
                <c:pt idx="25">
                  <c:v>4.2707053373498116E-2</c:v>
                </c:pt>
                <c:pt idx="26">
                  <c:v>3.3958114768814829E-2</c:v>
                </c:pt>
                <c:pt idx="27">
                  <c:v>2.7743856686115453E-2</c:v>
                </c:pt>
                <c:pt idx="28">
                  <c:v>2.324310968762755E-2</c:v>
                </c:pt>
                <c:pt idx="29">
                  <c:v>1.9880735401929694E-2</c:v>
                </c:pt>
                <c:pt idx="30">
                  <c:v>1.726311971291139E-2</c:v>
                </c:pt>
                <c:pt idx="31">
                  <c:v>1.5128445638777688E-2</c:v>
                </c:pt>
                <c:pt idx="32">
                  <c:v>1.3309678829500626E-2</c:v>
                </c:pt>
                <c:pt idx="33">
                  <c:v>1.1706969243761689E-2</c:v>
                </c:pt>
                <c:pt idx="34">
                  <c:v>1.0266529610868824E-2</c:v>
                </c:pt>
                <c:pt idx="35">
                  <c:v>8.9640511527491196E-3</c:v>
                </c:pt>
                <c:pt idx="36">
                  <c:v>7.7917500989566069E-3</c:v>
                </c:pt>
                <c:pt idx="37">
                  <c:v>6.7487992180330636E-3</c:v>
                </c:pt>
                <c:pt idx="38">
                  <c:v>5.835042356427067E-3</c:v>
                </c:pt>
                <c:pt idx="39">
                  <c:v>5.0476560987442465E-3</c:v>
                </c:pt>
                <c:pt idx="40">
                  <c:v>4.3801021263001338E-3</c:v>
                </c:pt>
                <c:pt idx="41">
                  <c:v>3.8225452770390689E-3</c:v>
                </c:pt>
                <c:pt idx="42">
                  <c:v>3.3629661763052709E-3</c:v>
                </c:pt>
                <c:pt idx="43">
                  <c:v>2.9884031625893037E-3</c:v>
                </c:pt>
                <c:pt idx="44">
                  <c:v>2.686002019660183E-3</c:v>
                </c:pt>
                <c:pt idx="45">
                  <c:v>2.4437514573805164E-3</c:v>
                </c:pt>
                <c:pt idx="46">
                  <c:v>2.2509076268006911E-3</c:v>
                </c:pt>
                <c:pt idx="47">
                  <c:v>2.0981698177773289E-3</c:v>
                </c:pt>
                <c:pt idx="48">
                  <c:v>1.9776840006371366E-3</c:v>
                </c:pt>
                <c:pt idx="49">
                  <c:v>1.8829424198256728E-3</c:v>
                </c:pt>
                <c:pt idx="50">
                  <c:v>1.8086307888309783E-3</c:v>
                </c:pt>
                <c:pt idx="51">
                  <c:v>1.7504578133220594E-3</c:v>
                </c:pt>
                <c:pt idx="52">
                  <c:v>1.704988111936423E-3</c:v>
                </c:pt>
                <c:pt idx="53">
                  <c:v>1.6694898058722263E-3</c:v>
                </c:pt>
                <c:pt idx="54">
                  <c:v>1.6418016288075599E-3</c:v>
                </c:pt>
                <c:pt idx="55">
                  <c:v>1.6202205367479294E-3</c:v>
                </c:pt>
                <c:pt idx="56">
                  <c:v>1.6034086753087262E-3</c:v>
                </c:pt>
                <c:pt idx="57">
                  <c:v>1.5903175585998408E-3</c:v>
                </c:pt>
                <c:pt idx="58">
                  <c:v>1.5801269797792727E-3</c:v>
                </c:pt>
                <c:pt idx="59">
                  <c:v>1.5721962103565357E-3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5E-4397-9EB5-B76BD5EA9FCB}"/>
            </c:ext>
          </c:extLst>
        </c:ser>
        <c:ser>
          <c:idx val="1"/>
          <c:order val="1"/>
          <c:tx>
            <c:strRef>
              <c:f>'Estimation with 2 Neurons'!$O$1</c:f>
              <c:strCache>
                <c:ptCount val="1"/>
                <c:pt idx="0">
                  <c:v>S Real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'Estimation with 2 Neurons'!$O$2:$O$61</c:f>
              <c:numCache>
                <c:formatCode>General</c:formatCode>
                <c:ptCount val="60"/>
                <c:pt idx="0">
                  <c:v>0.99916902781949102</c:v>
                </c:pt>
                <c:pt idx="1">
                  <c:v>0.98960193539692398</c:v>
                </c:pt>
                <c:pt idx="2">
                  <c:v>1.0027006748148801</c:v>
                </c:pt>
                <c:pt idx="3">
                  <c:v>0.99110329365628103</c:v>
                </c:pt>
                <c:pt idx="4">
                  <c:v>0.99855053119660397</c:v>
                </c:pt>
                <c:pt idx="5">
                  <c:v>0.99334815329542803</c:v>
                </c:pt>
                <c:pt idx="6">
                  <c:v>0.98283073740154103</c:v>
                </c:pt>
                <c:pt idx="7">
                  <c:v>0.97539398785926001</c:v>
                </c:pt>
                <c:pt idx="8">
                  <c:v>0.96249140793574095</c:v>
                </c:pt>
                <c:pt idx="9">
                  <c:v>0.94450237023887595</c:v>
                </c:pt>
                <c:pt idx="10">
                  <c:v>0.91819898168117797</c:v>
                </c:pt>
                <c:pt idx="11">
                  <c:v>0.89021613947898592</c:v>
                </c:pt>
                <c:pt idx="12">
                  <c:v>0.83105634839519704</c:v>
                </c:pt>
                <c:pt idx="13">
                  <c:v>0.77338802087821101</c:v>
                </c:pt>
                <c:pt idx="14">
                  <c:v>0.68790871012265198</c:v>
                </c:pt>
                <c:pt idx="15">
                  <c:v>0.59497831839092707</c:v>
                </c:pt>
                <c:pt idx="16">
                  <c:v>0.48898600704502004</c:v>
                </c:pt>
                <c:pt idx="17">
                  <c:v>0.39651123517081099</c:v>
                </c:pt>
                <c:pt idx="18">
                  <c:v>0.31251275507811599</c:v>
                </c:pt>
                <c:pt idx="19">
                  <c:v>0.23552071001902899</c:v>
                </c:pt>
                <c:pt idx="20">
                  <c:v>0.188024971201353</c:v>
                </c:pt>
                <c:pt idx="21">
                  <c:v>0.137907399961987</c:v>
                </c:pt>
                <c:pt idx="22">
                  <c:v>9.9076317792327895E-2</c:v>
                </c:pt>
                <c:pt idx="23">
                  <c:v>7.6771548896384309E-2</c:v>
                </c:pt>
                <c:pt idx="24">
                  <c:v>5.50331848909218E-2</c:v>
                </c:pt>
                <c:pt idx="25">
                  <c:v>4.1882891498532304E-2</c:v>
                </c:pt>
                <c:pt idx="26">
                  <c:v>2.6899076645389701E-2</c:v>
                </c:pt>
                <c:pt idx="27">
                  <c:v>2.8643066551244298E-2</c:v>
                </c:pt>
                <c:pt idx="28">
                  <c:v>1.8585382566350301E-2</c:v>
                </c:pt>
                <c:pt idx="29">
                  <c:v>1.6441050975567299E-2</c:v>
                </c:pt>
                <c:pt idx="30">
                  <c:v>1.6927265894710001E-2</c:v>
                </c:pt>
                <c:pt idx="31">
                  <c:v>5.5360201456173194E-3</c:v>
                </c:pt>
                <c:pt idx="32">
                  <c:v>5.5516744239331806E-3</c:v>
                </c:pt>
                <c:pt idx="33">
                  <c:v>1.2931474477337201E-2</c:v>
                </c:pt>
                <c:pt idx="34">
                  <c:v>8.6066661943624695E-3</c:v>
                </c:pt>
                <c:pt idx="35">
                  <c:v>7.3575980325581393E-3</c:v>
                </c:pt>
                <c:pt idx="36">
                  <c:v>2.8505374714209897E-3</c:v>
                </c:pt>
                <c:pt idx="37">
                  <c:v>-2.1838521820841201E-4</c:v>
                </c:pt>
                <c:pt idx="38">
                  <c:v>8.2348707294253292E-3</c:v>
                </c:pt>
                <c:pt idx="39">
                  <c:v>3.9663387236011597E-3</c:v>
                </c:pt>
                <c:pt idx="40">
                  <c:v>7.9785242352294391E-3</c:v>
                </c:pt>
                <c:pt idx="41">
                  <c:v>3.1396670372780401E-3</c:v>
                </c:pt>
                <c:pt idx="42">
                  <c:v>2.6118371468564702E-3</c:v>
                </c:pt>
                <c:pt idx="43">
                  <c:v>2.39128185473625E-3</c:v>
                </c:pt>
                <c:pt idx="44">
                  <c:v>1.2757458204968699E-3</c:v>
                </c:pt>
                <c:pt idx="45">
                  <c:v>3.5362804167817599E-3</c:v>
                </c:pt>
                <c:pt idx="46">
                  <c:v>-3.1346344649783998E-3</c:v>
                </c:pt>
                <c:pt idx="47">
                  <c:v>9.0828857896239103E-3</c:v>
                </c:pt>
                <c:pt idx="48">
                  <c:v>1.0538230552720001E-2</c:v>
                </c:pt>
                <c:pt idx="49">
                  <c:v>2.5859344138377399E-3</c:v>
                </c:pt>
                <c:pt idx="50">
                  <c:v>2.0336631835871899E-3</c:v>
                </c:pt>
                <c:pt idx="51">
                  <c:v>2.2949557971681501E-3</c:v>
                </c:pt>
                <c:pt idx="52">
                  <c:v>2.3936274802814103E-3</c:v>
                </c:pt>
                <c:pt idx="53">
                  <c:v>2.3043154567460099E-3</c:v>
                </c:pt>
                <c:pt idx="54">
                  <c:v>3.0385585864702198E-3</c:v>
                </c:pt>
                <c:pt idx="55">
                  <c:v>7.9515125832206497E-3</c:v>
                </c:pt>
                <c:pt idx="56">
                  <c:v>-1.1013052498209E-4</c:v>
                </c:pt>
                <c:pt idx="57">
                  <c:v>5.6947636442931599E-3</c:v>
                </c:pt>
                <c:pt idx="58">
                  <c:v>-2.2807198247528698E-3</c:v>
                </c:pt>
                <c:pt idx="59">
                  <c:v>-1.0788247514761E-4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5E-4397-9EB5-B76BD5EA9F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3575024"/>
        <c:axId val="1243578384"/>
      </c:lineChart>
      <c:catAx>
        <c:axId val="12435750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3578384"/>
        <c:crosses val="autoZero"/>
        <c:auto val="1"/>
        <c:lblAlgn val="ctr"/>
        <c:lblOffset val="100"/>
        <c:noMultiLvlLbl val="0"/>
      </c:catAx>
      <c:valAx>
        <c:axId val="124357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3575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Infected (2 Neurons)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'Estimation with 2 Neurons'!$M$1</c:f>
              <c:strCache>
                <c:ptCount val="1"/>
                <c:pt idx="0">
                  <c:v>I Pred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'Estimation with 2 Neurons'!$M$2:$M$61</c:f>
              <c:numCache>
                <c:formatCode>General</c:formatCode>
                <c:ptCount val="60"/>
                <c:pt idx="0">
                  <c:v>6.7954356590806508E-2</c:v>
                </c:pt>
                <c:pt idx="1">
                  <c:v>6.8380262669201164E-2</c:v>
                </c:pt>
                <c:pt idx="2">
                  <c:v>6.9016881838911415E-2</c:v>
                </c:pt>
                <c:pt idx="3">
                  <c:v>6.9966127156508406E-2</c:v>
                </c:pt>
                <c:pt idx="4">
                  <c:v>7.1377565850503144E-2</c:v>
                </c:pt>
                <c:pt idx="5">
                  <c:v>7.3469074005490853E-2</c:v>
                </c:pt>
                <c:pt idx="6">
                  <c:v>7.6554611213517809E-2</c:v>
                </c:pt>
                <c:pt idx="7">
                  <c:v>8.1079407718707142E-2</c:v>
                </c:pt>
                <c:pt idx="8">
                  <c:v>8.765991808489626E-2</c:v>
                </c:pt>
                <c:pt idx="9">
                  <c:v>9.7119240178764388E-2</c:v>
                </c:pt>
                <c:pt idx="10">
                  <c:v>0.11049620562373441</c:v>
                </c:pt>
                <c:pt idx="11">
                  <c:v>0.12898773121129081</c:v>
                </c:pt>
                <c:pt idx="12">
                  <c:v>0.15376686035897014</c:v>
                </c:pt>
                <c:pt idx="13">
                  <c:v>0.18562805246289615</c:v>
                </c:pt>
                <c:pt idx="14">
                  <c:v>0.22448836726382537</c:v>
                </c:pt>
                <c:pt idx="15">
                  <c:v>0.26893405763865763</c:v>
                </c:pt>
                <c:pt idx="16">
                  <c:v>0.31614635560468041</c:v>
                </c:pt>
                <c:pt idx="17">
                  <c:v>0.36244708277516979</c:v>
                </c:pt>
                <c:pt idx="18">
                  <c:v>0.4042982456634332</c:v>
                </c:pt>
                <c:pt idx="19">
                  <c:v>0.43921138582865793</c:v>
                </c:pt>
                <c:pt idx="20">
                  <c:v>0.46610123784084379</c:v>
                </c:pt>
                <c:pt idx="21">
                  <c:v>0.48506016790940265</c:v>
                </c:pt>
                <c:pt idx="22">
                  <c:v>0.49685914905856787</c:v>
                </c:pt>
                <c:pt idx="23">
                  <c:v>0.50248126399435522</c:v>
                </c:pt>
                <c:pt idx="24">
                  <c:v>0.50282494515573584</c:v>
                </c:pt>
                <c:pt idx="25">
                  <c:v>0.49857546208308579</c:v>
                </c:pt>
                <c:pt idx="26">
                  <c:v>0.49019109934882388</c:v>
                </c:pt>
                <c:pt idx="27">
                  <c:v>0.47795286668519199</c:v>
                </c:pt>
                <c:pt idx="28">
                  <c:v>0.46204442470697993</c:v>
                </c:pt>
                <c:pt idx="29">
                  <c:v>0.44264286159307087</c:v>
                </c:pt>
                <c:pt idx="30">
                  <c:v>0.42000665074420596</c:v>
                </c:pt>
                <c:pt idx="31">
                  <c:v>0.3945468875839433</c:v>
                </c:pt>
                <c:pt idx="32">
                  <c:v>0.3668664654759195</c:v>
                </c:pt>
                <c:pt idx="33">
                  <c:v>0.33775419197181655</c:v>
                </c:pt>
                <c:pt idx="34">
                  <c:v>0.30812992050871246</c:v>
                </c:pt>
                <c:pt idx="35">
                  <c:v>0.27895108204395713</c:v>
                </c:pt>
                <c:pt idx="36">
                  <c:v>0.25110433397545462</c:v>
                </c:pt>
                <c:pt idx="37">
                  <c:v>0.22531104976431537</c:v>
                </c:pt>
                <c:pt idx="38">
                  <c:v>0.20206896945586017</c:v>
                </c:pt>
                <c:pt idx="39">
                  <c:v>0.18163817785010217</c:v>
                </c:pt>
                <c:pt idx="40">
                  <c:v>0.16406521434696364</c:v>
                </c:pt>
                <c:pt idx="41">
                  <c:v>0.14923062113531183</c:v>
                </c:pt>
                <c:pt idx="42">
                  <c:v>0.13690410084219007</c:v>
                </c:pt>
                <c:pt idx="43">
                  <c:v>0.12679537216848225</c:v>
                </c:pt>
                <c:pt idx="44">
                  <c:v>0.11859435825370035</c:v>
                </c:pt>
                <c:pt idx="45">
                  <c:v>0.11199905079099848</c:v>
                </c:pt>
                <c:pt idx="46">
                  <c:v>0.10673231175858877</c:v>
                </c:pt>
                <c:pt idx="47">
                  <c:v>0.10255012910285766</c:v>
                </c:pt>
                <c:pt idx="48">
                  <c:v>9.9243988743796141E-2</c:v>
                </c:pt>
                <c:pt idx="49">
                  <c:v>9.6639616880364709E-2</c:v>
                </c:pt>
                <c:pt idx="50">
                  <c:v>9.459376672151798E-2</c:v>
                </c:pt>
                <c:pt idx="51">
                  <c:v>9.2990177498294191E-2</c:v>
                </c:pt>
                <c:pt idx="52">
                  <c:v>9.1735400989197746E-2</c:v>
                </c:pt>
                <c:pt idx="53">
                  <c:v>9.07548827284681E-2</c:v>
                </c:pt>
                <c:pt idx="54">
                  <c:v>8.998948256118533E-2</c:v>
                </c:pt>
                <c:pt idx="55">
                  <c:v>8.9392495363937119E-2</c:v>
                </c:pt>
                <c:pt idx="56">
                  <c:v>8.892716282845381E-2</c:v>
                </c:pt>
                <c:pt idx="57">
                  <c:v>8.8564631942793515E-2</c:v>
                </c:pt>
                <c:pt idx="58">
                  <c:v>8.8282301546040109E-2</c:v>
                </c:pt>
                <c:pt idx="59">
                  <c:v>8.8062496007899949E-2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3F-468D-A02C-8AE89ACCE247}"/>
            </c:ext>
          </c:extLst>
        </c:ser>
        <c:ser>
          <c:idx val="1"/>
          <c:order val="1"/>
          <c:tx>
            <c:strRef>
              <c:f>'Estimation with 2 Neurons'!$P$1</c:f>
              <c:strCache>
                <c:ptCount val="1"/>
                <c:pt idx="0">
                  <c:v>I Real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'Estimation with 2 Neurons'!$P$2:$P$61</c:f>
              <c:numCache>
                <c:formatCode>General</c:formatCode>
                <c:ptCount val="60"/>
                <c:pt idx="0">
                  <c:v>-5.1644142064485399E-4</c:v>
                </c:pt>
                <c:pt idx="1">
                  <c:v>2.1639113228485896E-3</c:v>
                </c:pt>
                <c:pt idx="2">
                  <c:v>3.31005964809079E-3</c:v>
                </c:pt>
                <c:pt idx="3">
                  <c:v>1.5165637719900501E-3</c:v>
                </c:pt>
                <c:pt idx="4">
                  <c:v>2.0051112150917699E-3</c:v>
                </c:pt>
                <c:pt idx="5">
                  <c:v>5.7859344004262394E-3</c:v>
                </c:pt>
                <c:pt idx="6">
                  <c:v>1.2651330839959601E-2</c:v>
                </c:pt>
                <c:pt idx="7">
                  <c:v>2.03539996715329E-2</c:v>
                </c:pt>
                <c:pt idx="8">
                  <c:v>3.3533967396357001E-2</c:v>
                </c:pt>
                <c:pt idx="9">
                  <c:v>4.7496166004264602E-2</c:v>
                </c:pt>
                <c:pt idx="10">
                  <c:v>6.7597221336325009E-2</c:v>
                </c:pt>
                <c:pt idx="11">
                  <c:v>9.5969397639399309E-2</c:v>
                </c:pt>
                <c:pt idx="12">
                  <c:v>0.139820372745182</c:v>
                </c:pt>
                <c:pt idx="13">
                  <c:v>0.19576330278256401</c:v>
                </c:pt>
                <c:pt idx="14">
                  <c:v>0.25894601239861498</c:v>
                </c:pt>
                <c:pt idx="15">
                  <c:v>0.33076845698165103</c:v>
                </c:pt>
                <c:pt idx="16">
                  <c:v>0.40789980280525601</c:v>
                </c:pt>
                <c:pt idx="17">
                  <c:v>0.47372642816447597</c:v>
                </c:pt>
                <c:pt idx="18">
                  <c:v>0.52750319456345507</c:v>
                </c:pt>
                <c:pt idx="19">
                  <c:v>0.55793614971574401</c:v>
                </c:pt>
                <c:pt idx="20">
                  <c:v>0.5772776209197521</c:v>
                </c:pt>
                <c:pt idx="21">
                  <c:v>0.57947852857229998</c:v>
                </c:pt>
                <c:pt idx="22">
                  <c:v>0.57261055388682602</c:v>
                </c:pt>
                <c:pt idx="23">
                  <c:v>0.554625055849157</c:v>
                </c:pt>
                <c:pt idx="24">
                  <c:v>0.53385373128166391</c:v>
                </c:pt>
                <c:pt idx="25">
                  <c:v>0.51004856673586696</c:v>
                </c:pt>
                <c:pt idx="26">
                  <c:v>0.48054748715594703</c:v>
                </c:pt>
                <c:pt idx="27">
                  <c:v>0.45621581041098197</c:v>
                </c:pt>
                <c:pt idx="28">
                  <c:v>0.43462182741029998</c:v>
                </c:pt>
                <c:pt idx="29">
                  <c:v>0.40770546813070097</c:v>
                </c:pt>
                <c:pt idx="30">
                  <c:v>0.38076372682378795</c:v>
                </c:pt>
                <c:pt idx="31">
                  <c:v>0.35516465630493699</c:v>
                </c:pt>
                <c:pt idx="32">
                  <c:v>0.33275256354035898</c:v>
                </c:pt>
                <c:pt idx="33">
                  <c:v>0.31162242112024097</c:v>
                </c:pt>
                <c:pt idx="34">
                  <c:v>0.29035002727487702</c:v>
                </c:pt>
                <c:pt idx="35">
                  <c:v>0.272509543831852</c:v>
                </c:pt>
                <c:pt idx="36">
                  <c:v>0.25622929206750999</c:v>
                </c:pt>
                <c:pt idx="37">
                  <c:v>0.23591031536785101</c:v>
                </c:pt>
                <c:pt idx="38">
                  <c:v>0.22078107592961702</c:v>
                </c:pt>
                <c:pt idx="39">
                  <c:v>0.204823212440885</c:v>
                </c:pt>
                <c:pt idx="40">
                  <c:v>0.19286137258476199</c:v>
                </c:pt>
                <c:pt idx="41">
                  <c:v>0.17630438116484701</c:v>
                </c:pt>
                <c:pt idx="42">
                  <c:v>0.16677826328596299</c:v>
                </c:pt>
                <c:pt idx="43">
                  <c:v>0.157909899247861</c:v>
                </c:pt>
                <c:pt idx="44">
                  <c:v>0.14923463373831</c:v>
                </c:pt>
                <c:pt idx="45">
                  <c:v>0.135577127775768</c:v>
                </c:pt>
                <c:pt idx="46">
                  <c:v>0.125187367886479</c:v>
                </c:pt>
                <c:pt idx="47">
                  <c:v>0.11564560923284699</c:v>
                </c:pt>
                <c:pt idx="48">
                  <c:v>0.111612530534534</c:v>
                </c:pt>
                <c:pt idx="49">
                  <c:v>0.10342211054485</c:v>
                </c:pt>
                <c:pt idx="50">
                  <c:v>9.4972241588527101E-2</c:v>
                </c:pt>
                <c:pt idx="51">
                  <c:v>8.7440881600336293E-2</c:v>
                </c:pt>
                <c:pt idx="52">
                  <c:v>8.3053244128702103E-2</c:v>
                </c:pt>
                <c:pt idx="53">
                  <c:v>7.8073186837302994E-2</c:v>
                </c:pt>
                <c:pt idx="54">
                  <c:v>7.1018266657233403E-2</c:v>
                </c:pt>
                <c:pt idx="55">
                  <c:v>6.6968684958737701E-2</c:v>
                </c:pt>
                <c:pt idx="56">
                  <c:v>6.18422691296922E-2</c:v>
                </c:pt>
                <c:pt idx="57">
                  <c:v>6.0470398956274998E-2</c:v>
                </c:pt>
                <c:pt idx="58">
                  <c:v>5.4975808919005206E-2</c:v>
                </c:pt>
                <c:pt idx="59">
                  <c:v>5.3596926243307502E-2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3F-468D-A02C-8AE89ACCE2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7732928"/>
        <c:axId val="217724768"/>
      </c:lineChart>
      <c:catAx>
        <c:axId val="2177329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7724768"/>
        <c:crosses val="autoZero"/>
        <c:auto val="1"/>
        <c:lblAlgn val="ctr"/>
        <c:lblOffset val="100"/>
        <c:noMultiLvlLbl val="0"/>
      </c:catAx>
      <c:valAx>
        <c:axId val="21772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7732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Recovered (2 Neurons)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'Estimation with 2 Neurons'!$N$1</c:f>
              <c:strCache>
                <c:ptCount val="1"/>
                <c:pt idx="0">
                  <c:v>R Pred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'Estimation with 2 Neurons'!$N$2:$N$61</c:f>
              <c:numCache>
                <c:formatCode>General</c:formatCode>
                <c:ptCount val="60"/>
                <c:pt idx="0">
                  <c:v>-7.2845646407314391E-2</c:v>
                </c:pt>
                <c:pt idx="1">
                  <c:v>-7.235841873247395E-2</c:v>
                </c:pt>
                <c:pt idx="2">
                  <c:v>-7.1642962130842536E-2</c:v>
                </c:pt>
                <c:pt idx="3">
                  <c:v>-7.0592364549533437E-2</c:v>
                </c:pt>
                <c:pt idx="4">
                  <c:v>-6.9050635804051241E-2</c:v>
                </c:pt>
                <c:pt idx="5">
                  <c:v>-6.6791649073631554E-2</c:v>
                </c:pt>
                <c:pt idx="6">
                  <c:v>-6.3490849080469758E-2</c:v>
                </c:pt>
                <c:pt idx="7">
                  <c:v>-5.8689403375861815E-2</c:v>
                </c:pt>
                <c:pt idx="8">
                  <c:v>-5.1753403649025476E-2</c:v>
                </c:pt>
                <c:pt idx="9">
                  <c:v>-4.1837369480479225E-2</c:v>
                </c:pt>
                <c:pt idx="10">
                  <c:v>-2.7873788001664845E-2</c:v>
                </c:pt>
                <c:pt idx="11">
                  <c:v>-8.629026169817422E-3</c:v>
                </c:pt>
                <c:pt idx="12">
                  <c:v>1.7116902075178686E-2</c:v>
                </c:pt>
                <c:pt idx="13">
                  <c:v>5.0218375446110297E-2</c:v>
                </c:pt>
                <c:pt idx="14">
                  <c:v>9.0668775962887249E-2</c:v>
                </c:pt>
                <c:pt idx="15">
                  <c:v>0.13715130833596101</c:v>
                </c:pt>
                <c:pt idx="16">
                  <c:v>0.18696993094653358</c:v>
                </c:pt>
                <c:pt idx="17">
                  <c:v>0.23660111600028921</c:v>
                </c:pt>
                <c:pt idx="18">
                  <c:v>0.28270060919294515</c:v>
                </c:pt>
                <c:pt idx="19">
                  <c:v>0.32302081912023883</c:v>
                </c:pt>
                <c:pt idx="20">
                  <c:v>0.35677298650013123</c:v>
                </c:pt>
                <c:pt idx="21">
                  <c:v>0.38440977558081357</c:v>
                </c:pt>
                <c:pt idx="22">
                  <c:v>0.40713256700470035</c:v>
                </c:pt>
                <c:pt idx="23">
                  <c:v>0.4264270667238601</c:v>
                </c:pt>
                <c:pt idx="24">
                  <c:v>0.44376094145877198</c:v>
                </c:pt>
                <c:pt idx="25">
                  <c:v>0.46043732780555269</c:v>
                </c:pt>
                <c:pt idx="26">
                  <c:v>0.47754523562236351</c:v>
                </c:pt>
                <c:pt idx="27">
                  <c:v>0.49595072356432612</c:v>
                </c:pt>
                <c:pt idx="28">
                  <c:v>0.5162933918337369</c:v>
                </c:pt>
                <c:pt idx="29">
                  <c:v>0.53897297879104156</c:v>
                </c:pt>
                <c:pt idx="30">
                  <c:v>0.56412641339163416</c:v>
                </c:pt>
                <c:pt idx="31">
                  <c:v>0.59160670929978365</c:v>
                </c:pt>
                <c:pt idx="32">
                  <c:v>0.62098104018929057</c:v>
                </c:pt>
                <c:pt idx="33">
                  <c:v>0.6515642365237051</c:v>
                </c:pt>
                <c:pt idx="34">
                  <c:v>0.68249455445236085</c:v>
                </c:pt>
                <c:pt idx="35">
                  <c:v>0.71284332267421568</c:v>
                </c:pt>
                <c:pt idx="36">
                  <c:v>0.74173576710645484</c:v>
                </c:pt>
                <c:pt idx="37">
                  <c:v>0.76845466851330868</c:v>
                </c:pt>
                <c:pt idx="38">
                  <c:v>0.79250473796508758</c:v>
                </c:pt>
                <c:pt idx="39">
                  <c:v>0.81362991742269752</c:v>
                </c:pt>
                <c:pt idx="40">
                  <c:v>0.83179043027514377</c:v>
                </c:pt>
                <c:pt idx="41">
                  <c:v>0.84711503366780194</c:v>
                </c:pt>
                <c:pt idx="42">
                  <c:v>0.85984500082869753</c:v>
                </c:pt>
                <c:pt idx="43">
                  <c:v>0.87028225608386944</c:v>
                </c:pt>
                <c:pt idx="44">
                  <c:v>0.87874832044933915</c:v>
                </c:pt>
                <c:pt idx="45">
                  <c:v>0.88555583938212523</c:v>
                </c:pt>
                <c:pt idx="46">
                  <c:v>0.89099143335113484</c:v>
                </c:pt>
                <c:pt idx="47">
                  <c:v>0.89530730425120408</c:v>
                </c:pt>
                <c:pt idx="48">
                  <c:v>0.89871887078626411</c:v>
                </c:pt>
                <c:pt idx="49">
                  <c:v>0.90140612092418149</c:v>
                </c:pt>
                <c:pt idx="50">
                  <c:v>0.90351696338831777</c:v>
                </c:pt>
                <c:pt idx="51">
                  <c:v>0.90517142075057344</c:v>
                </c:pt>
                <c:pt idx="52">
                  <c:v>0.90646595099753591</c:v>
                </c:pt>
                <c:pt idx="53">
                  <c:v>0.90747750089686652</c:v>
                </c:pt>
                <c:pt idx="54">
                  <c:v>0.90826710249245091</c:v>
                </c:pt>
                <c:pt idx="55">
                  <c:v>0.90888295120889673</c:v>
                </c:pt>
                <c:pt idx="56">
                  <c:v>0.90936297577023284</c:v>
                </c:pt>
                <c:pt idx="57">
                  <c:v>0.90973694624276624</c:v>
                </c:pt>
                <c:pt idx="58">
                  <c:v>0.91002818103956651</c:v>
                </c:pt>
                <c:pt idx="59">
                  <c:v>0.91025491600080977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22-43EA-8E5A-7C2590C6DCD4}"/>
            </c:ext>
          </c:extLst>
        </c:ser>
        <c:ser>
          <c:idx val="1"/>
          <c:order val="1"/>
          <c:tx>
            <c:strRef>
              <c:f>'Estimation with 2 Neurons'!$Q$1</c:f>
              <c:strCache>
                <c:ptCount val="1"/>
                <c:pt idx="0">
                  <c:v>R Real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'Estimation with 2 Neurons'!$Q$2:$Q$61</c:f>
              <c:numCache>
                <c:formatCode>General</c:formatCode>
                <c:ptCount val="60"/>
                <c:pt idx="0">
                  <c:v>1.29646532345248E-3</c:v>
                </c:pt>
                <c:pt idx="1">
                  <c:v>2.6945909567850398E-3</c:v>
                </c:pt>
                <c:pt idx="2">
                  <c:v>-4.7185297244242705E-3</c:v>
                </c:pt>
                <c:pt idx="3">
                  <c:v>2.4789689316632598E-3</c:v>
                </c:pt>
                <c:pt idx="4">
                  <c:v>3.86363487767975E-3</c:v>
                </c:pt>
                <c:pt idx="5">
                  <c:v>-4.6798608314981898E-3</c:v>
                </c:pt>
                <c:pt idx="6">
                  <c:v>3.0346095032803499E-3</c:v>
                </c:pt>
                <c:pt idx="7">
                  <c:v>7.4668309922445502E-3</c:v>
                </c:pt>
                <c:pt idx="8">
                  <c:v>9.1761695406187595E-3</c:v>
                </c:pt>
                <c:pt idx="9">
                  <c:v>7.5225339506602403E-3</c:v>
                </c:pt>
                <c:pt idx="10">
                  <c:v>3.2927993138720797E-3</c:v>
                </c:pt>
                <c:pt idx="11">
                  <c:v>1.96514990734073E-2</c:v>
                </c:pt>
                <c:pt idx="12">
                  <c:v>2.4532806481925299E-2</c:v>
                </c:pt>
                <c:pt idx="13">
                  <c:v>3.84479753657469E-2</c:v>
                </c:pt>
                <c:pt idx="14">
                  <c:v>6.3388110834698502E-2</c:v>
                </c:pt>
                <c:pt idx="15">
                  <c:v>7.3720662375898097E-2</c:v>
                </c:pt>
                <c:pt idx="16">
                  <c:v>9.9755417736937704E-2</c:v>
                </c:pt>
                <c:pt idx="17">
                  <c:v>0.13353312106332502</c:v>
                </c:pt>
                <c:pt idx="18">
                  <c:v>0.171732007304878</c:v>
                </c:pt>
                <c:pt idx="19">
                  <c:v>0.208737490794312</c:v>
                </c:pt>
                <c:pt idx="20">
                  <c:v>0.245867937524964</c:v>
                </c:pt>
                <c:pt idx="21">
                  <c:v>0.28965693379235602</c:v>
                </c:pt>
                <c:pt idx="22">
                  <c:v>0.33141838551950203</c:v>
                </c:pt>
                <c:pt idx="23">
                  <c:v>0.37486334043008496</c:v>
                </c:pt>
                <c:pt idx="24">
                  <c:v>0.41205954274061996</c:v>
                </c:pt>
                <c:pt idx="25">
                  <c:v>0.44388223355148898</c:v>
                </c:pt>
                <c:pt idx="26">
                  <c:v>0.487722954635535</c:v>
                </c:pt>
                <c:pt idx="27">
                  <c:v>0.51359201939365806</c:v>
                </c:pt>
                <c:pt idx="28">
                  <c:v>0.547713142498501</c:v>
                </c:pt>
                <c:pt idx="29">
                  <c:v>0.57331041777418701</c:v>
                </c:pt>
                <c:pt idx="30">
                  <c:v>0.602138744531867</c:v>
                </c:pt>
                <c:pt idx="31">
                  <c:v>0.624921752972462</c:v>
                </c:pt>
                <c:pt idx="32">
                  <c:v>0.65513191440359508</c:v>
                </c:pt>
                <c:pt idx="33">
                  <c:v>0.68166378325101906</c:v>
                </c:pt>
                <c:pt idx="34">
                  <c:v>0.69814062804294097</c:v>
                </c:pt>
                <c:pt idx="35">
                  <c:v>0.71941411557586699</c:v>
                </c:pt>
                <c:pt idx="36">
                  <c:v>0.73983758563310398</c:v>
                </c:pt>
                <c:pt idx="37">
                  <c:v>0.75684413386429605</c:v>
                </c:pt>
                <c:pt idx="38">
                  <c:v>0.7750441208199299</c:v>
                </c:pt>
                <c:pt idx="39">
                  <c:v>0.78395269848070492</c:v>
                </c:pt>
                <c:pt idx="40">
                  <c:v>0.80233719563429595</c:v>
                </c:pt>
                <c:pt idx="41">
                  <c:v>0.81844367482675706</c:v>
                </c:pt>
                <c:pt idx="42">
                  <c:v>0.83017491401183396</c:v>
                </c:pt>
                <c:pt idx="43">
                  <c:v>0.83969352077445703</c:v>
                </c:pt>
                <c:pt idx="44">
                  <c:v>0.84673055231667504</c:v>
                </c:pt>
                <c:pt idx="45">
                  <c:v>0.86534225693530897</c:v>
                </c:pt>
                <c:pt idx="46">
                  <c:v>0.87833605384871605</c:v>
                </c:pt>
                <c:pt idx="47">
                  <c:v>0.87802773465304806</c:v>
                </c:pt>
                <c:pt idx="48">
                  <c:v>0.88908099354612202</c:v>
                </c:pt>
                <c:pt idx="49">
                  <c:v>0.89472708248588406</c:v>
                </c:pt>
                <c:pt idx="50">
                  <c:v>0.90450311421663898</c:v>
                </c:pt>
                <c:pt idx="51">
                  <c:v>0.90922037148508505</c:v>
                </c:pt>
                <c:pt idx="52">
                  <c:v>0.906309636239233</c:v>
                </c:pt>
                <c:pt idx="53">
                  <c:v>0.92630169320256595</c:v>
                </c:pt>
                <c:pt idx="54">
                  <c:v>0.92736038017037692</c:v>
                </c:pt>
                <c:pt idx="55">
                  <c:v>0.93389441761834491</c:v>
                </c:pt>
                <c:pt idx="56">
                  <c:v>0.94275156262420401</c:v>
                </c:pt>
                <c:pt idx="57">
                  <c:v>0.93680268831874902</c:v>
                </c:pt>
                <c:pt idx="58">
                  <c:v>0.94398061818187207</c:v>
                </c:pt>
                <c:pt idx="59">
                  <c:v>0.94100736181572697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22-43EA-8E5A-7C2590C6DC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7716128"/>
        <c:axId val="217726688"/>
      </c:lineChart>
      <c:catAx>
        <c:axId val="2177161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7726688"/>
        <c:crosses val="autoZero"/>
        <c:auto val="1"/>
        <c:lblAlgn val="ctr"/>
        <c:lblOffset val="100"/>
        <c:noMultiLvlLbl val="0"/>
      </c:catAx>
      <c:valAx>
        <c:axId val="217726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7716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Susceptible (3 Neurons)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'Estimation with 3 Neurons'!$Q$1</c:f>
              <c:strCache>
                <c:ptCount val="1"/>
                <c:pt idx="0">
                  <c:v>S Pred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'Estimation with 3 Neurons'!$Q$2:$Q$61</c:f>
              <c:numCache>
                <c:formatCode>General</c:formatCode>
                <c:ptCount val="60"/>
                <c:pt idx="0">
                  <c:v>1.055353745296796</c:v>
                </c:pt>
                <c:pt idx="1">
                  <c:v>1.049903679099307</c:v>
                </c:pt>
                <c:pt idx="2">
                  <c:v>1.0423379676534288</c:v>
                </c:pt>
                <c:pt idx="3">
                  <c:v>1.0326234035489805</c:v>
                </c:pt>
                <c:pt idx="4">
                  <c:v>1.0202754284761166</c:v>
                </c:pt>
                <c:pt idx="5">
                  <c:v>1.0047425325265893</c:v>
                </c:pt>
                <c:pt idx="6">
                  <c:v>0.98541689147519751</c:v>
                </c:pt>
                <c:pt idx="7">
                  <c:v>0.96165606468083942</c:v>
                </c:pt>
                <c:pt idx="8">
                  <c:v>0.93281944425011121</c:v>
                </c:pt>
                <c:pt idx="9">
                  <c:v>0.8983219947430805</c:v>
                </c:pt>
                <c:pt idx="10">
                  <c:v>0.85770563362018093</c:v>
                </c:pt>
                <c:pt idx="11">
                  <c:v>0.810724731150684</c:v>
                </c:pt>
                <c:pt idx="12">
                  <c:v>0.75743677626637562</c:v>
                </c:pt>
                <c:pt idx="13">
                  <c:v>0.69828321505016344</c:v>
                </c:pt>
                <c:pt idx="14">
                  <c:v>0.63414080760724634</c:v>
                </c:pt>
                <c:pt idx="15">
                  <c:v>0.56632327561680174</c:v>
                </c:pt>
                <c:pt idx="16">
                  <c:v>0.49651889308758657</c:v>
                </c:pt>
                <c:pt idx="17">
                  <c:v>0.42666242846883895</c:v>
                </c:pt>
                <c:pt idx="18">
                  <c:v>0.35875669886641548</c:v>
                </c:pt>
                <c:pt idx="19">
                  <c:v>0.2946742468721939</c:v>
                </c:pt>
                <c:pt idx="20">
                  <c:v>0.23597699755123847</c:v>
                </c:pt>
                <c:pt idx="21">
                  <c:v>0.183787641238641</c:v>
                </c:pt>
                <c:pt idx="22">
                  <c:v>0.13873229450171687</c:v>
                </c:pt>
                <c:pt idx="23">
                  <c:v>0.10095540488200783</c:v>
                </c:pt>
                <c:pt idx="24">
                  <c:v>7.0191805824572739E-2</c:v>
                </c:pt>
                <c:pt idx="25">
                  <c:v>4.5872045027241626E-2</c:v>
                </c:pt>
                <c:pt idx="26">
                  <c:v>2.7236538556800305E-2</c:v>
                </c:pt>
                <c:pt idx="27">
                  <c:v>1.3439515659250389E-2</c:v>
                </c:pt>
                <c:pt idx="28">
                  <c:v>3.6316304850894099E-3</c:v>
                </c:pt>
                <c:pt idx="29">
                  <c:v>-2.9824511300189371E-3</c:v>
                </c:pt>
                <c:pt idx="30">
                  <c:v>-7.1098625323120501E-3</c:v>
                </c:pt>
                <c:pt idx="31">
                  <c:v>-9.3542517434048733E-3</c:v>
                </c:pt>
                <c:pt idx="32">
                  <c:v>-1.0214040541148606E-2</c:v>
                </c:pt>
                <c:pt idx="33">
                  <c:v>-1.0089264426504485E-2</c:v>
                </c:pt>
                <c:pt idx="34">
                  <c:v>-9.2930278680691814E-3</c:v>
                </c:pt>
                <c:pt idx="35">
                  <c:v>-8.0647401758344728E-3</c:v>
                </c:pt>
                <c:pt idx="36">
                  <c:v>-6.583305585519561E-3</c:v>
                </c:pt>
                <c:pt idx="37">
                  <c:v>-4.9792252521276836E-3</c:v>
                </c:pt>
                <c:pt idx="38">
                  <c:v>-3.3451204875687424E-3</c:v>
                </c:pt>
                <c:pt idx="39">
                  <c:v>-1.7445414423162831E-3</c:v>
                </c:pt>
                <c:pt idx="40">
                  <c:v>-2.1913242674997946E-4</c:v>
                </c:pt>
                <c:pt idx="41">
                  <c:v>1.205669740074633E-3</c:v>
                </c:pt>
                <c:pt idx="42">
                  <c:v>2.5161876603432276E-3</c:v>
                </c:pt>
                <c:pt idx="43">
                  <c:v>3.7070866743604824E-3</c:v>
                </c:pt>
                <c:pt idx="44">
                  <c:v>4.778788562630254E-3</c:v>
                </c:pt>
                <c:pt idx="45">
                  <c:v>5.7355412611856949E-3</c:v>
                </c:pt>
                <c:pt idx="46">
                  <c:v>6.5839989215357164E-3</c:v>
                </c:pt>
                <c:pt idx="47">
                  <c:v>7.3321938408286158E-3</c:v>
                </c:pt>
                <c:pt idx="48">
                  <c:v>7.9888058085968439E-3</c:v>
                </c:pt>
                <c:pt idx="49">
                  <c:v>8.5626547226569372E-3</c:v>
                </c:pt>
                <c:pt idx="50">
                  <c:v>9.0623589879790245E-3</c:v>
                </c:pt>
                <c:pt idx="51">
                  <c:v>9.4961155930581853E-3</c:v>
                </c:pt>
                <c:pt idx="52">
                  <c:v>9.8715683335290905E-3</c:v>
                </c:pt>
                <c:pt idx="53">
                  <c:v>1.0195738907849972E-2</c:v>
                </c:pt>
                <c:pt idx="54">
                  <c:v>1.0475001990178257E-2</c:v>
                </c:pt>
                <c:pt idx="55">
                  <c:v>1.0715090276349315E-2</c:v>
                </c:pt>
                <c:pt idx="56">
                  <c:v>1.0921119221285025E-2</c:v>
                </c:pt>
                <c:pt idx="57">
                  <c:v>1.1097624000774964E-2</c:v>
                </c:pt>
                <c:pt idx="58">
                  <c:v>1.1248603345557662E-2</c:v>
                </c:pt>
                <c:pt idx="59">
                  <c:v>1.1377566474685352E-2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AD-4D6B-939F-D3AA6FABB3CA}"/>
            </c:ext>
          </c:extLst>
        </c:ser>
        <c:ser>
          <c:idx val="1"/>
          <c:order val="1"/>
          <c:tx>
            <c:strRef>
              <c:f>'Estimation with 3 Neurons'!$T$1</c:f>
              <c:strCache>
                <c:ptCount val="1"/>
                <c:pt idx="0">
                  <c:v>S Real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'Estimation with 3 Neurons'!$T$2:$T$61</c:f>
              <c:numCache>
                <c:formatCode>General</c:formatCode>
                <c:ptCount val="60"/>
                <c:pt idx="0">
                  <c:v>0.99916902781949102</c:v>
                </c:pt>
                <c:pt idx="1">
                  <c:v>0.98960193539692398</c:v>
                </c:pt>
                <c:pt idx="2">
                  <c:v>1.0027006748148801</c:v>
                </c:pt>
                <c:pt idx="3">
                  <c:v>0.99110329365628103</c:v>
                </c:pt>
                <c:pt idx="4">
                  <c:v>0.99855053119660397</c:v>
                </c:pt>
                <c:pt idx="5">
                  <c:v>0.99334815329542803</c:v>
                </c:pt>
                <c:pt idx="6">
                  <c:v>0.98283073740154103</c:v>
                </c:pt>
                <c:pt idx="7">
                  <c:v>0.97539398785926001</c:v>
                </c:pt>
                <c:pt idx="8">
                  <c:v>0.96249140793574095</c:v>
                </c:pt>
                <c:pt idx="9">
                  <c:v>0.94450237023887595</c:v>
                </c:pt>
                <c:pt idx="10">
                  <c:v>0.91819898168117797</c:v>
                </c:pt>
                <c:pt idx="11">
                  <c:v>0.89021613947898592</c:v>
                </c:pt>
                <c:pt idx="12">
                  <c:v>0.83105634839519704</c:v>
                </c:pt>
                <c:pt idx="13">
                  <c:v>0.77338802087821101</c:v>
                </c:pt>
                <c:pt idx="14">
                  <c:v>0.68790871012265198</c:v>
                </c:pt>
                <c:pt idx="15">
                  <c:v>0.59497831839092707</c:v>
                </c:pt>
                <c:pt idx="16">
                  <c:v>0.48898600704502004</c:v>
                </c:pt>
                <c:pt idx="17">
                  <c:v>0.39651123517081099</c:v>
                </c:pt>
                <c:pt idx="18">
                  <c:v>0.31251275507811599</c:v>
                </c:pt>
                <c:pt idx="19">
                  <c:v>0.23552071001902899</c:v>
                </c:pt>
                <c:pt idx="20">
                  <c:v>0.188024971201353</c:v>
                </c:pt>
                <c:pt idx="21">
                  <c:v>0.137907399961987</c:v>
                </c:pt>
                <c:pt idx="22">
                  <c:v>9.9076317792327895E-2</c:v>
                </c:pt>
                <c:pt idx="23">
                  <c:v>7.6771548896384309E-2</c:v>
                </c:pt>
                <c:pt idx="24">
                  <c:v>5.50331848909218E-2</c:v>
                </c:pt>
                <c:pt idx="25">
                  <c:v>4.1882891498532304E-2</c:v>
                </c:pt>
                <c:pt idx="26">
                  <c:v>2.6899076645389701E-2</c:v>
                </c:pt>
                <c:pt idx="27">
                  <c:v>2.8643066551244298E-2</c:v>
                </c:pt>
                <c:pt idx="28">
                  <c:v>1.8585382566350301E-2</c:v>
                </c:pt>
                <c:pt idx="29">
                  <c:v>1.6441050975567299E-2</c:v>
                </c:pt>
                <c:pt idx="30">
                  <c:v>1.6927265894710001E-2</c:v>
                </c:pt>
                <c:pt idx="31">
                  <c:v>5.5360201456173194E-3</c:v>
                </c:pt>
                <c:pt idx="32">
                  <c:v>5.5516744239331806E-3</c:v>
                </c:pt>
                <c:pt idx="33">
                  <c:v>1.2931474477337201E-2</c:v>
                </c:pt>
                <c:pt idx="34">
                  <c:v>8.6066661943624695E-3</c:v>
                </c:pt>
                <c:pt idx="35">
                  <c:v>7.3575980325581393E-3</c:v>
                </c:pt>
                <c:pt idx="36">
                  <c:v>2.8505374714209897E-3</c:v>
                </c:pt>
                <c:pt idx="37">
                  <c:v>-2.1838521820841201E-4</c:v>
                </c:pt>
                <c:pt idx="38">
                  <c:v>8.2348707294253292E-3</c:v>
                </c:pt>
                <c:pt idx="39">
                  <c:v>3.9663387236011597E-3</c:v>
                </c:pt>
                <c:pt idx="40">
                  <c:v>7.9785242352294391E-3</c:v>
                </c:pt>
                <c:pt idx="41">
                  <c:v>3.1396670372780401E-3</c:v>
                </c:pt>
                <c:pt idx="42">
                  <c:v>2.6118371468564702E-3</c:v>
                </c:pt>
                <c:pt idx="43">
                  <c:v>2.39128185473625E-3</c:v>
                </c:pt>
                <c:pt idx="44">
                  <c:v>1.2757458204968699E-3</c:v>
                </c:pt>
                <c:pt idx="45">
                  <c:v>3.5362804167817599E-3</c:v>
                </c:pt>
                <c:pt idx="46">
                  <c:v>-3.1346344649783998E-3</c:v>
                </c:pt>
                <c:pt idx="47">
                  <c:v>9.0828857896239103E-3</c:v>
                </c:pt>
                <c:pt idx="48">
                  <c:v>1.0538230552720001E-2</c:v>
                </c:pt>
                <c:pt idx="49">
                  <c:v>2.5859344138377399E-3</c:v>
                </c:pt>
                <c:pt idx="50">
                  <c:v>2.0336631835871899E-3</c:v>
                </c:pt>
                <c:pt idx="51">
                  <c:v>2.2949557971681501E-3</c:v>
                </c:pt>
                <c:pt idx="52">
                  <c:v>2.3936274802814103E-3</c:v>
                </c:pt>
                <c:pt idx="53">
                  <c:v>2.3043154567460099E-3</c:v>
                </c:pt>
                <c:pt idx="54">
                  <c:v>3.0385585864702198E-3</c:v>
                </c:pt>
                <c:pt idx="55">
                  <c:v>7.9515125832206497E-3</c:v>
                </c:pt>
                <c:pt idx="56">
                  <c:v>-1.1013052498209E-4</c:v>
                </c:pt>
                <c:pt idx="57">
                  <c:v>5.6947636442931599E-3</c:v>
                </c:pt>
                <c:pt idx="58">
                  <c:v>-2.2807198247528698E-3</c:v>
                </c:pt>
                <c:pt idx="59">
                  <c:v>-1.0788247514761E-4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5AD-4D6B-939F-D3AA6FABB3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3575024"/>
        <c:axId val="1243578384"/>
      </c:lineChart>
      <c:catAx>
        <c:axId val="12435750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3578384"/>
        <c:crosses val="autoZero"/>
        <c:auto val="1"/>
        <c:lblAlgn val="ctr"/>
        <c:lblOffset val="100"/>
        <c:noMultiLvlLbl val="0"/>
      </c:catAx>
      <c:valAx>
        <c:axId val="124357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3575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Infected (3 Neurons)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'Estimation with 3 Neurons'!$R$1</c:f>
              <c:strCache>
                <c:ptCount val="1"/>
                <c:pt idx="0">
                  <c:v>I Pred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'Estimation with 3 Neurons'!$R$2:$R$61</c:f>
              <c:numCache>
                <c:formatCode>General</c:formatCode>
                <c:ptCount val="60"/>
                <c:pt idx="0">
                  <c:v>4.8729136503204984E-3</c:v>
                </c:pt>
                <c:pt idx="1">
                  <c:v>1.6692996635825352E-4</c:v>
                </c:pt>
                <c:pt idx="2">
                  <c:v>-2.8655483701527373E-3</c:v>
                </c:pt>
                <c:pt idx="3">
                  <c:v>-4.5133450773899852E-3</c:v>
                </c:pt>
                <c:pt idx="4">
                  <c:v>-4.1747001360938896E-3</c:v>
                </c:pt>
                <c:pt idx="5">
                  <c:v>-1.1278683536879441E-3</c:v>
                </c:pt>
                <c:pt idx="6">
                  <c:v>5.4578563726357388E-3</c:v>
                </c:pt>
                <c:pt idx="7">
                  <c:v>1.6492115155690712E-2</c:v>
                </c:pt>
                <c:pt idx="8">
                  <c:v>3.2906959904501321E-2</c:v>
                </c:pt>
                <c:pt idx="9">
                  <c:v>5.556834441242664E-2</c:v>
                </c:pt>
                <c:pt idx="10">
                  <c:v>8.515426622182698E-2</c:v>
                </c:pt>
                <c:pt idx="11">
                  <c:v>0.12200581665978216</c:v>
                </c:pt>
                <c:pt idx="12">
                  <c:v>0.16596832020280061</c:v>
                </c:pt>
                <c:pt idx="13">
                  <c:v>0.21625197821149289</c:v>
                </c:pt>
                <c:pt idx="14">
                  <c:v>0.27135073521600028</c:v>
                </c:pt>
                <c:pt idx="15">
                  <c:v>0.32905866117826732</c:v>
                </c:pt>
                <c:pt idx="16">
                  <c:v>0.38661002284647394</c:v>
                </c:pt>
                <c:pt idx="17">
                  <c:v>0.44094182829421991</c:v>
                </c:pt>
                <c:pt idx="18">
                  <c:v>0.48904249096345342</c:v>
                </c:pt>
                <c:pt idx="19">
                  <c:v>0.52832011809775592</c:v>
                </c:pt>
                <c:pt idx="20">
                  <c:v>0.55691227949613165</c:v>
                </c:pt>
                <c:pt idx="21">
                  <c:v>0.57387266083328026</c:v>
                </c:pt>
                <c:pt idx="22">
                  <c:v>0.57920414459359382</c:v>
                </c:pt>
                <c:pt idx="23">
                  <c:v>0.57374879517554156</c:v>
                </c:pt>
                <c:pt idx="24">
                  <c:v>0.55897748259282132</c:v>
                </c:pt>
                <c:pt idx="25">
                  <c:v>0.53673600292183643</c:v>
                </c:pt>
                <c:pt idx="26">
                  <c:v>0.50900020310028715</c:v>
                </c:pt>
                <c:pt idx="27">
                  <c:v>0.47767631545116807</c:v>
                </c:pt>
                <c:pt idx="28">
                  <c:v>0.44446300774307801</c:v>
                </c:pt>
                <c:pt idx="29">
                  <c:v>0.41077512306668496</c:v>
                </c:pt>
                <c:pt idx="30">
                  <c:v>0.37771871957883008</c:v>
                </c:pt>
                <c:pt idx="31">
                  <c:v>0.34610277835244219</c:v>
                </c:pt>
                <c:pt idx="32">
                  <c:v>0.31647314936328641</c:v>
                </c:pt>
                <c:pt idx="33">
                  <c:v>0.28915692587656672</c:v>
                </c:pt>
                <c:pt idx="34">
                  <c:v>0.26430884670891786</c:v>
                </c:pt>
                <c:pt idx="35">
                  <c:v>0.24195451853237415</c:v>
                </c:pt>
                <c:pt idx="36">
                  <c:v>0.22202776912746813</c:v>
                </c:pt>
                <c:pt idx="37">
                  <c:v>0.20440119451950345</c:v>
                </c:pt>
                <c:pt idx="38">
                  <c:v>0.18891004546447121</c:v>
                </c:pt>
                <c:pt idx="39">
                  <c:v>0.1753701766011293</c:v>
                </c:pt>
                <c:pt idx="40">
                  <c:v>0.16359101849683988</c:v>
                </c:pt>
                <c:pt idx="41">
                  <c:v>0.15338456188413474</c:v>
                </c:pt>
                <c:pt idx="42">
                  <c:v>0.14457126043358848</c:v>
                </c:pt>
                <c:pt idx="43">
                  <c:v>0.13698362623840765</c:v>
                </c:pt>
                <c:pt idx="44">
                  <c:v>0.13046814844374666</c:v>
                </c:pt>
                <c:pt idx="45">
                  <c:v>0.12488603041754409</c:v>
                </c:pt>
                <c:pt idx="46">
                  <c:v>0.12011312374778171</c:v>
                </c:pt>
                <c:pt idx="47">
                  <c:v>0.11603934086046053</c:v>
                </c:pt>
                <c:pt idx="48">
                  <c:v>0.11256775138594222</c:v>
                </c:pt>
                <c:pt idx="49">
                  <c:v>0.10961350814598347</c:v>
                </c:pt>
                <c:pt idx="50">
                  <c:v>0.10710270385055409</c:v>
                </c:pt>
                <c:pt idx="51">
                  <c:v>0.10497122639667822</c:v>
                </c:pt>
                <c:pt idx="52">
                  <c:v>0.10316365649122083</c:v>
                </c:pt>
                <c:pt idx="53">
                  <c:v>0.10163223403220911</c:v>
                </c:pt>
                <c:pt idx="54">
                  <c:v>0.10033590755505095</c:v>
                </c:pt>
                <c:pt idx="55">
                  <c:v>9.923947272995548E-2</c:v>
                </c:pt>
                <c:pt idx="56">
                  <c:v>9.8312800349393825E-2</c:v>
                </c:pt>
                <c:pt idx="57">
                  <c:v>9.7530150687669348E-2</c:v>
                </c:pt>
                <c:pt idx="58">
                  <c:v>9.6869568966875264E-2</c:v>
                </c:pt>
                <c:pt idx="59">
                  <c:v>9.6312355496433355E-2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37-44CC-8B8D-8FC716EEEBAB}"/>
            </c:ext>
          </c:extLst>
        </c:ser>
        <c:ser>
          <c:idx val="1"/>
          <c:order val="1"/>
          <c:tx>
            <c:strRef>
              <c:f>'Estimation with 3 Neurons'!$U$1</c:f>
              <c:strCache>
                <c:ptCount val="1"/>
                <c:pt idx="0">
                  <c:v>I Real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'Estimation with 3 Neurons'!$U$2:$U$61</c:f>
              <c:numCache>
                <c:formatCode>General</c:formatCode>
                <c:ptCount val="60"/>
                <c:pt idx="0">
                  <c:v>-5.1644142064485399E-4</c:v>
                </c:pt>
                <c:pt idx="1">
                  <c:v>2.1639113228485896E-3</c:v>
                </c:pt>
                <c:pt idx="2">
                  <c:v>3.31005964809079E-3</c:v>
                </c:pt>
                <c:pt idx="3">
                  <c:v>1.5165637719900501E-3</c:v>
                </c:pt>
                <c:pt idx="4">
                  <c:v>2.0051112150917699E-3</c:v>
                </c:pt>
                <c:pt idx="5">
                  <c:v>5.7859344004262394E-3</c:v>
                </c:pt>
                <c:pt idx="6">
                  <c:v>1.2651330839959601E-2</c:v>
                </c:pt>
                <c:pt idx="7">
                  <c:v>2.03539996715329E-2</c:v>
                </c:pt>
                <c:pt idx="8">
                  <c:v>3.3533967396357001E-2</c:v>
                </c:pt>
                <c:pt idx="9">
                  <c:v>4.7496166004264602E-2</c:v>
                </c:pt>
                <c:pt idx="10">
                  <c:v>6.7597221336325009E-2</c:v>
                </c:pt>
                <c:pt idx="11">
                  <c:v>9.5969397639399309E-2</c:v>
                </c:pt>
                <c:pt idx="12">
                  <c:v>0.139820372745182</c:v>
                </c:pt>
                <c:pt idx="13">
                  <c:v>0.19576330278256401</c:v>
                </c:pt>
                <c:pt idx="14">
                  <c:v>0.25894601239861498</c:v>
                </c:pt>
                <c:pt idx="15">
                  <c:v>0.33076845698165103</c:v>
                </c:pt>
                <c:pt idx="16">
                  <c:v>0.40789980280525601</c:v>
                </c:pt>
                <c:pt idx="17">
                  <c:v>0.47372642816447597</c:v>
                </c:pt>
                <c:pt idx="18">
                  <c:v>0.52750319456345507</c:v>
                </c:pt>
                <c:pt idx="19">
                  <c:v>0.55793614971574401</c:v>
                </c:pt>
                <c:pt idx="20">
                  <c:v>0.5772776209197521</c:v>
                </c:pt>
                <c:pt idx="21">
                  <c:v>0.57947852857229998</c:v>
                </c:pt>
                <c:pt idx="22">
                  <c:v>0.57261055388682602</c:v>
                </c:pt>
                <c:pt idx="23">
                  <c:v>0.554625055849157</c:v>
                </c:pt>
                <c:pt idx="24">
                  <c:v>0.53385373128166391</c:v>
                </c:pt>
                <c:pt idx="25">
                  <c:v>0.51004856673586696</c:v>
                </c:pt>
                <c:pt idx="26">
                  <c:v>0.48054748715594703</c:v>
                </c:pt>
                <c:pt idx="27">
                  <c:v>0.45621581041098197</c:v>
                </c:pt>
                <c:pt idx="28">
                  <c:v>0.43462182741029998</c:v>
                </c:pt>
                <c:pt idx="29">
                  <c:v>0.40770546813070097</c:v>
                </c:pt>
                <c:pt idx="30">
                  <c:v>0.38076372682378795</c:v>
                </c:pt>
                <c:pt idx="31">
                  <c:v>0.35516465630493699</c:v>
                </c:pt>
                <c:pt idx="32">
                  <c:v>0.33275256354035898</c:v>
                </c:pt>
                <c:pt idx="33">
                  <c:v>0.31162242112024097</c:v>
                </c:pt>
                <c:pt idx="34">
                  <c:v>0.29035002727487702</c:v>
                </c:pt>
                <c:pt idx="35">
                  <c:v>0.272509543831852</c:v>
                </c:pt>
                <c:pt idx="36">
                  <c:v>0.25622929206750999</c:v>
                </c:pt>
                <c:pt idx="37">
                  <c:v>0.23591031536785101</c:v>
                </c:pt>
                <c:pt idx="38">
                  <c:v>0.22078107592961702</c:v>
                </c:pt>
                <c:pt idx="39">
                  <c:v>0.204823212440885</c:v>
                </c:pt>
                <c:pt idx="40">
                  <c:v>0.19286137258476199</c:v>
                </c:pt>
                <c:pt idx="41">
                  <c:v>0.17630438116484701</c:v>
                </c:pt>
                <c:pt idx="42">
                  <c:v>0.16677826328596299</c:v>
                </c:pt>
                <c:pt idx="43">
                  <c:v>0.157909899247861</c:v>
                </c:pt>
                <c:pt idx="44">
                  <c:v>0.14923463373831</c:v>
                </c:pt>
                <c:pt idx="45">
                  <c:v>0.135577127775768</c:v>
                </c:pt>
                <c:pt idx="46">
                  <c:v>0.125187367886479</c:v>
                </c:pt>
                <c:pt idx="47">
                  <c:v>0.11564560923284699</c:v>
                </c:pt>
                <c:pt idx="48">
                  <c:v>0.111612530534534</c:v>
                </c:pt>
                <c:pt idx="49">
                  <c:v>0.10342211054485</c:v>
                </c:pt>
                <c:pt idx="50">
                  <c:v>9.4972241588527101E-2</c:v>
                </c:pt>
                <c:pt idx="51">
                  <c:v>8.7440881600336293E-2</c:v>
                </c:pt>
                <c:pt idx="52">
                  <c:v>8.3053244128702103E-2</c:v>
                </c:pt>
                <c:pt idx="53">
                  <c:v>7.8073186837302994E-2</c:v>
                </c:pt>
                <c:pt idx="54">
                  <c:v>7.1018266657233403E-2</c:v>
                </c:pt>
                <c:pt idx="55">
                  <c:v>6.6968684958737701E-2</c:v>
                </c:pt>
                <c:pt idx="56">
                  <c:v>6.18422691296922E-2</c:v>
                </c:pt>
                <c:pt idx="57">
                  <c:v>6.0470398956274998E-2</c:v>
                </c:pt>
                <c:pt idx="58">
                  <c:v>5.4975808919005206E-2</c:v>
                </c:pt>
                <c:pt idx="59">
                  <c:v>5.3596926243307502E-2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337-44CC-8B8D-8FC716EEEB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7732928"/>
        <c:axId val="217724768"/>
      </c:lineChart>
      <c:catAx>
        <c:axId val="2177329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7724768"/>
        <c:crosses val="autoZero"/>
        <c:auto val="1"/>
        <c:lblAlgn val="ctr"/>
        <c:lblOffset val="100"/>
        <c:noMultiLvlLbl val="0"/>
      </c:catAx>
      <c:valAx>
        <c:axId val="21772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7732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Recovered</a:t>
            </a:r>
            <a:r>
              <a:rPr lang="en-US" baseline="0"/>
              <a:t> (3 Neurons)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'Estimation with 3 Neurons'!$S$1</c:f>
              <c:strCache>
                <c:ptCount val="1"/>
                <c:pt idx="0">
                  <c:v>R Pred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'Estimation with 3 Neurons'!$S$2:$S$61</c:f>
              <c:numCache>
                <c:formatCode>General</c:formatCode>
                <c:ptCount val="60"/>
                <c:pt idx="0">
                  <c:v>-5.7226901292854127E-2</c:v>
                </c:pt>
                <c:pt idx="1">
                  <c:v>-4.8167403784310725E-2</c:v>
                </c:pt>
                <c:pt idx="2">
                  <c:v>-3.7509063186687008E-2</c:v>
                </c:pt>
                <c:pt idx="3">
                  <c:v>-2.6102976967763869E-2</c:v>
                </c:pt>
                <c:pt idx="4">
                  <c:v>-1.4075703345939328E-2</c:v>
                </c:pt>
                <c:pt idx="5">
                  <c:v>-1.6076070614650106E-3</c:v>
                </c:pt>
                <c:pt idx="6">
                  <c:v>1.1066721629746645E-2</c:v>
                </c:pt>
                <c:pt idx="7">
                  <c:v>2.3667217887401115E-2</c:v>
                </c:pt>
                <c:pt idx="8">
                  <c:v>3.5889223232954848E-2</c:v>
                </c:pt>
                <c:pt idx="9">
                  <c:v>4.7439522935742495E-2</c:v>
                </c:pt>
                <c:pt idx="10">
                  <c:v>5.8088574614095112E-2</c:v>
                </c:pt>
                <c:pt idx="11">
                  <c:v>6.7736101756909139E-2</c:v>
                </c:pt>
                <c:pt idx="12">
                  <c:v>7.6481575572400207E-2</c:v>
                </c:pt>
                <c:pt idx="13">
                  <c:v>8.4684736584996756E-2</c:v>
                </c:pt>
                <c:pt idx="14">
                  <c:v>9.2996530051546289E-2</c:v>
                </c:pt>
                <c:pt idx="15">
                  <c:v>0.10234081965098385</c:v>
                </c:pt>
                <c:pt idx="16">
                  <c:v>0.11383467589452545</c:v>
                </c:pt>
                <c:pt idx="17">
                  <c:v>0.1286500688087493</c:v>
                </c:pt>
                <c:pt idx="18">
                  <c:v>0.14783859149682099</c:v>
                </c:pt>
                <c:pt idx="19">
                  <c:v>0.17215617046023812</c:v>
                </c:pt>
                <c:pt idx="20">
                  <c:v>0.20192918687819317</c:v>
                </c:pt>
                <c:pt idx="21">
                  <c:v>0.2369937947705365</c:v>
                </c:pt>
                <c:pt idx="22">
                  <c:v>0.27671977504719436</c:v>
                </c:pt>
                <c:pt idx="23">
                  <c:v>0.32010731940716752</c:v>
                </c:pt>
                <c:pt idx="24">
                  <c:v>0.36592847056687638</c:v>
                </c:pt>
                <c:pt idx="25">
                  <c:v>0.41287940277066415</c:v>
                </c:pt>
                <c:pt idx="26">
                  <c:v>0.4597147163333748</c:v>
                </c:pt>
                <c:pt idx="27">
                  <c:v>0.50534605161919544</c:v>
                </c:pt>
                <c:pt idx="28">
                  <c:v>0.54889940599394826</c:v>
                </c:pt>
                <c:pt idx="29">
                  <c:v>0.58973487865950069</c:v>
                </c:pt>
                <c:pt idx="30">
                  <c:v>0.62743776368013027</c:v>
                </c:pt>
                <c:pt idx="31">
                  <c:v>0.66179134783263116</c:v>
                </c:pt>
                <c:pt idx="32">
                  <c:v>0.69274069535042138</c:v>
                </c:pt>
                <c:pt idx="33">
                  <c:v>0.72035443995521042</c:v>
                </c:pt>
                <c:pt idx="34">
                  <c:v>0.74478914158803367</c:v>
                </c:pt>
                <c:pt idx="35">
                  <c:v>0.7662586562585183</c:v>
                </c:pt>
                <c:pt idx="36">
                  <c:v>0.78500941985298223</c:v>
                </c:pt>
                <c:pt idx="37">
                  <c:v>0.8013015532038974</c:v>
                </c:pt>
                <c:pt idx="38">
                  <c:v>0.81539514911780131</c:v>
                </c:pt>
                <c:pt idx="39">
                  <c:v>0.82754087080181904</c:v>
                </c:pt>
                <c:pt idx="40">
                  <c:v>0.83797395793755136</c:v>
                </c:pt>
                <c:pt idx="41">
                  <c:v>0.84691081252164224</c:v>
                </c:pt>
                <c:pt idx="42">
                  <c:v>0.85454746120868563</c:v>
                </c:pt>
                <c:pt idx="43">
                  <c:v>0.86105932730860246</c:v>
                </c:pt>
                <c:pt idx="44">
                  <c:v>0.86660187363305674</c:v>
                </c:pt>
                <c:pt idx="45">
                  <c:v>0.87131178783047503</c:v>
                </c:pt>
                <c:pt idx="46">
                  <c:v>0.87530847201551332</c:v>
                </c:pt>
                <c:pt idx="47">
                  <c:v>0.87869566923671094</c:v>
                </c:pt>
                <c:pt idx="48">
                  <c:v>0.88156311311265512</c:v>
                </c:pt>
                <c:pt idx="49">
                  <c:v>0.8839881267945735</c:v>
                </c:pt>
                <c:pt idx="50">
                  <c:v>0.88603712619677033</c:v>
                </c:pt>
                <c:pt idx="51">
                  <c:v>0.88776700274067366</c:v>
                </c:pt>
                <c:pt idx="52">
                  <c:v>0.88922637480758837</c:v>
                </c:pt>
                <c:pt idx="53">
                  <c:v>0.89045670637919905</c:v>
                </c:pt>
                <c:pt idx="54">
                  <c:v>0.89149329726860671</c:v>
                </c:pt>
                <c:pt idx="55">
                  <c:v>0.89236615289328114</c:v>
                </c:pt>
                <c:pt idx="56">
                  <c:v>0.89310074344539103</c:v>
                </c:pt>
                <c:pt idx="57">
                  <c:v>0.89371866310662007</c:v>
                </c:pt>
                <c:pt idx="58">
                  <c:v>0.89423820001687027</c:v>
                </c:pt>
                <c:pt idx="59">
                  <c:v>0.89467482730922399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7B-411D-8F45-8665BF4C85A6}"/>
            </c:ext>
          </c:extLst>
        </c:ser>
        <c:ser>
          <c:idx val="1"/>
          <c:order val="1"/>
          <c:tx>
            <c:strRef>
              <c:f>'Estimation with 3 Neurons'!$V$1</c:f>
              <c:strCache>
                <c:ptCount val="1"/>
                <c:pt idx="0">
                  <c:v>R Real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'Estimation with 3 Neurons'!$V$2:$V$61</c:f>
              <c:numCache>
                <c:formatCode>General</c:formatCode>
                <c:ptCount val="60"/>
                <c:pt idx="0">
                  <c:v>1.29646532345248E-3</c:v>
                </c:pt>
                <c:pt idx="1">
                  <c:v>2.6945909567850398E-3</c:v>
                </c:pt>
                <c:pt idx="2">
                  <c:v>-4.7185297244242705E-3</c:v>
                </c:pt>
                <c:pt idx="3">
                  <c:v>2.4789689316632598E-3</c:v>
                </c:pt>
                <c:pt idx="4">
                  <c:v>3.86363487767975E-3</c:v>
                </c:pt>
                <c:pt idx="5">
                  <c:v>-4.6798608314981898E-3</c:v>
                </c:pt>
                <c:pt idx="6">
                  <c:v>3.0346095032803499E-3</c:v>
                </c:pt>
                <c:pt idx="7">
                  <c:v>7.4668309922445502E-3</c:v>
                </c:pt>
                <c:pt idx="8">
                  <c:v>9.1761695406187595E-3</c:v>
                </c:pt>
                <c:pt idx="9">
                  <c:v>7.5225339506602403E-3</c:v>
                </c:pt>
                <c:pt idx="10">
                  <c:v>3.2927993138720797E-3</c:v>
                </c:pt>
                <c:pt idx="11">
                  <c:v>1.96514990734073E-2</c:v>
                </c:pt>
                <c:pt idx="12">
                  <c:v>2.4532806481925299E-2</c:v>
                </c:pt>
                <c:pt idx="13">
                  <c:v>3.84479753657469E-2</c:v>
                </c:pt>
                <c:pt idx="14">
                  <c:v>6.3388110834698502E-2</c:v>
                </c:pt>
                <c:pt idx="15">
                  <c:v>7.3720662375898097E-2</c:v>
                </c:pt>
                <c:pt idx="16">
                  <c:v>9.9755417736937704E-2</c:v>
                </c:pt>
                <c:pt idx="17">
                  <c:v>0.13353312106332502</c:v>
                </c:pt>
                <c:pt idx="18">
                  <c:v>0.171732007304878</c:v>
                </c:pt>
                <c:pt idx="19">
                  <c:v>0.208737490794312</c:v>
                </c:pt>
                <c:pt idx="20">
                  <c:v>0.245867937524964</c:v>
                </c:pt>
                <c:pt idx="21">
                  <c:v>0.28965693379235602</c:v>
                </c:pt>
                <c:pt idx="22">
                  <c:v>0.33141838551950203</c:v>
                </c:pt>
                <c:pt idx="23">
                  <c:v>0.37486334043008496</c:v>
                </c:pt>
                <c:pt idx="24">
                  <c:v>0.41205954274061996</c:v>
                </c:pt>
                <c:pt idx="25">
                  <c:v>0.44388223355148898</c:v>
                </c:pt>
                <c:pt idx="26">
                  <c:v>0.487722954635535</c:v>
                </c:pt>
                <c:pt idx="27">
                  <c:v>0.51359201939365806</c:v>
                </c:pt>
                <c:pt idx="28">
                  <c:v>0.547713142498501</c:v>
                </c:pt>
                <c:pt idx="29">
                  <c:v>0.57331041777418701</c:v>
                </c:pt>
                <c:pt idx="30">
                  <c:v>0.602138744531867</c:v>
                </c:pt>
                <c:pt idx="31">
                  <c:v>0.624921752972462</c:v>
                </c:pt>
                <c:pt idx="32">
                  <c:v>0.65513191440359508</c:v>
                </c:pt>
                <c:pt idx="33">
                  <c:v>0.68166378325101906</c:v>
                </c:pt>
                <c:pt idx="34">
                  <c:v>0.69814062804294097</c:v>
                </c:pt>
                <c:pt idx="35">
                  <c:v>0.71941411557586699</c:v>
                </c:pt>
                <c:pt idx="36">
                  <c:v>0.73983758563310398</c:v>
                </c:pt>
                <c:pt idx="37">
                  <c:v>0.75684413386429605</c:v>
                </c:pt>
                <c:pt idx="38">
                  <c:v>0.7750441208199299</c:v>
                </c:pt>
                <c:pt idx="39">
                  <c:v>0.78395269848070492</c:v>
                </c:pt>
                <c:pt idx="40">
                  <c:v>0.80233719563429595</c:v>
                </c:pt>
                <c:pt idx="41">
                  <c:v>0.81844367482675706</c:v>
                </c:pt>
                <c:pt idx="42">
                  <c:v>0.83017491401183396</c:v>
                </c:pt>
                <c:pt idx="43">
                  <c:v>0.83969352077445703</c:v>
                </c:pt>
                <c:pt idx="44">
                  <c:v>0.84673055231667504</c:v>
                </c:pt>
                <c:pt idx="45">
                  <c:v>0.86534225693530897</c:v>
                </c:pt>
                <c:pt idx="46">
                  <c:v>0.87833605384871605</c:v>
                </c:pt>
                <c:pt idx="47">
                  <c:v>0.87802773465304806</c:v>
                </c:pt>
                <c:pt idx="48">
                  <c:v>0.88908099354612202</c:v>
                </c:pt>
                <c:pt idx="49">
                  <c:v>0.89472708248588406</c:v>
                </c:pt>
                <c:pt idx="50">
                  <c:v>0.90450311421663898</c:v>
                </c:pt>
                <c:pt idx="51">
                  <c:v>0.90922037148508505</c:v>
                </c:pt>
                <c:pt idx="52">
                  <c:v>0.906309636239233</c:v>
                </c:pt>
                <c:pt idx="53">
                  <c:v>0.92630169320256595</c:v>
                </c:pt>
                <c:pt idx="54">
                  <c:v>0.92736038017037692</c:v>
                </c:pt>
                <c:pt idx="55">
                  <c:v>0.93389441761834491</c:v>
                </c:pt>
                <c:pt idx="56">
                  <c:v>0.94275156262420401</c:v>
                </c:pt>
                <c:pt idx="57">
                  <c:v>0.93680268831874902</c:v>
                </c:pt>
                <c:pt idx="58">
                  <c:v>0.94398061818187207</c:v>
                </c:pt>
                <c:pt idx="59">
                  <c:v>0.94100736181572697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A7B-411D-8F45-8665BF4C85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7716128"/>
        <c:axId val="217726688"/>
      </c:lineChart>
      <c:catAx>
        <c:axId val="2177161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7726688"/>
        <c:crosses val="autoZero"/>
        <c:auto val="1"/>
        <c:lblAlgn val="ctr"/>
        <c:lblOffset val="100"/>
        <c:noMultiLvlLbl val="0"/>
      </c:catAx>
      <c:valAx>
        <c:axId val="217726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7716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Susceptible (4 Neurons)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'Estimation with 4 Neurons'!$V$1</c:f>
              <c:strCache>
                <c:ptCount val="1"/>
                <c:pt idx="0">
                  <c:v>S Pred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'Estimation with 4 Neurons'!$V$2:$V$61</c:f>
              <c:numCache>
                <c:formatCode>General</c:formatCode>
                <c:ptCount val="60"/>
                <c:pt idx="0">
                  <c:v>1.0204777411008514</c:v>
                </c:pt>
                <c:pt idx="1">
                  <c:v>1.0194009914481077</c:v>
                </c:pt>
                <c:pt idx="2">
                  <c:v>1.0170249909690865</c:v>
                </c:pt>
                <c:pt idx="3">
                  <c:v>1.0136564273868673</c:v>
                </c:pt>
                <c:pt idx="4">
                  <c:v>1.0088939600902149</c:v>
                </c:pt>
                <c:pt idx="5">
                  <c:v>1.0021824074054502</c:v>
                </c:pt>
                <c:pt idx="6">
                  <c:v>0.99276822305000412</c:v>
                </c:pt>
                <c:pt idx="7">
                  <c:v>0.97965081270794219</c:v>
                </c:pt>
                <c:pt idx="8">
                  <c:v>0.96154351144266403</c:v>
                </c:pt>
                <c:pt idx="9">
                  <c:v>0.93686909309876931</c:v>
                </c:pt>
                <c:pt idx="10">
                  <c:v>0.90383172221801278</c:v>
                </c:pt>
                <c:pt idx="11">
                  <c:v>0.86062198523635125</c:v>
                </c:pt>
                <c:pt idx="12">
                  <c:v>0.80580538087166254</c:v>
                </c:pt>
                <c:pt idx="13">
                  <c:v>0.73888699462059382</c:v>
                </c:pt>
                <c:pt idx="14">
                  <c:v>0.66091662708876164</c:v>
                </c:pt>
                <c:pt idx="15">
                  <c:v>0.57484468365437014</c:v>
                </c:pt>
                <c:pt idx="16">
                  <c:v>0.48530367826893972</c:v>
                </c:pt>
                <c:pt idx="17">
                  <c:v>0.39771726434399213</c:v>
                </c:pt>
                <c:pt idx="18">
                  <c:v>0.31705039279758296</c:v>
                </c:pt>
                <c:pt idx="19">
                  <c:v>0.24677029622195779</c:v>
                </c:pt>
                <c:pt idx="20">
                  <c:v>0.18843537004943833</c:v>
                </c:pt>
                <c:pt idx="21">
                  <c:v>0.14192098206960768</c:v>
                </c:pt>
                <c:pt idx="22">
                  <c:v>0.10599078680759089</c:v>
                </c:pt>
                <c:pt idx="23">
                  <c:v>7.889380160310111E-2</c:v>
                </c:pt>
                <c:pt idx="24">
                  <c:v>5.8806750270366415E-2</c:v>
                </c:pt>
                <c:pt idx="25">
                  <c:v>4.40858078225288E-2</c:v>
                </c:pt>
                <c:pt idx="26">
                  <c:v>3.3368898669926317E-2</c:v>
                </c:pt>
                <c:pt idx="27">
                  <c:v>2.5586870094535641E-2</c:v>
                </c:pt>
                <c:pt idx="28">
                  <c:v>1.9930380325803299E-2</c:v>
                </c:pt>
                <c:pt idx="29">
                  <c:v>1.5801799854060938E-2</c:v>
                </c:pt>
                <c:pt idx="30">
                  <c:v>1.2767357531115131E-2</c:v>
                </c:pt>
                <c:pt idx="31">
                  <c:v>1.0515925058258269E-2</c:v>
                </c:pt>
                <c:pt idx="32">
                  <c:v>8.8261028478822112E-3</c:v>
                </c:pt>
                <c:pt idx="33">
                  <c:v>7.5411006620642596E-3</c:v>
                </c:pt>
                <c:pt idx="34">
                  <c:v>6.5501233108307133E-3</c:v>
                </c:pt>
                <c:pt idx="35">
                  <c:v>5.774853196203189E-3</c:v>
                </c:pt>
                <c:pt idx="36">
                  <c:v>5.1597761796697839E-3</c:v>
                </c:pt>
                <c:pt idx="37">
                  <c:v>4.6653330835901841E-3</c:v>
                </c:pt>
                <c:pt idx="38">
                  <c:v>4.2631117526994444E-3</c:v>
                </c:pt>
                <c:pt idx="39">
                  <c:v>3.9324930726003515E-3</c:v>
                </c:pt>
                <c:pt idx="40">
                  <c:v>3.6583220945294315E-3</c:v>
                </c:pt>
                <c:pt idx="41">
                  <c:v>3.429295751115724E-3</c:v>
                </c:pt>
                <c:pt idx="42">
                  <c:v>3.236848012453386E-3</c:v>
                </c:pt>
                <c:pt idx="43">
                  <c:v>3.0743784302185162E-3</c:v>
                </c:pt>
                <c:pt idx="44">
                  <c:v>2.9367167334326538E-3</c:v>
                </c:pt>
                <c:pt idx="45">
                  <c:v>2.8197492509640654E-3</c:v>
                </c:pt>
                <c:pt idx="46">
                  <c:v>2.7201561573004795E-3</c:v>
                </c:pt>
                <c:pt idx="47">
                  <c:v>2.6352246740453111E-3</c:v>
                </c:pt>
                <c:pt idx="48">
                  <c:v>2.5627144821873671E-3</c:v>
                </c:pt>
                <c:pt idx="49">
                  <c:v>2.5007592143770907E-3</c:v>
                </c:pt>
                <c:pt idx="50">
                  <c:v>2.4477930789057467E-3</c:v>
                </c:pt>
                <c:pt idx="51">
                  <c:v>2.402495177932451E-3</c:v>
                </c:pt>
                <c:pt idx="52">
                  <c:v>2.3637464530219532E-3</c:v>
                </c:pt>
                <c:pt idx="53">
                  <c:v>2.3305957878765327E-3</c:v>
                </c:pt>
                <c:pt idx="54">
                  <c:v>2.3022328733031117E-3</c:v>
                </c:pt>
                <c:pt idx="55">
                  <c:v>2.2779661639127369E-3</c:v>
                </c:pt>
                <c:pt idx="56">
                  <c:v>2.2572047455948763E-3</c:v>
                </c:pt>
                <c:pt idx="57">
                  <c:v>2.23944326513692E-3</c:v>
                </c:pt>
                <c:pt idx="58">
                  <c:v>2.2242493009345665E-3</c:v>
                </c:pt>
                <c:pt idx="59">
                  <c:v>2.2112527107953639E-3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C6-4F2B-B487-8705BB10586B}"/>
            </c:ext>
          </c:extLst>
        </c:ser>
        <c:ser>
          <c:idx val="1"/>
          <c:order val="1"/>
          <c:tx>
            <c:strRef>
              <c:f>'Estimation with 4 Neurons'!$Y$1</c:f>
              <c:strCache>
                <c:ptCount val="1"/>
                <c:pt idx="0">
                  <c:v>S Real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'Estimation with 4 Neurons'!$Y$2:$Y$61</c:f>
              <c:numCache>
                <c:formatCode>General</c:formatCode>
                <c:ptCount val="60"/>
                <c:pt idx="0">
                  <c:v>0.99916902781949102</c:v>
                </c:pt>
                <c:pt idx="1">
                  <c:v>0.98960193539692398</c:v>
                </c:pt>
                <c:pt idx="2">
                  <c:v>1.0027006748148801</c:v>
                </c:pt>
                <c:pt idx="3">
                  <c:v>0.99110329365628103</c:v>
                </c:pt>
                <c:pt idx="4">
                  <c:v>0.99855053119660397</c:v>
                </c:pt>
                <c:pt idx="5">
                  <c:v>0.99334815329542803</c:v>
                </c:pt>
                <c:pt idx="6">
                  <c:v>0.98283073740154103</c:v>
                </c:pt>
                <c:pt idx="7">
                  <c:v>0.97539398785926001</c:v>
                </c:pt>
                <c:pt idx="8">
                  <c:v>0.96249140793574095</c:v>
                </c:pt>
                <c:pt idx="9">
                  <c:v>0.94450237023887595</c:v>
                </c:pt>
                <c:pt idx="10">
                  <c:v>0.91819898168117797</c:v>
                </c:pt>
                <c:pt idx="11">
                  <c:v>0.89021613947898592</c:v>
                </c:pt>
                <c:pt idx="12">
                  <c:v>0.83105634839519704</c:v>
                </c:pt>
                <c:pt idx="13">
                  <c:v>0.77338802087821101</c:v>
                </c:pt>
                <c:pt idx="14">
                  <c:v>0.68790871012265198</c:v>
                </c:pt>
                <c:pt idx="15">
                  <c:v>0.59497831839092707</c:v>
                </c:pt>
                <c:pt idx="16">
                  <c:v>0.48898600704502004</c:v>
                </c:pt>
                <c:pt idx="17">
                  <c:v>0.39651123517081099</c:v>
                </c:pt>
                <c:pt idx="18">
                  <c:v>0.31251275507811599</c:v>
                </c:pt>
                <c:pt idx="19">
                  <c:v>0.23552071001902899</c:v>
                </c:pt>
                <c:pt idx="20">
                  <c:v>0.188024971201353</c:v>
                </c:pt>
                <c:pt idx="21">
                  <c:v>0.137907399961987</c:v>
                </c:pt>
                <c:pt idx="22">
                  <c:v>9.9076317792327895E-2</c:v>
                </c:pt>
                <c:pt idx="23">
                  <c:v>7.6771548896384309E-2</c:v>
                </c:pt>
                <c:pt idx="24">
                  <c:v>5.50331848909218E-2</c:v>
                </c:pt>
                <c:pt idx="25">
                  <c:v>4.1882891498532304E-2</c:v>
                </c:pt>
                <c:pt idx="26">
                  <c:v>2.6899076645389701E-2</c:v>
                </c:pt>
                <c:pt idx="27">
                  <c:v>2.8643066551244298E-2</c:v>
                </c:pt>
                <c:pt idx="28">
                  <c:v>1.8585382566350301E-2</c:v>
                </c:pt>
                <c:pt idx="29">
                  <c:v>1.6441050975567299E-2</c:v>
                </c:pt>
                <c:pt idx="30">
                  <c:v>1.6927265894710001E-2</c:v>
                </c:pt>
                <c:pt idx="31">
                  <c:v>5.5360201456173194E-3</c:v>
                </c:pt>
                <c:pt idx="32">
                  <c:v>5.5516744239331806E-3</c:v>
                </c:pt>
                <c:pt idx="33">
                  <c:v>1.2931474477337201E-2</c:v>
                </c:pt>
                <c:pt idx="34">
                  <c:v>8.6066661943624695E-3</c:v>
                </c:pt>
                <c:pt idx="35">
                  <c:v>7.3575980325581393E-3</c:v>
                </c:pt>
                <c:pt idx="36">
                  <c:v>2.8505374714209897E-3</c:v>
                </c:pt>
                <c:pt idx="37">
                  <c:v>-2.1838521820841201E-4</c:v>
                </c:pt>
                <c:pt idx="38">
                  <c:v>8.2348707294253292E-3</c:v>
                </c:pt>
                <c:pt idx="39">
                  <c:v>3.9663387236011597E-3</c:v>
                </c:pt>
                <c:pt idx="40">
                  <c:v>7.9785242352294391E-3</c:v>
                </c:pt>
                <c:pt idx="41">
                  <c:v>3.1396670372780401E-3</c:v>
                </c:pt>
                <c:pt idx="42">
                  <c:v>2.6118371468564702E-3</c:v>
                </c:pt>
                <c:pt idx="43">
                  <c:v>2.39128185473625E-3</c:v>
                </c:pt>
                <c:pt idx="44">
                  <c:v>1.2757458204968699E-3</c:v>
                </c:pt>
                <c:pt idx="45">
                  <c:v>3.5362804167817599E-3</c:v>
                </c:pt>
                <c:pt idx="46">
                  <c:v>-3.1346344649783998E-3</c:v>
                </c:pt>
                <c:pt idx="47">
                  <c:v>9.0828857896239103E-3</c:v>
                </c:pt>
                <c:pt idx="48">
                  <c:v>1.0538230552720001E-2</c:v>
                </c:pt>
                <c:pt idx="49">
                  <c:v>2.5859344138377399E-3</c:v>
                </c:pt>
                <c:pt idx="50">
                  <c:v>2.0336631835871899E-3</c:v>
                </c:pt>
                <c:pt idx="51">
                  <c:v>2.2949557971681501E-3</c:v>
                </c:pt>
                <c:pt idx="52">
                  <c:v>2.3936274802814103E-3</c:v>
                </c:pt>
                <c:pt idx="53">
                  <c:v>2.3043154567460099E-3</c:v>
                </c:pt>
                <c:pt idx="54">
                  <c:v>3.0385585864702198E-3</c:v>
                </c:pt>
                <c:pt idx="55">
                  <c:v>7.9515125832206497E-3</c:v>
                </c:pt>
                <c:pt idx="56">
                  <c:v>-1.1013052498209E-4</c:v>
                </c:pt>
                <c:pt idx="57">
                  <c:v>5.6947636442931599E-3</c:v>
                </c:pt>
                <c:pt idx="58">
                  <c:v>-2.2807198247528698E-3</c:v>
                </c:pt>
                <c:pt idx="59">
                  <c:v>-1.0788247514761E-4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C6-4F2B-B487-8705BB1058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3575024"/>
        <c:axId val="1243578384"/>
      </c:lineChart>
      <c:catAx>
        <c:axId val="12435750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3578384"/>
        <c:crosses val="autoZero"/>
        <c:auto val="1"/>
        <c:lblAlgn val="ctr"/>
        <c:lblOffset val="100"/>
        <c:noMultiLvlLbl val="0"/>
      </c:catAx>
      <c:valAx>
        <c:axId val="124357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3575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Infected (4 Neurons)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'Estimation with 4 Neurons'!$W$1</c:f>
              <c:strCache>
                <c:ptCount val="1"/>
                <c:pt idx="0">
                  <c:v>I Pred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'Estimation with 4 Neurons'!$W$2:$W$61</c:f>
              <c:numCache>
                <c:formatCode>General</c:formatCode>
                <c:ptCount val="60"/>
                <c:pt idx="0">
                  <c:v>5.4198090572397106E-3</c:v>
                </c:pt>
                <c:pt idx="1">
                  <c:v>4.0622784857440308E-3</c:v>
                </c:pt>
                <c:pt idx="2">
                  <c:v>4.2112453982330322E-3</c:v>
                </c:pt>
                <c:pt idx="3">
                  <c:v>5.0046281905986589E-3</c:v>
                </c:pt>
                <c:pt idx="4">
                  <c:v>6.7739195599951785E-3</c:v>
                </c:pt>
                <c:pt idx="5">
                  <c:v>9.981786578076246E-3</c:v>
                </c:pt>
                <c:pt idx="6">
                  <c:v>1.525357068375488E-2</c:v>
                </c:pt>
                <c:pt idx="7">
                  <c:v>2.3409759634884786E-2</c:v>
                </c:pt>
                <c:pt idx="8">
                  <c:v>3.5484832190121551E-2</c:v>
                </c:pt>
                <c:pt idx="9">
                  <c:v>5.2711299570573189E-2</c:v>
                </c:pt>
                <c:pt idx="10">
                  <c:v>7.6436787749600832E-2</c:v>
                </c:pt>
                <c:pt idx="11">
                  <c:v>0.107935732219401</c:v>
                </c:pt>
                <c:pt idx="12">
                  <c:v>0.14808939471117988</c:v>
                </c:pt>
                <c:pt idx="13">
                  <c:v>0.19695667736159628</c:v>
                </c:pt>
                <c:pt idx="14">
                  <c:v>0.25334891427418604</c:v>
                </c:pt>
                <c:pt idx="15">
                  <c:v>0.31461556149795999</c:v>
                </c:pt>
                <c:pt idx="16">
                  <c:v>0.37685164204109523</c:v>
                </c:pt>
                <c:pt idx="17">
                  <c:v>0.43557475374718635</c:v>
                </c:pt>
                <c:pt idx="18">
                  <c:v>0.48665168886131038</c:v>
                </c:pt>
                <c:pt idx="19">
                  <c:v>0.52709054114264031</c:v>
                </c:pt>
                <c:pt idx="20">
                  <c:v>0.55540466523820076</c:v>
                </c:pt>
                <c:pt idx="21">
                  <c:v>0.57151487923390221</c:v>
                </c:pt>
                <c:pt idx="22">
                  <c:v>0.57636739912059465</c:v>
                </c:pt>
                <c:pt idx="23">
                  <c:v>0.5714891148882888</c:v>
                </c:pt>
                <c:pt idx="24">
                  <c:v>0.55862463871557111</c:v>
                </c:pt>
                <c:pt idx="25">
                  <c:v>0.53950115216401695</c:v>
                </c:pt>
                <c:pt idx="26">
                  <c:v>0.51570492936918377</c:v>
                </c:pt>
                <c:pt idx="27">
                  <c:v>0.48863245203310246</c:v>
                </c:pt>
                <c:pt idx="28">
                  <c:v>0.45948215262058234</c:v>
                </c:pt>
                <c:pt idx="29">
                  <c:v>0.42926392604804686</c:v>
                </c:pt>
                <c:pt idx="30">
                  <c:v>0.39881407283978909</c:v>
                </c:pt>
                <c:pt idx="31">
                  <c:v>0.36881052972599626</c:v>
                </c:pt>
                <c:pt idx="32">
                  <c:v>0.33978717560561122</c:v>
                </c:pt>
                <c:pt idx="33">
                  <c:v>0.31214762407497432</c:v>
                </c:pt>
                <c:pt idx="34">
                  <c:v>0.28617920535277719</c:v>
                </c:pt>
                <c:pt idx="35">
                  <c:v>0.26206753278110639</c:v>
                </c:pt>
                <c:pt idx="36">
                  <c:v>0.23991160204207063</c:v>
                </c:pt>
                <c:pt idx="37">
                  <c:v>0.21973902223659447</c:v>
                </c:pt>
                <c:pt idx="38">
                  <c:v>0.20152080891776336</c:v>
                </c:pt>
                <c:pt idx="39">
                  <c:v>0.18518516919570693</c:v>
                </c:pt>
                <c:pt idx="40">
                  <c:v>0.17062982484913203</c:v>
                </c:pt>
                <c:pt idx="41">
                  <c:v>0.1577325898187345</c:v>
                </c:pt>
                <c:pt idx="42">
                  <c:v>0.1463600936184255</c:v>
                </c:pt>
                <c:pt idx="43">
                  <c:v>0.1363746903993599</c:v>
                </c:pt>
                <c:pt idx="44">
                  <c:v>0.1276397003260632</c:v>
                </c:pt>
                <c:pt idx="45">
                  <c:v>0.12002319409468321</c:v>
                </c:pt>
                <c:pt idx="46">
                  <c:v>0.11340055892419798</c:v>
                </c:pt>
                <c:pt idx="47">
                  <c:v>0.10765608443387542</c:v>
                </c:pt>
                <c:pt idx="48">
                  <c:v>0.10268378894426888</c:v>
                </c:pt>
                <c:pt idx="49">
                  <c:v>9.8387678966823877E-2</c:v>
                </c:pt>
                <c:pt idx="50">
                  <c:v>9.4681603044632467E-2</c:v>
                </c:pt>
                <c:pt idx="51">
                  <c:v>9.1488829761503077E-2</c:v>
                </c:pt>
                <c:pt idx="52">
                  <c:v>8.8741451080859513E-2</c:v>
                </c:pt>
                <c:pt idx="53">
                  <c:v>8.6379687406640926E-2</c:v>
                </c:pt>
                <c:pt idx="54">
                  <c:v>8.4351150232516048E-2</c:v>
                </c:pt>
                <c:pt idx="55">
                  <c:v>8.2610101805980385E-2</c:v>
                </c:pt>
                <c:pt idx="56">
                  <c:v>8.1116738445524916E-2</c:v>
                </c:pt>
                <c:pt idx="57">
                  <c:v>7.983651446262563E-2</c:v>
                </c:pt>
                <c:pt idx="58">
                  <c:v>7.8739516490976769E-2</c:v>
                </c:pt>
                <c:pt idx="59">
                  <c:v>7.7799892890181965E-2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1C-4EBB-BB30-D3CE6B526285}"/>
            </c:ext>
          </c:extLst>
        </c:ser>
        <c:ser>
          <c:idx val="1"/>
          <c:order val="1"/>
          <c:tx>
            <c:strRef>
              <c:f>'Estimation with 4 Neurons'!$Z$1</c:f>
              <c:strCache>
                <c:ptCount val="1"/>
                <c:pt idx="0">
                  <c:v>I Real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'Estimation with 4 Neurons'!$Z$2:$Z$61</c:f>
              <c:numCache>
                <c:formatCode>General</c:formatCode>
                <c:ptCount val="60"/>
                <c:pt idx="0">
                  <c:v>-5.1644142064485399E-4</c:v>
                </c:pt>
                <c:pt idx="1">
                  <c:v>2.1639113228485896E-3</c:v>
                </c:pt>
                <c:pt idx="2">
                  <c:v>3.31005964809079E-3</c:v>
                </c:pt>
                <c:pt idx="3">
                  <c:v>1.5165637719900501E-3</c:v>
                </c:pt>
                <c:pt idx="4">
                  <c:v>2.0051112150917699E-3</c:v>
                </c:pt>
                <c:pt idx="5">
                  <c:v>5.7859344004262394E-3</c:v>
                </c:pt>
                <c:pt idx="6">
                  <c:v>1.2651330839959601E-2</c:v>
                </c:pt>
                <c:pt idx="7">
                  <c:v>2.03539996715329E-2</c:v>
                </c:pt>
                <c:pt idx="8">
                  <c:v>3.3533967396357001E-2</c:v>
                </c:pt>
                <c:pt idx="9">
                  <c:v>4.7496166004264602E-2</c:v>
                </c:pt>
                <c:pt idx="10">
                  <c:v>6.7597221336325009E-2</c:v>
                </c:pt>
                <c:pt idx="11">
                  <c:v>9.5969397639399309E-2</c:v>
                </c:pt>
                <c:pt idx="12">
                  <c:v>0.139820372745182</c:v>
                </c:pt>
                <c:pt idx="13">
                  <c:v>0.19576330278256401</c:v>
                </c:pt>
                <c:pt idx="14">
                  <c:v>0.25894601239861498</c:v>
                </c:pt>
                <c:pt idx="15">
                  <c:v>0.33076845698165103</c:v>
                </c:pt>
                <c:pt idx="16">
                  <c:v>0.40789980280525601</c:v>
                </c:pt>
                <c:pt idx="17">
                  <c:v>0.47372642816447597</c:v>
                </c:pt>
                <c:pt idx="18">
                  <c:v>0.52750319456345507</c:v>
                </c:pt>
                <c:pt idx="19">
                  <c:v>0.55793614971574401</c:v>
                </c:pt>
                <c:pt idx="20">
                  <c:v>0.5772776209197521</c:v>
                </c:pt>
                <c:pt idx="21">
                  <c:v>0.57947852857229998</c:v>
                </c:pt>
                <c:pt idx="22">
                  <c:v>0.57261055388682602</c:v>
                </c:pt>
                <c:pt idx="23">
                  <c:v>0.554625055849157</c:v>
                </c:pt>
                <c:pt idx="24">
                  <c:v>0.53385373128166391</c:v>
                </c:pt>
                <c:pt idx="25">
                  <c:v>0.51004856673586696</c:v>
                </c:pt>
                <c:pt idx="26">
                  <c:v>0.48054748715594703</c:v>
                </c:pt>
                <c:pt idx="27">
                  <c:v>0.45621581041098197</c:v>
                </c:pt>
                <c:pt idx="28">
                  <c:v>0.43462182741029998</c:v>
                </c:pt>
                <c:pt idx="29">
                  <c:v>0.40770546813070097</c:v>
                </c:pt>
                <c:pt idx="30">
                  <c:v>0.38076372682378795</c:v>
                </c:pt>
                <c:pt idx="31">
                  <c:v>0.35516465630493699</c:v>
                </c:pt>
                <c:pt idx="32">
                  <c:v>0.33275256354035898</c:v>
                </c:pt>
                <c:pt idx="33">
                  <c:v>0.31162242112024097</c:v>
                </c:pt>
                <c:pt idx="34">
                  <c:v>0.29035002727487702</c:v>
                </c:pt>
                <c:pt idx="35">
                  <c:v>0.272509543831852</c:v>
                </c:pt>
                <c:pt idx="36">
                  <c:v>0.25622929206750999</c:v>
                </c:pt>
                <c:pt idx="37">
                  <c:v>0.23591031536785101</c:v>
                </c:pt>
                <c:pt idx="38">
                  <c:v>0.22078107592961702</c:v>
                </c:pt>
                <c:pt idx="39">
                  <c:v>0.204823212440885</c:v>
                </c:pt>
                <c:pt idx="40">
                  <c:v>0.19286137258476199</c:v>
                </c:pt>
                <c:pt idx="41">
                  <c:v>0.17630438116484701</c:v>
                </c:pt>
                <c:pt idx="42">
                  <c:v>0.16677826328596299</c:v>
                </c:pt>
                <c:pt idx="43">
                  <c:v>0.157909899247861</c:v>
                </c:pt>
                <c:pt idx="44">
                  <c:v>0.14923463373831</c:v>
                </c:pt>
                <c:pt idx="45">
                  <c:v>0.135577127775768</c:v>
                </c:pt>
                <c:pt idx="46">
                  <c:v>0.125187367886479</c:v>
                </c:pt>
                <c:pt idx="47">
                  <c:v>0.11564560923284699</c:v>
                </c:pt>
                <c:pt idx="48">
                  <c:v>0.111612530534534</c:v>
                </c:pt>
                <c:pt idx="49">
                  <c:v>0.10342211054485</c:v>
                </c:pt>
                <c:pt idx="50">
                  <c:v>9.4972241588527101E-2</c:v>
                </c:pt>
                <c:pt idx="51">
                  <c:v>8.7440881600336293E-2</c:v>
                </c:pt>
                <c:pt idx="52">
                  <c:v>8.3053244128702103E-2</c:v>
                </c:pt>
                <c:pt idx="53">
                  <c:v>7.8073186837302994E-2</c:v>
                </c:pt>
                <c:pt idx="54">
                  <c:v>7.1018266657233403E-2</c:v>
                </c:pt>
                <c:pt idx="55">
                  <c:v>6.6968684958737701E-2</c:v>
                </c:pt>
                <c:pt idx="56">
                  <c:v>6.18422691296922E-2</c:v>
                </c:pt>
                <c:pt idx="57">
                  <c:v>6.0470398956274998E-2</c:v>
                </c:pt>
                <c:pt idx="58">
                  <c:v>5.4975808919005206E-2</c:v>
                </c:pt>
                <c:pt idx="59">
                  <c:v>5.3596926243307502E-2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1C-4EBB-BB30-D3CE6B5262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7732928"/>
        <c:axId val="217724768"/>
      </c:lineChart>
      <c:catAx>
        <c:axId val="2177329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7724768"/>
        <c:crosses val="autoZero"/>
        <c:auto val="1"/>
        <c:lblAlgn val="ctr"/>
        <c:lblOffset val="100"/>
        <c:noMultiLvlLbl val="0"/>
      </c:catAx>
      <c:valAx>
        <c:axId val="21772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7732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Recovered (4 Neurons)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'Estimation with 4 Neurons'!$X$1</c:f>
              <c:strCache>
                <c:ptCount val="1"/>
                <c:pt idx="0">
                  <c:v>R Pred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'Estimation with 4 Neurons'!$X$2:$X$61</c:f>
              <c:numCache>
                <c:formatCode>General</c:formatCode>
                <c:ptCount val="60"/>
                <c:pt idx="0">
                  <c:v>-3.3506798807242832E-2</c:v>
                </c:pt>
                <c:pt idx="1">
                  <c:v>-3.2075528714066825E-2</c:v>
                </c:pt>
                <c:pt idx="2">
                  <c:v>-2.9060684128931591E-2</c:v>
                </c:pt>
                <c:pt idx="3">
                  <c:v>-2.5465895437896569E-2</c:v>
                </c:pt>
                <c:pt idx="4">
                  <c:v>-2.1180870603339619E-2</c:v>
                </c:pt>
                <c:pt idx="5">
                  <c:v>-1.6072840008157563E-2</c:v>
                </c:pt>
                <c:pt idx="6">
                  <c:v>-9.9889421750234408E-3</c:v>
                </c:pt>
                <c:pt idx="7">
                  <c:v>-2.7581299853258745E-3</c:v>
                </c:pt>
                <c:pt idx="8">
                  <c:v>5.8031319960674121E-3</c:v>
                </c:pt>
                <c:pt idx="9">
                  <c:v>1.5880054401329557E-2</c:v>
                </c:pt>
                <c:pt idx="10">
                  <c:v>2.764342418227872E-2</c:v>
                </c:pt>
                <c:pt idx="11">
                  <c:v>4.1230845257635318E-2</c:v>
                </c:pt>
                <c:pt idx="12">
                  <c:v>5.6732024961564376E-2</c:v>
                </c:pt>
                <c:pt idx="13">
                  <c:v>7.4187286647972916E-2</c:v>
                </c:pt>
                <c:pt idx="14">
                  <c:v>9.3603971939191011E-2</c:v>
                </c:pt>
                <c:pt idx="15">
                  <c:v>0.11498161191128897</c:v>
                </c:pt>
                <c:pt idx="16">
                  <c:v>0.13832375579984246</c:v>
                </c:pt>
                <c:pt idx="17">
                  <c:v>0.16362100437872962</c:v>
                </c:pt>
                <c:pt idx="18">
                  <c:v>0.19081745701056363</c:v>
                </c:pt>
                <c:pt idx="19">
                  <c:v>0.2197915180803689</c:v>
                </c:pt>
                <c:pt idx="20">
                  <c:v>0.25036733104007336</c:v>
                </c:pt>
                <c:pt idx="21">
                  <c:v>0.28234335304284164</c:v>
                </c:pt>
                <c:pt idx="22">
                  <c:v>0.31551370952463986</c:v>
                </c:pt>
                <c:pt idx="23">
                  <c:v>0.34967062081921374</c:v>
                </c:pt>
                <c:pt idx="24">
                  <c:v>0.38459277018215854</c:v>
                </c:pt>
                <c:pt idx="25">
                  <c:v>0.4200310997247434</c:v>
                </c:pt>
                <c:pt idx="26">
                  <c:v>0.4557009691969347</c:v>
                </c:pt>
                <c:pt idx="27">
                  <c:v>0.4912841398111587</c:v>
                </c:pt>
                <c:pt idx="28">
                  <c:v>0.52643972564605535</c:v>
                </c:pt>
                <c:pt idx="29">
                  <c:v>0.56082105047571895</c:v>
                </c:pt>
                <c:pt idx="30">
                  <c:v>0.5940947745455547</c:v>
                </c:pt>
                <c:pt idx="31">
                  <c:v>0.62595903222153926</c:v>
                </c:pt>
                <c:pt idx="32">
                  <c:v>0.65615816242739922</c:v>
                </c:pt>
                <c:pt idx="33">
                  <c:v>0.68449261782005333</c:v>
                </c:pt>
                <c:pt idx="34">
                  <c:v>0.71082360703222214</c:v>
                </c:pt>
                <c:pt idx="35">
                  <c:v>0.73507282097648052</c:v>
                </c:pt>
                <c:pt idx="36">
                  <c:v>0.75721814066110715</c:v>
                </c:pt>
                <c:pt idx="37">
                  <c:v>0.77728650088617335</c:v>
                </c:pt>
                <c:pt idx="38">
                  <c:v>0.79534512334420637</c:v>
                </c:pt>
                <c:pt idx="39">
                  <c:v>0.81149219827760433</c:v>
                </c:pt>
                <c:pt idx="40">
                  <c:v>0.82584786051919312</c:v>
                </c:pt>
                <c:pt idx="41">
                  <c:v>0.83854604024183454</c:v>
                </c:pt>
                <c:pt idx="42">
                  <c:v>0.84972751978221128</c:v>
                </c:pt>
                <c:pt idx="43">
                  <c:v>0.85953432364152471</c:v>
                </c:pt>
                <c:pt idx="44">
                  <c:v>0.86810541969510824</c:v>
                </c:pt>
                <c:pt idx="45">
                  <c:v>0.87557361390890398</c:v>
                </c:pt>
                <c:pt idx="46">
                  <c:v>0.88206346973178085</c:v>
                </c:pt>
                <c:pt idx="47">
                  <c:v>0.88769006554440311</c:v>
                </c:pt>
                <c:pt idx="48">
                  <c:v>0.89255840814129483</c:v>
                </c:pt>
                <c:pt idx="49">
                  <c:v>0.89676333803219077</c:v>
                </c:pt>
                <c:pt idx="50">
                  <c:v>0.90038978648378554</c:v>
                </c:pt>
                <c:pt idx="51">
                  <c:v>0.9035132699823083</c:v>
                </c:pt>
                <c:pt idx="52">
                  <c:v>0.90620053228626407</c:v>
                </c:pt>
                <c:pt idx="53">
                  <c:v>0.9085102659118689</c:v>
                </c:pt>
                <c:pt idx="54">
                  <c:v>0.91049386312853331</c:v>
                </c:pt>
                <c:pt idx="55">
                  <c:v>0.91219616129469849</c:v>
                </c:pt>
                <c:pt idx="56">
                  <c:v>0.91365615891719654</c:v>
                </c:pt>
                <c:pt idx="57">
                  <c:v>0.91490768760391405</c:v>
                </c:pt>
                <c:pt idx="58">
                  <c:v>0.91598003157780628</c:v>
                </c:pt>
                <c:pt idx="59">
                  <c:v>0.91689849108733346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93-4E33-A844-C57177ACEE15}"/>
            </c:ext>
          </c:extLst>
        </c:ser>
        <c:ser>
          <c:idx val="1"/>
          <c:order val="1"/>
          <c:tx>
            <c:strRef>
              <c:f>'Estimation with 4 Neurons'!$AA$1</c:f>
              <c:strCache>
                <c:ptCount val="1"/>
                <c:pt idx="0">
                  <c:v>R Real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'Estimation with 4 Neurons'!$AA$2:$AA$61</c:f>
              <c:numCache>
                <c:formatCode>General</c:formatCode>
                <c:ptCount val="60"/>
                <c:pt idx="0">
                  <c:v>1.29646532345248E-3</c:v>
                </c:pt>
                <c:pt idx="1">
                  <c:v>2.6945909567850398E-3</c:v>
                </c:pt>
                <c:pt idx="2">
                  <c:v>-4.7185297244242705E-3</c:v>
                </c:pt>
                <c:pt idx="3">
                  <c:v>2.4789689316632598E-3</c:v>
                </c:pt>
                <c:pt idx="4">
                  <c:v>3.86363487767975E-3</c:v>
                </c:pt>
                <c:pt idx="5">
                  <c:v>-4.6798608314981898E-3</c:v>
                </c:pt>
                <c:pt idx="6">
                  <c:v>3.0346095032803499E-3</c:v>
                </c:pt>
                <c:pt idx="7">
                  <c:v>7.4668309922445502E-3</c:v>
                </c:pt>
                <c:pt idx="8">
                  <c:v>9.1761695406187595E-3</c:v>
                </c:pt>
                <c:pt idx="9">
                  <c:v>7.5225339506602403E-3</c:v>
                </c:pt>
                <c:pt idx="10">
                  <c:v>3.2927993138720797E-3</c:v>
                </c:pt>
                <c:pt idx="11">
                  <c:v>1.96514990734073E-2</c:v>
                </c:pt>
                <c:pt idx="12">
                  <c:v>2.4532806481925299E-2</c:v>
                </c:pt>
                <c:pt idx="13">
                  <c:v>3.84479753657469E-2</c:v>
                </c:pt>
                <c:pt idx="14">
                  <c:v>6.3388110834698502E-2</c:v>
                </c:pt>
                <c:pt idx="15">
                  <c:v>7.3720662375898097E-2</c:v>
                </c:pt>
                <c:pt idx="16">
                  <c:v>9.9755417736937704E-2</c:v>
                </c:pt>
                <c:pt idx="17">
                  <c:v>0.13353312106332502</c:v>
                </c:pt>
                <c:pt idx="18">
                  <c:v>0.171732007304878</c:v>
                </c:pt>
                <c:pt idx="19">
                  <c:v>0.208737490794312</c:v>
                </c:pt>
                <c:pt idx="20">
                  <c:v>0.245867937524964</c:v>
                </c:pt>
                <c:pt idx="21">
                  <c:v>0.28965693379235602</c:v>
                </c:pt>
                <c:pt idx="22">
                  <c:v>0.33141838551950203</c:v>
                </c:pt>
                <c:pt idx="23">
                  <c:v>0.37486334043008496</c:v>
                </c:pt>
                <c:pt idx="24">
                  <c:v>0.41205954274061996</c:v>
                </c:pt>
                <c:pt idx="25">
                  <c:v>0.44388223355148898</c:v>
                </c:pt>
                <c:pt idx="26">
                  <c:v>0.487722954635535</c:v>
                </c:pt>
                <c:pt idx="27">
                  <c:v>0.51359201939365806</c:v>
                </c:pt>
                <c:pt idx="28">
                  <c:v>0.547713142498501</c:v>
                </c:pt>
                <c:pt idx="29">
                  <c:v>0.57331041777418701</c:v>
                </c:pt>
                <c:pt idx="30">
                  <c:v>0.602138744531867</c:v>
                </c:pt>
                <c:pt idx="31">
                  <c:v>0.624921752972462</c:v>
                </c:pt>
                <c:pt idx="32">
                  <c:v>0.65513191440359508</c:v>
                </c:pt>
                <c:pt idx="33">
                  <c:v>0.68166378325101906</c:v>
                </c:pt>
                <c:pt idx="34">
                  <c:v>0.69814062804294097</c:v>
                </c:pt>
                <c:pt idx="35">
                  <c:v>0.71941411557586699</c:v>
                </c:pt>
                <c:pt idx="36">
                  <c:v>0.73983758563310398</c:v>
                </c:pt>
                <c:pt idx="37">
                  <c:v>0.75684413386429605</c:v>
                </c:pt>
                <c:pt idx="38">
                  <c:v>0.7750441208199299</c:v>
                </c:pt>
                <c:pt idx="39">
                  <c:v>0.78395269848070492</c:v>
                </c:pt>
                <c:pt idx="40">
                  <c:v>0.80233719563429595</c:v>
                </c:pt>
                <c:pt idx="41">
                  <c:v>0.81844367482675706</c:v>
                </c:pt>
                <c:pt idx="42">
                  <c:v>0.83017491401183396</c:v>
                </c:pt>
                <c:pt idx="43">
                  <c:v>0.83969352077445703</c:v>
                </c:pt>
                <c:pt idx="44">
                  <c:v>0.84673055231667504</c:v>
                </c:pt>
                <c:pt idx="45">
                  <c:v>0.86534225693530897</c:v>
                </c:pt>
                <c:pt idx="46">
                  <c:v>0.87833605384871605</c:v>
                </c:pt>
                <c:pt idx="47">
                  <c:v>0.87802773465304806</c:v>
                </c:pt>
                <c:pt idx="48">
                  <c:v>0.88908099354612202</c:v>
                </c:pt>
                <c:pt idx="49">
                  <c:v>0.89472708248588406</c:v>
                </c:pt>
                <c:pt idx="50">
                  <c:v>0.90450311421663898</c:v>
                </c:pt>
                <c:pt idx="51">
                  <c:v>0.90922037148508505</c:v>
                </c:pt>
                <c:pt idx="52">
                  <c:v>0.906309636239233</c:v>
                </c:pt>
                <c:pt idx="53">
                  <c:v>0.92630169320256595</c:v>
                </c:pt>
                <c:pt idx="54">
                  <c:v>0.92736038017037692</c:v>
                </c:pt>
                <c:pt idx="55">
                  <c:v>0.93389441761834491</c:v>
                </c:pt>
                <c:pt idx="56">
                  <c:v>0.94275156262420401</c:v>
                </c:pt>
                <c:pt idx="57">
                  <c:v>0.93680268831874902</c:v>
                </c:pt>
                <c:pt idx="58">
                  <c:v>0.94398061818187207</c:v>
                </c:pt>
                <c:pt idx="59">
                  <c:v>0.94100736181572697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93-4E33-A844-C57177ACEE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7716128"/>
        <c:axId val="217726688"/>
      </c:lineChart>
      <c:catAx>
        <c:axId val="2177161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7726688"/>
        <c:crosses val="autoZero"/>
        <c:auto val="1"/>
        <c:lblAlgn val="ctr"/>
        <c:lblOffset val="100"/>
        <c:noMultiLvlLbl val="0"/>
      </c:catAx>
      <c:valAx>
        <c:axId val="217726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7716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Susceptible (5 Neurons)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'Estimation with 5 Neurons'!$AA$3</c:f>
              <c:strCache>
                <c:ptCount val="1"/>
                <c:pt idx="0">
                  <c:v>S Pred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'Estimation with 5 Neurons'!$AA$4:$AA$63</c:f>
              <c:numCache>
                <c:formatCode>General</c:formatCode>
                <c:ptCount val="60"/>
                <c:pt idx="0">
                  <c:v>0.99244973044898277</c:v>
                </c:pt>
                <c:pt idx="1">
                  <c:v>0.99927793349968708</c:v>
                </c:pt>
                <c:pt idx="2">
                  <c:v>1.0014791929124964</c:v>
                </c:pt>
                <c:pt idx="3">
                  <c:v>0.99924464173676175</c:v>
                </c:pt>
                <c:pt idx="4">
                  <c:v>0.99369544263231535</c:v>
                </c:pt>
                <c:pt idx="5">
                  <c:v>0.98653867905698922</c:v>
                </c:pt>
                <c:pt idx="6">
                  <c:v>0.97927906591994451</c:v>
                </c:pt>
                <c:pt idx="7">
                  <c:v>0.97225924696259325</c:v>
                </c:pt>
                <c:pt idx="8">
                  <c:v>0.9639747107052965</c:v>
                </c:pt>
                <c:pt idx="9">
                  <c:v>0.95102532097681336</c:v>
                </c:pt>
                <c:pt idx="10">
                  <c:v>0.9287859134208023</c:v>
                </c:pt>
                <c:pt idx="11">
                  <c:v>0.89260808125887303</c:v>
                </c:pt>
                <c:pt idx="12">
                  <c:v>0.83922601094030425</c:v>
                </c:pt>
                <c:pt idx="13">
                  <c:v>0.7679857165477173</c:v>
                </c:pt>
                <c:pt idx="14">
                  <c:v>0.68148367295288281</c:v>
                </c:pt>
                <c:pt idx="15">
                  <c:v>0.58526595502595491</c:v>
                </c:pt>
                <c:pt idx="16">
                  <c:v>0.48655102219445179</c:v>
                </c:pt>
                <c:pt idx="17">
                  <c:v>0.39243217115036733</c:v>
                </c:pt>
                <c:pt idx="18">
                  <c:v>0.30831862399762811</c:v>
                </c:pt>
                <c:pt idx="19">
                  <c:v>0.23718919354712642</c:v>
                </c:pt>
                <c:pt idx="20">
                  <c:v>0.17972064146476141</c:v>
                </c:pt>
                <c:pt idx="21">
                  <c:v>0.13494595783767038</c:v>
                </c:pt>
                <c:pt idx="22">
                  <c:v>0.10102239602058138</c:v>
                </c:pt>
                <c:pt idx="23">
                  <c:v>7.5844098777449576E-2</c:v>
                </c:pt>
                <c:pt idx="24">
                  <c:v>5.742076425286835E-2</c:v>
                </c:pt>
                <c:pt idx="25">
                  <c:v>4.4056188918796924E-2</c:v>
                </c:pt>
                <c:pt idx="26">
                  <c:v>3.4395504339194582E-2</c:v>
                </c:pt>
                <c:pt idx="27">
                  <c:v>2.7402506132162108E-2</c:v>
                </c:pt>
                <c:pt idx="28">
                  <c:v>2.230841141651374E-2</c:v>
                </c:pt>
                <c:pt idx="29">
                  <c:v>1.8555196330945378E-2</c:v>
                </c:pt>
                <c:pt idx="30">
                  <c:v>1.5744336853086294E-2</c:v>
                </c:pt>
                <c:pt idx="31">
                  <c:v>1.3594712513029128E-2</c:v>
                </c:pt>
                <c:pt idx="32">
                  <c:v>1.1909920730270196E-2</c:v>
                </c:pt>
                <c:pt idx="33">
                  <c:v>1.0553790529888252E-2</c:v>
                </c:pt>
                <c:pt idx="34">
                  <c:v>9.4324796164106939E-3</c:v>
                </c:pt>
                <c:pt idx="35">
                  <c:v>8.481610410078444E-3</c:v>
                </c:pt>
                <c:pt idx="36">
                  <c:v>7.6571466432888702E-3</c:v>
                </c:pt>
                <c:pt idx="37">
                  <c:v>6.9289894110948769E-3</c:v>
                </c:pt>
                <c:pt idx="38">
                  <c:v>6.2765210160293794E-3</c:v>
                </c:pt>
                <c:pt idx="39">
                  <c:v>5.6855282923000683E-3</c:v>
                </c:pt>
                <c:pt idx="40">
                  <c:v>5.1460941754197798E-3</c:v>
                </c:pt>
                <c:pt idx="41">
                  <c:v>4.6511637023811669E-3</c:v>
                </c:pt>
                <c:pt idx="42">
                  <c:v>4.195576529360201E-3</c:v>
                </c:pt>
                <c:pt idx="43">
                  <c:v>3.7754199711403924E-3</c:v>
                </c:pt>
                <c:pt idx="44">
                  <c:v>3.3876007183633039E-3</c:v>
                </c:pt>
                <c:pt idx="45">
                  <c:v>3.0295646159868017E-3</c:v>
                </c:pt>
                <c:pt idx="46">
                  <c:v>2.6991158273943494E-3</c:v>
                </c:pt>
                <c:pt idx="47">
                  <c:v>2.3943020381940183E-3</c:v>
                </c:pt>
                <c:pt idx="48">
                  <c:v>2.1133430085813476E-3</c:v>
                </c:pt>
                <c:pt idx="49">
                  <c:v>1.8545871513568901E-3</c:v>
                </c:pt>
                <c:pt idx="50">
                  <c:v>1.616485881131835E-3</c:v>
                </c:pt>
                <c:pt idx="51">
                  <c:v>1.3975789467248756E-3</c:v>
                </c:pt>
                <c:pt idx="52">
                  <c:v>1.1964863140974114E-3</c:v>
                </c:pt>
                <c:pt idx="53">
                  <c:v>1.0119037553473209E-3</c:v>
                </c:pt>
                <c:pt idx="54">
                  <c:v>8.4260036028482865E-4</c:v>
                </c:pt>
                <c:pt idx="55">
                  <c:v>6.8741688797224754E-4</c:v>
                </c:pt>
                <c:pt idx="56">
                  <c:v>5.4526433191504076E-4</c:v>
                </c:pt>
                <c:pt idx="57">
                  <c:v>4.1512236411800352E-4</c:v>
                </c:pt>
                <c:pt idx="58">
                  <c:v>2.9603750480355906E-4</c:v>
                </c:pt>
                <c:pt idx="59">
                  <c:v>1.8712097356909929E-4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B8-46BF-B565-DD7DD0D7C7F0}"/>
            </c:ext>
          </c:extLst>
        </c:ser>
        <c:ser>
          <c:idx val="1"/>
          <c:order val="1"/>
          <c:tx>
            <c:strRef>
              <c:f>'Estimation with 5 Neurons'!$AD$3</c:f>
              <c:strCache>
                <c:ptCount val="1"/>
                <c:pt idx="0">
                  <c:v>S Real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'Estimation with 5 Neurons'!$AD$4:$AD$63</c:f>
              <c:numCache>
                <c:formatCode>General</c:formatCode>
                <c:ptCount val="60"/>
                <c:pt idx="0">
                  <c:v>0.99916902781949102</c:v>
                </c:pt>
                <c:pt idx="1">
                  <c:v>0.98960193539692398</c:v>
                </c:pt>
                <c:pt idx="2">
                  <c:v>1.0027006748148801</c:v>
                </c:pt>
                <c:pt idx="3">
                  <c:v>0.99110329365628103</c:v>
                </c:pt>
                <c:pt idx="4">
                  <c:v>0.99855053119660397</c:v>
                </c:pt>
                <c:pt idx="5">
                  <c:v>0.99334815329542803</c:v>
                </c:pt>
                <c:pt idx="6">
                  <c:v>0.98283073740154103</c:v>
                </c:pt>
                <c:pt idx="7">
                  <c:v>0.97539398785926001</c:v>
                </c:pt>
                <c:pt idx="8">
                  <c:v>0.96249140793574095</c:v>
                </c:pt>
                <c:pt idx="9">
                  <c:v>0.94450237023887595</c:v>
                </c:pt>
                <c:pt idx="10">
                  <c:v>0.91819898168117797</c:v>
                </c:pt>
                <c:pt idx="11">
                  <c:v>0.89021613947898592</c:v>
                </c:pt>
                <c:pt idx="12">
                  <c:v>0.83105634839519704</c:v>
                </c:pt>
                <c:pt idx="13">
                  <c:v>0.77338802087821101</c:v>
                </c:pt>
                <c:pt idx="14">
                  <c:v>0.68790871012265198</c:v>
                </c:pt>
                <c:pt idx="15">
                  <c:v>0.59497831839092707</c:v>
                </c:pt>
                <c:pt idx="16">
                  <c:v>0.48898600704502004</c:v>
                </c:pt>
                <c:pt idx="17">
                  <c:v>0.39651123517081099</c:v>
                </c:pt>
                <c:pt idx="18">
                  <c:v>0.31251275507811599</c:v>
                </c:pt>
                <c:pt idx="19">
                  <c:v>0.23552071001902899</c:v>
                </c:pt>
                <c:pt idx="20">
                  <c:v>0.188024971201353</c:v>
                </c:pt>
                <c:pt idx="21">
                  <c:v>0.137907399961987</c:v>
                </c:pt>
                <c:pt idx="22">
                  <c:v>9.9076317792327895E-2</c:v>
                </c:pt>
                <c:pt idx="23">
                  <c:v>7.6771548896384309E-2</c:v>
                </c:pt>
                <c:pt idx="24">
                  <c:v>5.50331848909218E-2</c:v>
                </c:pt>
                <c:pt idx="25">
                  <c:v>4.1882891498532304E-2</c:v>
                </c:pt>
                <c:pt idx="26">
                  <c:v>2.6899076645389701E-2</c:v>
                </c:pt>
                <c:pt idx="27">
                  <c:v>2.8643066551244298E-2</c:v>
                </c:pt>
                <c:pt idx="28">
                  <c:v>1.8585382566350301E-2</c:v>
                </c:pt>
                <c:pt idx="29">
                  <c:v>1.6441050975567299E-2</c:v>
                </c:pt>
                <c:pt idx="30">
                  <c:v>1.6927265894710001E-2</c:v>
                </c:pt>
                <c:pt idx="31">
                  <c:v>5.5360201456173194E-3</c:v>
                </c:pt>
                <c:pt idx="32">
                  <c:v>5.5516744239331806E-3</c:v>
                </c:pt>
                <c:pt idx="33">
                  <c:v>1.2931474477337201E-2</c:v>
                </c:pt>
                <c:pt idx="34">
                  <c:v>8.6066661943624695E-3</c:v>
                </c:pt>
                <c:pt idx="35">
                  <c:v>7.3575980325581393E-3</c:v>
                </c:pt>
                <c:pt idx="36">
                  <c:v>2.8505374714209897E-3</c:v>
                </c:pt>
                <c:pt idx="37">
                  <c:v>-2.1838521820841201E-4</c:v>
                </c:pt>
                <c:pt idx="38">
                  <c:v>8.2348707294253292E-3</c:v>
                </c:pt>
                <c:pt idx="39">
                  <c:v>3.9663387236011597E-3</c:v>
                </c:pt>
                <c:pt idx="40">
                  <c:v>7.9785242352294391E-3</c:v>
                </c:pt>
                <c:pt idx="41">
                  <c:v>3.1396670372780401E-3</c:v>
                </c:pt>
                <c:pt idx="42">
                  <c:v>2.6118371468564702E-3</c:v>
                </c:pt>
                <c:pt idx="43">
                  <c:v>2.39128185473625E-3</c:v>
                </c:pt>
                <c:pt idx="44">
                  <c:v>1.2757458204968699E-3</c:v>
                </c:pt>
                <c:pt idx="45">
                  <c:v>3.5362804167817599E-3</c:v>
                </c:pt>
                <c:pt idx="46">
                  <c:v>-3.1346344649783998E-3</c:v>
                </c:pt>
                <c:pt idx="47">
                  <c:v>9.0828857896239103E-3</c:v>
                </c:pt>
                <c:pt idx="48">
                  <c:v>1.0538230552720001E-2</c:v>
                </c:pt>
                <c:pt idx="49">
                  <c:v>2.5859344138377399E-3</c:v>
                </c:pt>
                <c:pt idx="50">
                  <c:v>2.0336631835871899E-3</c:v>
                </c:pt>
                <c:pt idx="51">
                  <c:v>2.2949557971681501E-3</c:v>
                </c:pt>
                <c:pt idx="52">
                  <c:v>2.3936274802814103E-3</c:v>
                </c:pt>
                <c:pt idx="53">
                  <c:v>2.3043154567460099E-3</c:v>
                </c:pt>
                <c:pt idx="54">
                  <c:v>3.0385585864702198E-3</c:v>
                </c:pt>
                <c:pt idx="55">
                  <c:v>7.9515125832206497E-3</c:v>
                </c:pt>
                <c:pt idx="56">
                  <c:v>-1.1013052498209E-4</c:v>
                </c:pt>
                <c:pt idx="57">
                  <c:v>5.6947636442931599E-3</c:v>
                </c:pt>
                <c:pt idx="58">
                  <c:v>-2.2807198247528698E-3</c:v>
                </c:pt>
                <c:pt idx="59">
                  <c:v>-1.0788247514761E-4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B8-46BF-B565-DD7DD0D7C7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3575024"/>
        <c:axId val="1243578384"/>
      </c:lineChart>
      <c:catAx>
        <c:axId val="12435750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3578384"/>
        <c:crosses val="autoZero"/>
        <c:auto val="1"/>
        <c:lblAlgn val="ctr"/>
        <c:lblOffset val="100"/>
        <c:noMultiLvlLbl val="0"/>
      </c:catAx>
      <c:valAx>
        <c:axId val="124357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3575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Infected (5 Neurons)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'Estimation with 5 Neurons'!$AB$3</c:f>
              <c:strCache>
                <c:ptCount val="1"/>
                <c:pt idx="0">
                  <c:v>I Pred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'Estimation with 5 Neurons'!$AB$4:$AB$63</c:f>
              <c:numCache>
                <c:formatCode>General</c:formatCode>
                <c:ptCount val="60"/>
                <c:pt idx="0">
                  <c:v>1.2216910041603746E-2</c:v>
                </c:pt>
                <c:pt idx="1">
                  <c:v>3.3014248696228155E-4</c:v>
                </c:pt>
                <c:pt idx="2">
                  <c:v>-5.5609291354277168E-3</c:v>
                </c:pt>
                <c:pt idx="3">
                  <c:v>-5.6903993722345336E-3</c:v>
                </c:pt>
                <c:pt idx="4">
                  <c:v>-1.1714148649175637E-3</c:v>
                </c:pt>
                <c:pt idx="5">
                  <c:v>6.2778568243124083E-3</c:v>
                </c:pt>
                <c:pt idx="6">
                  <c:v>1.4970709675795946E-2</c:v>
                </c:pt>
                <c:pt idx="7">
                  <c:v>2.4053856297836407E-2</c:v>
                </c:pt>
                <c:pt idx="8">
                  <c:v>3.4133601634057209E-2</c:v>
                </c:pt>
                <c:pt idx="9">
                  <c:v>4.7422336163740142E-2</c:v>
                </c:pt>
                <c:pt idx="10">
                  <c:v>6.728860464690134E-2</c:v>
                </c:pt>
                <c:pt idx="11">
                  <c:v>9.7299731075321971E-2</c:v>
                </c:pt>
                <c:pt idx="12">
                  <c:v>0.13998978285384545</c:v>
                </c:pt>
                <c:pt idx="13">
                  <c:v>0.19569269730131933</c:v>
                </c:pt>
                <c:pt idx="14">
                  <c:v>0.2618696613742485</c:v>
                </c:pt>
                <c:pt idx="15">
                  <c:v>0.33332303644567862</c:v>
                </c:pt>
                <c:pt idx="16">
                  <c:v>0.4033755689413091</c:v>
                </c:pt>
                <c:pt idx="17">
                  <c:v>0.46558321575636852</c:v>
                </c:pt>
                <c:pt idx="18">
                  <c:v>0.51522919406526002</c:v>
                </c:pt>
                <c:pt idx="19">
                  <c:v>0.55002267632319246</c:v>
                </c:pt>
                <c:pt idx="20">
                  <c:v>0.56993624213888039</c:v>
                </c:pt>
                <c:pt idx="21">
                  <c:v>0.57652478362033066</c:v>
                </c:pt>
                <c:pt idx="22">
                  <c:v>0.57214474906435475</c:v>
                </c:pt>
                <c:pt idx="23">
                  <c:v>0.55933717408439176</c:v>
                </c:pt>
                <c:pt idx="24">
                  <c:v>0.54045077848250833</c:v>
                </c:pt>
                <c:pt idx="25">
                  <c:v>0.51746898413319098</c:v>
                </c:pt>
                <c:pt idx="26">
                  <c:v>0.49197015692079138</c:v>
                </c:pt>
                <c:pt idx="27">
                  <c:v>0.46515837803415527</c:v>
                </c:pt>
                <c:pt idx="28">
                  <c:v>0.43792263019400202</c:v>
                </c:pt>
                <c:pt idx="29">
                  <c:v>0.41090084162453067</c:v>
                </c:pt>
                <c:pt idx="30">
                  <c:v>0.38453779273774213</c:v>
                </c:pt>
                <c:pt idx="31">
                  <c:v>0.35913308613943151</c:v>
                </c:pt>
                <c:pt idx="32">
                  <c:v>0.33487895966355063</c:v>
                </c:pt>
                <c:pt idx="33">
                  <c:v>0.31188921095935385</c:v>
                </c:pt>
                <c:pt idx="34">
                  <c:v>0.29022091689508289</c:v>
                </c:pt>
                <c:pt idx="35">
                  <c:v>0.26989055968132702</c:v>
                </c:pt>
                <c:pt idx="36">
                  <c:v>0.25088592169604129</c:v>
                </c:pt>
                <c:pt idx="37">
                  <c:v>0.23317482833613168</c:v>
                </c:pt>
                <c:pt idx="38">
                  <c:v>0.21671156324212104</c:v>
                </c:pt>
                <c:pt idx="39">
                  <c:v>0.20144157168941268</c:v>
                </c:pt>
                <c:pt idx="40">
                  <c:v>0.18730490610813155</c:v>
                </c:pt>
                <c:pt idx="41">
                  <c:v>0.17423874596645716</c:v>
                </c:pt>
                <c:pt idx="42">
                  <c:v>0.16217923442418947</c:v>
                </c:pt>
                <c:pt idx="43">
                  <c:v>0.151062808639993</c:v>
                </c:pt>
                <c:pt idx="44">
                  <c:v>0.14082715313132832</c:v>
                </c:pt>
                <c:pt idx="45">
                  <c:v>0.13141187127012643</c:v>
                </c:pt>
                <c:pt idx="46">
                  <c:v>0.12275894519472197</c:v>
                </c:pt>
                <c:pt idx="47">
                  <c:v>0.11481303644685692</c:v>
                </c:pt>
                <c:pt idx="48">
                  <c:v>0.10752166656120887</c:v>
                </c:pt>
                <c:pt idx="49">
                  <c:v>0.10083530725315004</c:v>
                </c:pt>
                <c:pt idx="50">
                  <c:v>9.4707402777914673E-2</c:v>
                </c:pt>
                <c:pt idx="51">
                  <c:v>8.9094341767681495E-2</c:v>
                </c:pt>
                <c:pt idx="52">
                  <c:v>8.3955391893602238E-2</c:v>
                </c:pt>
                <c:pt idx="53">
                  <c:v>7.9252607693418575E-2</c:v>
                </c:pt>
                <c:pt idx="54">
                  <c:v>7.4950719600264559E-2</c:v>
                </c:pt>
                <c:pt idx="55">
                  <c:v>7.1017010424251792E-2</c:v>
                </c:pt>
                <c:pt idx="56">
                  <c:v>6.7421184146080781E-2</c:v>
                </c:pt>
                <c:pt idx="57">
                  <c:v>6.4135230787218722E-2</c:v>
                </c:pt>
                <c:pt idx="58">
                  <c:v>6.1133290255311001E-2</c:v>
                </c:pt>
                <c:pt idx="59">
                  <c:v>5.8391517375620872E-2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40-4ABC-9CB3-AA1B742AF1A8}"/>
            </c:ext>
          </c:extLst>
        </c:ser>
        <c:ser>
          <c:idx val="1"/>
          <c:order val="1"/>
          <c:tx>
            <c:strRef>
              <c:f>'Estimation with 5 Neurons'!$AE$3</c:f>
              <c:strCache>
                <c:ptCount val="1"/>
                <c:pt idx="0">
                  <c:v>I Real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'Estimation with 5 Neurons'!$AE$4:$AE$63</c:f>
              <c:numCache>
                <c:formatCode>General</c:formatCode>
                <c:ptCount val="60"/>
                <c:pt idx="0">
                  <c:v>-5.1644142064485399E-4</c:v>
                </c:pt>
                <c:pt idx="1">
                  <c:v>2.1639113228485896E-3</c:v>
                </c:pt>
                <c:pt idx="2">
                  <c:v>3.31005964809079E-3</c:v>
                </c:pt>
                <c:pt idx="3">
                  <c:v>1.5165637719900501E-3</c:v>
                </c:pt>
                <c:pt idx="4">
                  <c:v>2.0051112150917699E-3</c:v>
                </c:pt>
                <c:pt idx="5">
                  <c:v>5.7859344004262394E-3</c:v>
                </c:pt>
                <c:pt idx="6">
                  <c:v>1.2651330839959601E-2</c:v>
                </c:pt>
                <c:pt idx="7">
                  <c:v>2.03539996715329E-2</c:v>
                </c:pt>
                <c:pt idx="8">
                  <c:v>3.3533967396357001E-2</c:v>
                </c:pt>
                <c:pt idx="9">
                  <c:v>4.7496166004264602E-2</c:v>
                </c:pt>
                <c:pt idx="10">
                  <c:v>6.7597221336325009E-2</c:v>
                </c:pt>
                <c:pt idx="11">
                  <c:v>9.5969397639399309E-2</c:v>
                </c:pt>
                <c:pt idx="12">
                  <c:v>0.139820372745182</c:v>
                </c:pt>
                <c:pt idx="13">
                  <c:v>0.19576330278256401</c:v>
                </c:pt>
                <c:pt idx="14">
                  <c:v>0.25894601239861498</c:v>
                </c:pt>
                <c:pt idx="15">
                  <c:v>0.33076845698165103</c:v>
                </c:pt>
                <c:pt idx="16">
                  <c:v>0.40789980280525601</c:v>
                </c:pt>
                <c:pt idx="17">
                  <c:v>0.47372642816447597</c:v>
                </c:pt>
                <c:pt idx="18">
                  <c:v>0.52750319456345507</c:v>
                </c:pt>
                <c:pt idx="19">
                  <c:v>0.55793614971574401</c:v>
                </c:pt>
                <c:pt idx="20">
                  <c:v>0.5772776209197521</c:v>
                </c:pt>
                <c:pt idx="21">
                  <c:v>0.57947852857229998</c:v>
                </c:pt>
                <c:pt idx="22">
                  <c:v>0.57261055388682602</c:v>
                </c:pt>
                <c:pt idx="23">
                  <c:v>0.554625055849157</c:v>
                </c:pt>
                <c:pt idx="24">
                  <c:v>0.53385373128166391</c:v>
                </c:pt>
                <c:pt idx="25">
                  <c:v>0.51004856673586696</c:v>
                </c:pt>
                <c:pt idx="26">
                  <c:v>0.48054748715594703</c:v>
                </c:pt>
                <c:pt idx="27">
                  <c:v>0.45621581041098197</c:v>
                </c:pt>
                <c:pt idx="28">
                  <c:v>0.43462182741029998</c:v>
                </c:pt>
                <c:pt idx="29">
                  <c:v>0.40770546813070097</c:v>
                </c:pt>
                <c:pt idx="30">
                  <c:v>0.38076372682378795</c:v>
                </c:pt>
                <c:pt idx="31">
                  <c:v>0.35516465630493699</c:v>
                </c:pt>
                <c:pt idx="32">
                  <c:v>0.33275256354035898</c:v>
                </c:pt>
                <c:pt idx="33">
                  <c:v>0.31162242112024097</c:v>
                </c:pt>
                <c:pt idx="34">
                  <c:v>0.29035002727487702</c:v>
                </c:pt>
                <c:pt idx="35">
                  <c:v>0.272509543831852</c:v>
                </c:pt>
                <c:pt idx="36">
                  <c:v>0.25622929206750999</c:v>
                </c:pt>
                <c:pt idx="37">
                  <c:v>0.23591031536785101</c:v>
                </c:pt>
                <c:pt idx="38">
                  <c:v>0.22078107592961702</c:v>
                </c:pt>
                <c:pt idx="39">
                  <c:v>0.204823212440885</c:v>
                </c:pt>
                <c:pt idx="40">
                  <c:v>0.19286137258476199</c:v>
                </c:pt>
                <c:pt idx="41">
                  <c:v>0.17630438116484701</c:v>
                </c:pt>
                <c:pt idx="42">
                  <c:v>0.16677826328596299</c:v>
                </c:pt>
                <c:pt idx="43">
                  <c:v>0.157909899247861</c:v>
                </c:pt>
                <c:pt idx="44">
                  <c:v>0.14923463373831</c:v>
                </c:pt>
                <c:pt idx="45">
                  <c:v>0.135577127775768</c:v>
                </c:pt>
                <c:pt idx="46">
                  <c:v>0.125187367886479</c:v>
                </c:pt>
                <c:pt idx="47">
                  <c:v>0.11564560923284699</c:v>
                </c:pt>
                <c:pt idx="48">
                  <c:v>0.111612530534534</c:v>
                </c:pt>
                <c:pt idx="49">
                  <c:v>0.10342211054485</c:v>
                </c:pt>
                <c:pt idx="50">
                  <c:v>9.4972241588527101E-2</c:v>
                </c:pt>
                <c:pt idx="51">
                  <c:v>8.7440881600336293E-2</c:v>
                </c:pt>
                <c:pt idx="52">
                  <c:v>8.3053244128702103E-2</c:v>
                </c:pt>
                <c:pt idx="53">
                  <c:v>7.8073186837302994E-2</c:v>
                </c:pt>
                <c:pt idx="54">
                  <c:v>7.1018266657233403E-2</c:v>
                </c:pt>
                <c:pt idx="55">
                  <c:v>6.6968684958737701E-2</c:v>
                </c:pt>
                <c:pt idx="56">
                  <c:v>6.18422691296922E-2</c:v>
                </c:pt>
                <c:pt idx="57">
                  <c:v>6.0470398956274998E-2</c:v>
                </c:pt>
                <c:pt idx="58">
                  <c:v>5.4975808919005206E-2</c:v>
                </c:pt>
                <c:pt idx="59">
                  <c:v>5.3596926243307502E-2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240-4ABC-9CB3-AA1B742AF1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7732928"/>
        <c:axId val="217724768"/>
      </c:lineChart>
      <c:catAx>
        <c:axId val="2177329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7724768"/>
        <c:crosses val="autoZero"/>
        <c:auto val="1"/>
        <c:lblAlgn val="ctr"/>
        <c:lblOffset val="100"/>
        <c:noMultiLvlLbl val="0"/>
      </c:catAx>
      <c:valAx>
        <c:axId val="21772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7732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Recovered (5 Neurons)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'Estimation with 5 Neurons'!$AC$3</c:f>
              <c:strCache>
                <c:ptCount val="1"/>
                <c:pt idx="0">
                  <c:v>R Pred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'Estimation with 5 Neurons'!$AC$4:$AC$63</c:f>
              <c:numCache>
                <c:formatCode>General</c:formatCode>
                <c:ptCount val="60"/>
                <c:pt idx="0">
                  <c:v>-6.6760930963776222E-3</c:v>
                </c:pt>
                <c:pt idx="1">
                  <c:v>-1.4678149929534534E-3</c:v>
                </c:pt>
                <c:pt idx="2">
                  <c:v>2.5098112272363693E-3</c:v>
                </c:pt>
                <c:pt idx="3">
                  <c:v>5.28193622424733E-3</c:v>
                </c:pt>
                <c:pt idx="4">
                  <c:v>6.7918429283557735E-3</c:v>
                </c:pt>
                <c:pt idx="5">
                  <c:v>6.9794850634198324E-3</c:v>
                </c:pt>
                <c:pt idx="6">
                  <c:v>5.950969398438255E-3</c:v>
                </c:pt>
                <c:pt idx="7">
                  <c:v>4.1588948350323451E-3</c:v>
                </c:pt>
                <c:pt idx="8">
                  <c:v>2.4791237904348562E-3</c:v>
                </c:pt>
                <c:pt idx="9">
                  <c:v>2.1181520699407597E-3</c:v>
                </c:pt>
                <c:pt idx="10">
                  <c:v>4.3840296631134784E-3</c:v>
                </c:pt>
                <c:pt idx="11">
                  <c:v>1.0424397908971886E-2</c:v>
                </c:pt>
                <c:pt idx="12">
                  <c:v>2.1032919722157387E-2</c:v>
                </c:pt>
                <c:pt idx="13">
                  <c:v>3.6570841339265261E-2</c:v>
                </c:pt>
                <c:pt idx="14">
                  <c:v>5.6992478552569295E-2</c:v>
                </c:pt>
                <c:pt idx="15">
                  <c:v>8.1933029560324735E-2</c:v>
                </c:pt>
                <c:pt idx="16">
                  <c:v>0.11081591655338281</c:v>
                </c:pt>
                <c:pt idx="17">
                  <c:v>0.1429511747966542</c:v>
                </c:pt>
                <c:pt idx="18">
                  <c:v>0.17761251908105274</c:v>
                </c:pt>
                <c:pt idx="19">
                  <c:v>0.21409152243578172</c:v>
                </c:pt>
                <c:pt idx="20">
                  <c:v>0.25173213976729608</c:v>
                </c:pt>
                <c:pt idx="21">
                  <c:v>0.28994996148727042</c:v>
                </c:pt>
                <c:pt idx="22">
                  <c:v>0.32824034764202764</c:v>
                </c:pt>
                <c:pt idx="23">
                  <c:v>0.36617900367513112</c:v>
                </c:pt>
                <c:pt idx="24">
                  <c:v>0.40341786306557709</c:v>
                </c:pt>
                <c:pt idx="25">
                  <c:v>0.43967841132914537</c:v>
                </c:pt>
                <c:pt idx="26">
                  <c:v>0.47474391004745242</c:v>
                </c:pt>
                <c:pt idx="27">
                  <c:v>0.50845143307880336</c:v>
                </c:pt>
                <c:pt idx="28">
                  <c:v>0.54068423371379004</c:v>
                </c:pt>
                <c:pt idx="29">
                  <c:v>0.57136470398837025</c:v>
                </c:pt>
                <c:pt idx="30">
                  <c:v>0.60044803158330806</c:v>
                </c:pt>
                <c:pt idx="31">
                  <c:v>0.62791657212771246</c:v>
                </c:pt>
                <c:pt idx="32">
                  <c:v>0.65377490923017723</c:v>
                </c:pt>
                <c:pt idx="33">
                  <c:v>0.67804555344720074</c:v>
                </c:pt>
                <c:pt idx="34">
                  <c:v>0.70076522357825988</c:v>
                </c:pt>
                <c:pt idx="35">
                  <c:v>0.72198165265238656</c:v>
                </c:pt>
                <c:pt idx="36">
                  <c:v>0.74175086314482741</c:v>
                </c:pt>
                <c:pt idx="37">
                  <c:v>0.76013485945702275</c:v>
                </c:pt>
                <c:pt idx="38">
                  <c:v>0.77719968959673635</c:v>
                </c:pt>
                <c:pt idx="39">
                  <c:v>0.79301383190709718</c:v>
                </c:pt>
                <c:pt idx="40">
                  <c:v>0.80764686646443606</c:v>
                </c:pt>
                <c:pt idx="41">
                  <c:v>0.82116839435706213</c:v>
                </c:pt>
                <c:pt idx="42">
                  <c:v>0.83364717147214162</c:v>
                </c:pt>
                <c:pt idx="43">
                  <c:v>0.84515042666483908</c:v>
                </c:pt>
                <c:pt idx="44">
                  <c:v>0.8557433372674047</c:v>
                </c:pt>
                <c:pt idx="45">
                  <c:v>0.86548863781385554</c:v>
                </c:pt>
                <c:pt idx="46">
                  <c:v>0.87444634060136606</c:v>
                </c:pt>
                <c:pt idx="47">
                  <c:v>0.88267354927345099</c:v>
                </c:pt>
                <c:pt idx="48">
                  <c:v>0.89022434898440705</c:v>
                </c:pt>
                <c:pt idx="49">
                  <c:v>0.89714975888343051</c:v>
                </c:pt>
                <c:pt idx="50">
                  <c:v>0.90349773463825667</c:v>
                </c:pt>
                <c:pt idx="51">
                  <c:v>0.90931321050359859</c:v>
                </c:pt>
                <c:pt idx="52">
                  <c:v>0.91463817203432696</c:v>
                </c:pt>
                <c:pt idx="53">
                  <c:v>0.91951175195545476</c:v>
                </c:pt>
                <c:pt idx="54">
                  <c:v>0.92397034294126212</c:v>
                </c:pt>
                <c:pt idx="55">
                  <c:v>0.92804772213664277</c:v>
                </c:pt>
                <c:pt idx="56">
                  <c:v>0.93177518318835684</c:v>
                </c:pt>
                <c:pt idx="57">
                  <c:v>0.93518167235618077</c:v>
                </c:pt>
                <c:pt idx="58">
                  <c:v>0.93829392595770855</c:v>
                </c:pt>
                <c:pt idx="59">
                  <c:v>0.9411366069791457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A0-4697-94A0-4BBF42DEB641}"/>
            </c:ext>
          </c:extLst>
        </c:ser>
        <c:ser>
          <c:idx val="1"/>
          <c:order val="1"/>
          <c:tx>
            <c:strRef>
              <c:f>'Estimation with 5 Neurons'!$AF$3</c:f>
              <c:strCache>
                <c:ptCount val="1"/>
                <c:pt idx="0">
                  <c:v>R Real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'Estimation with 5 Neurons'!$AF$4:$AF$63</c:f>
              <c:numCache>
                <c:formatCode>General</c:formatCode>
                <c:ptCount val="60"/>
                <c:pt idx="0">
                  <c:v>1.29646532345248E-3</c:v>
                </c:pt>
                <c:pt idx="1">
                  <c:v>2.6945909567850398E-3</c:v>
                </c:pt>
                <c:pt idx="2">
                  <c:v>-4.7185297244242705E-3</c:v>
                </c:pt>
                <c:pt idx="3">
                  <c:v>2.4789689316632598E-3</c:v>
                </c:pt>
                <c:pt idx="4">
                  <c:v>3.86363487767975E-3</c:v>
                </c:pt>
                <c:pt idx="5">
                  <c:v>-4.6798608314981898E-3</c:v>
                </c:pt>
                <c:pt idx="6">
                  <c:v>3.0346095032803499E-3</c:v>
                </c:pt>
                <c:pt idx="7">
                  <c:v>7.4668309922445502E-3</c:v>
                </c:pt>
                <c:pt idx="8">
                  <c:v>9.1761695406187595E-3</c:v>
                </c:pt>
                <c:pt idx="9">
                  <c:v>7.5225339506602403E-3</c:v>
                </c:pt>
                <c:pt idx="10">
                  <c:v>3.2927993138720797E-3</c:v>
                </c:pt>
                <c:pt idx="11">
                  <c:v>1.96514990734073E-2</c:v>
                </c:pt>
                <c:pt idx="12">
                  <c:v>2.4532806481925299E-2</c:v>
                </c:pt>
                <c:pt idx="13">
                  <c:v>3.84479753657469E-2</c:v>
                </c:pt>
                <c:pt idx="14">
                  <c:v>6.3388110834698502E-2</c:v>
                </c:pt>
                <c:pt idx="15">
                  <c:v>7.3720662375898097E-2</c:v>
                </c:pt>
                <c:pt idx="16">
                  <c:v>9.9755417736937704E-2</c:v>
                </c:pt>
                <c:pt idx="17">
                  <c:v>0.13353312106332502</c:v>
                </c:pt>
                <c:pt idx="18">
                  <c:v>0.171732007304878</c:v>
                </c:pt>
                <c:pt idx="19">
                  <c:v>0.208737490794312</c:v>
                </c:pt>
                <c:pt idx="20">
                  <c:v>0.245867937524964</c:v>
                </c:pt>
                <c:pt idx="21">
                  <c:v>0.28965693379235602</c:v>
                </c:pt>
                <c:pt idx="22">
                  <c:v>0.33141838551950203</c:v>
                </c:pt>
                <c:pt idx="23">
                  <c:v>0.37486334043008496</c:v>
                </c:pt>
                <c:pt idx="24">
                  <c:v>0.41205954274061996</c:v>
                </c:pt>
                <c:pt idx="25">
                  <c:v>0.44388223355148898</c:v>
                </c:pt>
                <c:pt idx="26">
                  <c:v>0.487722954635535</c:v>
                </c:pt>
                <c:pt idx="27">
                  <c:v>0.51359201939365806</c:v>
                </c:pt>
                <c:pt idx="28">
                  <c:v>0.547713142498501</c:v>
                </c:pt>
                <c:pt idx="29">
                  <c:v>0.57331041777418701</c:v>
                </c:pt>
                <c:pt idx="30">
                  <c:v>0.602138744531867</c:v>
                </c:pt>
                <c:pt idx="31">
                  <c:v>0.624921752972462</c:v>
                </c:pt>
                <c:pt idx="32">
                  <c:v>0.65513191440359508</c:v>
                </c:pt>
                <c:pt idx="33">
                  <c:v>0.68166378325101906</c:v>
                </c:pt>
                <c:pt idx="34">
                  <c:v>0.69814062804294097</c:v>
                </c:pt>
                <c:pt idx="35">
                  <c:v>0.71941411557586699</c:v>
                </c:pt>
                <c:pt idx="36">
                  <c:v>0.73983758563310398</c:v>
                </c:pt>
                <c:pt idx="37">
                  <c:v>0.75684413386429605</c:v>
                </c:pt>
                <c:pt idx="38">
                  <c:v>0.7750441208199299</c:v>
                </c:pt>
                <c:pt idx="39">
                  <c:v>0.78395269848070492</c:v>
                </c:pt>
                <c:pt idx="40">
                  <c:v>0.80233719563429595</c:v>
                </c:pt>
                <c:pt idx="41">
                  <c:v>0.81844367482675706</c:v>
                </c:pt>
                <c:pt idx="42">
                  <c:v>0.83017491401183396</c:v>
                </c:pt>
                <c:pt idx="43">
                  <c:v>0.83969352077445703</c:v>
                </c:pt>
                <c:pt idx="44">
                  <c:v>0.84673055231667504</c:v>
                </c:pt>
                <c:pt idx="45">
                  <c:v>0.86534225693530897</c:v>
                </c:pt>
                <c:pt idx="46">
                  <c:v>0.87833605384871605</c:v>
                </c:pt>
                <c:pt idx="47">
                  <c:v>0.87802773465304806</c:v>
                </c:pt>
                <c:pt idx="48">
                  <c:v>0.88908099354612202</c:v>
                </c:pt>
                <c:pt idx="49">
                  <c:v>0.89472708248588406</c:v>
                </c:pt>
                <c:pt idx="50">
                  <c:v>0.90450311421663898</c:v>
                </c:pt>
                <c:pt idx="51">
                  <c:v>0.90922037148508505</c:v>
                </c:pt>
                <c:pt idx="52">
                  <c:v>0.906309636239233</c:v>
                </c:pt>
                <c:pt idx="53">
                  <c:v>0.92630169320256595</c:v>
                </c:pt>
                <c:pt idx="54">
                  <c:v>0.92736038017037692</c:v>
                </c:pt>
                <c:pt idx="55">
                  <c:v>0.93389441761834491</c:v>
                </c:pt>
                <c:pt idx="56">
                  <c:v>0.94275156262420401</c:v>
                </c:pt>
                <c:pt idx="57">
                  <c:v>0.93680268831874902</c:v>
                </c:pt>
                <c:pt idx="58">
                  <c:v>0.94398061818187207</c:v>
                </c:pt>
                <c:pt idx="59">
                  <c:v>0.94100736181572697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3A0-4697-94A0-4BBF42DEB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7716128"/>
        <c:axId val="217726688"/>
      </c:lineChart>
      <c:catAx>
        <c:axId val="2177161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7726688"/>
        <c:crosses val="autoZero"/>
        <c:auto val="1"/>
        <c:lblAlgn val="ctr"/>
        <c:lblOffset val="100"/>
        <c:noMultiLvlLbl val="0"/>
      </c:catAx>
      <c:valAx>
        <c:axId val="217726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7716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Susceptible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'All Models'!$B$1</c:f>
              <c:strCache>
                <c:ptCount val="1"/>
                <c:pt idx="0">
                  <c:v>1 Neuron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'All Models'!$B$2:$B$61</c:f>
              <c:numCache>
                <c:formatCode>General</c:formatCode>
                <c:ptCount val="60"/>
                <c:pt idx="0">
                  <c:v>0.97155583420803893</c:v>
                </c:pt>
                <c:pt idx="1">
                  <c:v>0.96637180337597872</c:v>
                </c:pt>
                <c:pt idx="2">
                  <c:v>0.96006216122019539</c:v>
                </c:pt>
                <c:pt idx="3">
                  <c:v>0.95240193229676295</c:v>
                </c:pt>
                <c:pt idx="4">
                  <c:v>0.94313057090735974</c:v>
                </c:pt>
                <c:pt idx="5">
                  <c:v>0.93195088254269765</c:v>
                </c:pt>
                <c:pt idx="6">
                  <c:v>0.91853038790681651</c:v>
                </c:pt>
                <c:pt idx="7">
                  <c:v>0.90250639615091754</c:v>
                </c:pt>
                <c:pt idx="8">
                  <c:v>0.88349629504425609</c:v>
                </c:pt>
                <c:pt idx="9">
                  <c:v>0.86111465028044376</c:v>
                </c:pt>
                <c:pt idx="10">
                  <c:v>0.83499846838699943</c:v>
                </c:pt>
                <c:pt idx="11">
                  <c:v>0.80484121336109271</c:v>
                </c:pt>
                <c:pt idx="12">
                  <c:v>0.77043469128111863</c:v>
                </c:pt>
                <c:pt idx="13">
                  <c:v>0.73171568030198408</c:v>
                </c:pt>
                <c:pt idx="14">
                  <c:v>0.68881143312101289</c:v>
                </c:pt>
                <c:pt idx="15">
                  <c:v>0.64207559804111691</c:v>
                </c:pt>
                <c:pt idx="16">
                  <c:v>0.59210479331719612</c:v>
                </c:pt>
                <c:pt idx="17">
                  <c:v>0.53972722815156238</c:v>
                </c:pt>
                <c:pt idx="18">
                  <c:v>0.48595906567766606</c:v>
                </c:pt>
                <c:pt idx="19">
                  <c:v>0.4319311376813616</c:v>
                </c:pt>
                <c:pt idx="20">
                  <c:v>0.37879618831333012</c:v>
                </c:pt>
                <c:pt idx="21">
                  <c:v>0.32763228391224408</c:v>
                </c:pt>
                <c:pt idx="22">
                  <c:v>0.27935914129433159</c:v>
                </c:pt>
                <c:pt idx="23">
                  <c:v>0.23468042058137686</c:v>
                </c:pt>
                <c:pt idx="24">
                  <c:v>0.194058060605447</c:v>
                </c:pt>
                <c:pt idx="25">
                  <c:v>0.15771721294728108</c:v>
                </c:pt>
                <c:pt idx="26">
                  <c:v>0.12567470413831455</c:v>
                </c:pt>
                <c:pt idx="27">
                  <c:v>9.7781413456627886E-2</c:v>
                </c:pt>
                <c:pt idx="28">
                  <c:v>7.3769292792242036E-2</c:v>
                </c:pt>
                <c:pt idx="29">
                  <c:v>5.3295920709950095E-2</c:v>
                </c:pt>
                <c:pt idx="30">
                  <c:v>3.5982269873053307E-2</c:v>
                </c:pt>
                <c:pt idx="31">
                  <c:v>2.1441888224417394E-2</c:v>
                </c:pt>
                <c:pt idx="32">
                  <c:v>9.3015186995780152E-3</c:v>
                </c:pt>
                <c:pt idx="33">
                  <c:v>-7.8575282475928931E-4</c:v>
                </c:pt>
                <c:pt idx="34">
                  <c:v>-9.1332840940621662E-3</c:v>
                </c:pt>
                <c:pt idx="35">
                  <c:v>-1.6018023977955764E-2</c:v>
                </c:pt>
                <c:pt idx="36">
                  <c:v>-2.1680635260410863E-2</c:v>
                </c:pt>
                <c:pt idx="37">
                  <c:v>-2.6327483781249994E-2</c:v>
                </c:pt>
                <c:pt idx="38">
                  <c:v>-3.0133667936974751E-2</c:v>
                </c:pt>
                <c:pt idx="39">
                  <c:v>-3.3246510154130104E-2</c:v>
                </c:pt>
                <c:pt idx="40">
                  <c:v>-3.5789129356032123E-2</c:v>
                </c:pt>
                <c:pt idx="41">
                  <c:v>-3.7863860740966537E-2</c:v>
                </c:pt>
                <c:pt idx="42">
                  <c:v>-3.9555393363646052E-2</c:v>
                </c:pt>
                <c:pt idx="43">
                  <c:v>-4.0933566162846213E-2</c:v>
                </c:pt>
                <c:pt idx="44">
                  <c:v>-4.2055807953564062E-2</c:v>
                </c:pt>
                <c:pt idx="45">
                  <c:v>-4.2969233860365275E-2</c:v>
                </c:pt>
                <c:pt idx="46">
                  <c:v>-4.371242543478332E-2</c:v>
                </c:pt>
                <c:pt idx="47">
                  <c:v>-4.4316928495019281E-2</c:v>
                </c:pt>
                <c:pt idx="48">
                  <c:v>-4.4808504538318028E-2</c:v>
                </c:pt>
                <c:pt idx="49">
                  <c:v>-4.5208170447475771E-2</c:v>
                </c:pt>
                <c:pt idx="50">
                  <c:v>-4.553305849437389E-2</c:v>
                </c:pt>
                <c:pt idx="51">
                  <c:v>-4.5797125199481481E-2</c:v>
                </c:pt>
                <c:pt idx="52">
                  <c:v>-4.6011733967698476E-2</c:v>
                </c:pt>
                <c:pt idx="53">
                  <c:v>-4.6186132896327059E-2</c:v>
                </c:pt>
                <c:pt idx="54">
                  <c:v>-4.6327845904877318E-2</c:v>
                </c:pt>
                <c:pt idx="55">
                  <c:v>-4.6442992442697395E-2</c:v>
                </c:pt>
                <c:pt idx="56">
                  <c:v>-4.6536548508093911E-2</c:v>
                </c:pt>
                <c:pt idx="57">
                  <c:v>-4.661255954914395E-2</c:v>
                </c:pt>
                <c:pt idx="58">
                  <c:v>-4.667431398275429E-2</c:v>
                </c:pt>
                <c:pt idx="59">
                  <c:v>-4.6724484528381016E-2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FD-469F-B56D-E18AD0FAC55E}"/>
            </c:ext>
          </c:extLst>
        </c:ser>
        <c:ser>
          <c:idx val="2"/>
          <c:order val="1"/>
          <c:tx>
            <c:strRef>
              <c:f>'All Models'!$C$1</c:f>
              <c:strCache>
                <c:ptCount val="1"/>
                <c:pt idx="0">
                  <c:v>2 Neuron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'All Models'!$C$2:$C$61</c:f>
              <c:numCache>
                <c:formatCode>General</c:formatCode>
                <c:ptCount val="60"/>
                <c:pt idx="0">
                  <c:v>1.0031700665587875</c:v>
                </c:pt>
                <c:pt idx="1">
                  <c:v>1.0022602753309446</c:v>
                </c:pt>
                <c:pt idx="2">
                  <c:v>1.0009131763628518</c:v>
                </c:pt>
                <c:pt idx="3">
                  <c:v>0.99892072972090151</c:v>
                </c:pt>
                <c:pt idx="4">
                  <c:v>0.9959785289307066</c:v>
                </c:pt>
                <c:pt idx="5">
                  <c:v>0.99164424599745882</c:v>
                </c:pt>
                <c:pt idx="6">
                  <c:v>0.9852817776408016</c:v>
                </c:pt>
                <c:pt idx="7">
                  <c:v>0.9759904789202094</c:v>
                </c:pt>
                <c:pt idx="8">
                  <c:v>0.9625247170068949</c:v>
                </c:pt>
                <c:pt idx="9">
                  <c:v>0.94322222783599852</c:v>
                </c:pt>
                <c:pt idx="10">
                  <c:v>0.91598463674689734</c:v>
                </c:pt>
                <c:pt idx="11">
                  <c:v>0.87839058210803911</c:v>
                </c:pt>
                <c:pt idx="12">
                  <c:v>0.82805605596415255</c:v>
                </c:pt>
                <c:pt idx="13">
                  <c:v>0.76333837272081939</c:v>
                </c:pt>
                <c:pt idx="14">
                  <c:v>0.68432657327905422</c:v>
                </c:pt>
                <c:pt idx="15">
                  <c:v>0.59374055969905326</c:v>
                </c:pt>
                <c:pt idx="16">
                  <c:v>0.49707381973943576</c:v>
                </c:pt>
                <c:pt idx="17">
                  <c:v>0.40150022863601276</c:v>
                </c:pt>
                <c:pt idx="18">
                  <c:v>0.31387533202126772</c:v>
                </c:pt>
                <c:pt idx="19">
                  <c:v>0.23891655699899883</c:v>
                </c:pt>
                <c:pt idx="20">
                  <c:v>0.17849009629599899</c:v>
                </c:pt>
                <c:pt idx="21">
                  <c:v>0.13205216950039556</c:v>
                </c:pt>
                <c:pt idx="22">
                  <c:v>9.7636956957061649E-2</c:v>
                </c:pt>
                <c:pt idx="23">
                  <c:v>7.2783931736749796E-2</c:v>
                </c:pt>
                <c:pt idx="24">
                  <c:v>5.5134711325836472E-2</c:v>
                </c:pt>
                <c:pt idx="25">
                  <c:v>4.2707053373498116E-2</c:v>
                </c:pt>
                <c:pt idx="26">
                  <c:v>3.3958114768814829E-2</c:v>
                </c:pt>
                <c:pt idx="27">
                  <c:v>2.7743856686115453E-2</c:v>
                </c:pt>
                <c:pt idx="28">
                  <c:v>2.324310968762755E-2</c:v>
                </c:pt>
                <c:pt idx="29">
                  <c:v>1.9880735401929694E-2</c:v>
                </c:pt>
                <c:pt idx="30">
                  <c:v>1.726311971291139E-2</c:v>
                </c:pt>
                <c:pt idx="31">
                  <c:v>1.5128445638777688E-2</c:v>
                </c:pt>
                <c:pt idx="32">
                  <c:v>1.3309678829500626E-2</c:v>
                </c:pt>
                <c:pt idx="33">
                  <c:v>1.1706969243761689E-2</c:v>
                </c:pt>
                <c:pt idx="34">
                  <c:v>1.0266529610868824E-2</c:v>
                </c:pt>
                <c:pt idx="35">
                  <c:v>8.9640511527491196E-3</c:v>
                </c:pt>
                <c:pt idx="36">
                  <c:v>7.7917500989566069E-3</c:v>
                </c:pt>
                <c:pt idx="37">
                  <c:v>6.7487992180330636E-3</c:v>
                </c:pt>
                <c:pt idx="38">
                  <c:v>5.835042356427067E-3</c:v>
                </c:pt>
                <c:pt idx="39">
                  <c:v>5.0476560987442465E-3</c:v>
                </c:pt>
                <c:pt idx="40">
                  <c:v>4.3801021263001338E-3</c:v>
                </c:pt>
                <c:pt idx="41">
                  <c:v>3.8225452770390689E-3</c:v>
                </c:pt>
                <c:pt idx="42">
                  <c:v>3.3629661763052709E-3</c:v>
                </c:pt>
                <c:pt idx="43">
                  <c:v>2.9884031625893037E-3</c:v>
                </c:pt>
                <c:pt idx="44">
                  <c:v>2.686002019660183E-3</c:v>
                </c:pt>
                <c:pt idx="45">
                  <c:v>2.4437514573805164E-3</c:v>
                </c:pt>
                <c:pt idx="46">
                  <c:v>2.2509076268006911E-3</c:v>
                </c:pt>
                <c:pt idx="47">
                  <c:v>2.0981698177773289E-3</c:v>
                </c:pt>
                <c:pt idx="48">
                  <c:v>1.9776840006371366E-3</c:v>
                </c:pt>
                <c:pt idx="49">
                  <c:v>1.8829424198256728E-3</c:v>
                </c:pt>
                <c:pt idx="50">
                  <c:v>1.8086307888309783E-3</c:v>
                </c:pt>
                <c:pt idx="51">
                  <c:v>1.7504578133220594E-3</c:v>
                </c:pt>
                <c:pt idx="52">
                  <c:v>1.704988111936423E-3</c:v>
                </c:pt>
                <c:pt idx="53">
                  <c:v>1.6694898058722263E-3</c:v>
                </c:pt>
                <c:pt idx="54">
                  <c:v>1.6418016288075599E-3</c:v>
                </c:pt>
                <c:pt idx="55">
                  <c:v>1.6202205367479294E-3</c:v>
                </c:pt>
                <c:pt idx="56">
                  <c:v>1.6034086753087262E-3</c:v>
                </c:pt>
                <c:pt idx="57">
                  <c:v>1.5903175585998408E-3</c:v>
                </c:pt>
                <c:pt idx="58">
                  <c:v>1.5801269797792727E-3</c:v>
                </c:pt>
                <c:pt idx="59">
                  <c:v>1.5721962103565357E-3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4FD-469F-B56D-E18AD0FAC55E}"/>
            </c:ext>
          </c:extLst>
        </c:ser>
        <c:ser>
          <c:idx val="3"/>
          <c:order val="2"/>
          <c:tx>
            <c:strRef>
              <c:f>'All Models'!$D$1</c:f>
              <c:strCache>
                <c:ptCount val="1"/>
                <c:pt idx="0">
                  <c:v>3 Neuron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'All Models'!$D$2:$D$61</c:f>
              <c:numCache>
                <c:formatCode>General</c:formatCode>
                <c:ptCount val="60"/>
                <c:pt idx="0">
                  <c:v>1.055353745296796</c:v>
                </c:pt>
                <c:pt idx="1">
                  <c:v>1.049903679099307</c:v>
                </c:pt>
                <c:pt idx="2">
                  <c:v>1.0423379676534288</c:v>
                </c:pt>
                <c:pt idx="3">
                  <c:v>1.0326234035489805</c:v>
                </c:pt>
                <c:pt idx="4">
                  <c:v>1.0202754284761166</c:v>
                </c:pt>
                <c:pt idx="5">
                  <c:v>1.0047425325265893</c:v>
                </c:pt>
                <c:pt idx="6">
                  <c:v>0.98541689147519751</c:v>
                </c:pt>
                <c:pt idx="7">
                  <c:v>0.96165606468083942</c:v>
                </c:pt>
                <c:pt idx="8">
                  <c:v>0.93281944425011121</c:v>
                </c:pt>
                <c:pt idx="9">
                  <c:v>0.8983219947430805</c:v>
                </c:pt>
                <c:pt idx="10">
                  <c:v>0.85770563362018093</c:v>
                </c:pt>
                <c:pt idx="11">
                  <c:v>0.810724731150684</c:v>
                </c:pt>
                <c:pt idx="12">
                  <c:v>0.75743677626637562</c:v>
                </c:pt>
                <c:pt idx="13">
                  <c:v>0.69828321505016344</c:v>
                </c:pt>
                <c:pt idx="14">
                  <c:v>0.63414080760724634</c:v>
                </c:pt>
                <c:pt idx="15">
                  <c:v>0.56632327561680174</c:v>
                </c:pt>
                <c:pt idx="16">
                  <c:v>0.49651889308758657</c:v>
                </c:pt>
                <c:pt idx="17">
                  <c:v>0.42666242846883895</c:v>
                </c:pt>
                <c:pt idx="18">
                  <c:v>0.35875669886641548</c:v>
                </c:pt>
                <c:pt idx="19">
                  <c:v>0.2946742468721939</c:v>
                </c:pt>
                <c:pt idx="20">
                  <c:v>0.23597699755123847</c:v>
                </c:pt>
                <c:pt idx="21">
                  <c:v>0.183787641238641</c:v>
                </c:pt>
                <c:pt idx="22">
                  <c:v>0.13873229450171687</c:v>
                </c:pt>
                <c:pt idx="23">
                  <c:v>0.10095540488200783</c:v>
                </c:pt>
                <c:pt idx="24">
                  <c:v>7.0191805824572739E-2</c:v>
                </c:pt>
                <c:pt idx="25">
                  <c:v>4.5872045027241626E-2</c:v>
                </c:pt>
                <c:pt idx="26">
                  <c:v>2.7236538556800305E-2</c:v>
                </c:pt>
                <c:pt idx="27">
                  <c:v>1.3439515659250389E-2</c:v>
                </c:pt>
                <c:pt idx="28">
                  <c:v>3.6316304850894099E-3</c:v>
                </c:pt>
                <c:pt idx="29">
                  <c:v>-2.9824511300189371E-3</c:v>
                </c:pt>
                <c:pt idx="30">
                  <c:v>-7.1098625323120501E-3</c:v>
                </c:pt>
                <c:pt idx="31">
                  <c:v>-9.3542517434048733E-3</c:v>
                </c:pt>
                <c:pt idx="32">
                  <c:v>-1.0214040541148606E-2</c:v>
                </c:pt>
                <c:pt idx="33">
                  <c:v>-1.0089264426504485E-2</c:v>
                </c:pt>
                <c:pt idx="34">
                  <c:v>-9.2930278680691814E-3</c:v>
                </c:pt>
                <c:pt idx="35">
                  <c:v>-8.0647401758344728E-3</c:v>
                </c:pt>
                <c:pt idx="36">
                  <c:v>-6.583305585519561E-3</c:v>
                </c:pt>
                <c:pt idx="37">
                  <c:v>-4.9792252521276836E-3</c:v>
                </c:pt>
                <c:pt idx="38">
                  <c:v>-3.3451204875687424E-3</c:v>
                </c:pt>
                <c:pt idx="39">
                  <c:v>-1.7445414423162831E-3</c:v>
                </c:pt>
                <c:pt idx="40">
                  <c:v>-2.1913242674997946E-4</c:v>
                </c:pt>
                <c:pt idx="41">
                  <c:v>1.205669740074633E-3</c:v>
                </c:pt>
                <c:pt idx="42">
                  <c:v>2.5161876603432276E-3</c:v>
                </c:pt>
                <c:pt idx="43">
                  <c:v>3.7070866743604824E-3</c:v>
                </c:pt>
                <c:pt idx="44">
                  <c:v>4.778788562630254E-3</c:v>
                </c:pt>
                <c:pt idx="45">
                  <c:v>5.7355412611856949E-3</c:v>
                </c:pt>
                <c:pt idx="46">
                  <c:v>6.5839989215357164E-3</c:v>
                </c:pt>
                <c:pt idx="47">
                  <c:v>7.3321938408286158E-3</c:v>
                </c:pt>
                <c:pt idx="48">
                  <c:v>7.9888058085968439E-3</c:v>
                </c:pt>
                <c:pt idx="49">
                  <c:v>8.5626547226569372E-3</c:v>
                </c:pt>
                <c:pt idx="50">
                  <c:v>9.0623589879790245E-3</c:v>
                </c:pt>
                <c:pt idx="51">
                  <c:v>9.4961155930581853E-3</c:v>
                </c:pt>
                <c:pt idx="52">
                  <c:v>9.8715683335290905E-3</c:v>
                </c:pt>
                <c:pt idx="53">
                  <c:v>1.0195738907849972E-2</c:v>
                </c:pt>
                <c:pt idx="54">
                  <c:v>1.0475001990178257E-2</c:v>
                </c:pt>
                <c:pt idx="55">
                  <c:v>1.0715090276349315E-2</c:v>
                </c:pt>
                <c:pt idx="56">
                  <c:v>1.0921119221285025E-2</c:v>
                </c:pt>
                <c:pt idx="57">
                  <c:v>1.1097624000774964E-2</c:v>
                </c:pt>
                <c:pt idx="58">
                  <c:v>1.1248603345557662E-2</c:v>
                </c:pt>
                <c:pt idx="59">
                  <c:v>1.1377566474685352E-2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4FD-469F-B56D-E18AD0FAC55E}"/>
            </c:ext>
          </c:extLst>
        </c:ser>
        <c:ser>
          <c:idx val="4"/>
          <c:order val="3"/>
          <c:tx>
            <c:strRef>
              <c:f>'All Models'!$E$1</c:f>
              <c:strCache>
                <c:ptCount val="1"/>
                <c:pt idx="0">
                  <c:v>4 Neuron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'All Models'!$E$2:$E$61</c:f>
              <c:numCache>
                <c:formatCode>General</c:formatCode>
                <c:ptCount val="60"/>
                <c:pt idx="0">
                  <c:v>1.0204777411008514</c:v>
                </c:pt>
                <c:pt idx="1">
                  <c:v>1.0194009914481077</c:v>
                </c:pt>
                <c:pt idx="2">
                  <c:v>1.0170249909690865</c:v>
                </c:pt>
                <c:pt idx="3">
                  <c:v>1.0136564273868673</c:v>
                </c:pt>
                <c:pt idx="4">
                  <c:v>1.0088939600902149</c:v>
                </c:pt>
                <c:pt idx="5">
                  <c:v>1.0021824074054502</c:v>
                </c:pt>
                <c:pt idx="6">
                  <c:v>0.99276822305000412</c:v>
                </c:pt>
                <c:pt idx="7">
                  <c:v>0.97965081270794219</c:v>
                </c:pt>
                <c:pt idx="8">
                  <c:v>0.96154351144266403</c:v>
                </c:pt>
                <c:pt idx="9">
                  <c:v>0.93686909309876931</c:v>
                </c:pt>
                <c:pt idx="10">
                  <c:v>0.90383172221801278</c:v>
                </c:pt>
                <c:pt idx="11">
                  <c:v>0.86062198523635125</c:v>
                </c:pt>
                <c:pt idx="12">
                  <c:v>0.80580538087166254</c:v>
                </c:pt>
                <c:pt idx="13">
                  <c:v>0.73888699462059382</c:v>
                </c:pt>
                <c:pt idx="14">
                  <c:v>0.66091662708876164</c:v>
                </c:pt>
                <c:pt idx="15">
                  <c:v>0.57484468365437014</c:v>
                </c:pt>
                <c:pt idx="16">
                  <c:v>0.48530367826893972</c:v>
                </c:pt>
                <c:pt idx="17">
                  <c:v>0.39771726434399213</c:v>
                </c:pt>
                <c:pt idx="18">
                  <c:v>0.31705039279758296</c:v>
                </c:pt>
                <c:pt idx="19">
                  <c:v>0.24677029622195779</c:v>
                </c:pt>
                <c:pt idx="20">
                  <c:v>0.18843537004943833</c:v>
                </c:pt>
                <c:pt idx="21">
                  <c:v>0.14192098206960768</c:v>
                </c:pt>
                <c:pt idx="22">
                  <c:v>0.10599078680759089</c:v>
                </c:pt>
                <c:pt idx="23">
                  <c:v>7.889380160310111E-2</c:v>
                </c:pt>
                <c:pt idx="24">
                  <c:v>5.8806750270366415E-2</c:v>
                </c:pt>
                <c:pt idx="25">
                  <c:v>4.40858078225288E-2</c:v>
                </c:pt>
                <c:pt idx="26">
                  <c:v>3.3368898669926317E-2</c:v>
                </c:pt>
                <c:pt idx="27">
                  <c:v>2.5586870094535641E-2</c:v>
                </c:pt>
                <c:pt idx="28">
                  <c:v>1.9930380325803299E-2</c:v>
                </c:pt>
                <c:pt idx="29">
                  <c:v>1.5801799854060938E-2</c:v>
                </c:pt>
                <c:pt idx="30">
                  <c:v>1.2767357531115131E-2</c:v>
                </c:pt>
                <c:pt idx="31">
                  <c:v>1.0515925058258269E-2</c:v>
                </c:pt>
                <c:pt idx="32">
                  <c:v>8.8261028478822112E-3</c:v>
                </c:pt>
                <c:pt idx="33">
                  <c:v>7.5411006620642596E-3</c:v>
                </c:pt>
                <c:pt idx="34">
                  <c:v>6.5501233108307133E-3</c:v>
                </c:pt>
                <c:pt idx="35">
                  <c:v>5.774853196203189E-3</c:v>
                </c:pt>
                <c:pt idx="36">
                  <c:v>5.1597761796697839E-3</c:v>
                </c:pt>
                <c:pt idx="37">
                  <c:v>4.6653330835901841E-3</c:v>
                </c:pt>
                <c:pt idx="38">
                  <c:v>4.2631117526994444E-3</c:v>
                </c:pt>
                <c:pt idx="39">
                  <c:v>3.9324930726003515E-3</c:v>
                </c:pt>
                <c:pt idx="40">
                  <c:v>3.6583220945294315E-3</c:v>
                </c:pt>
                <c:pt idx="41">
                  <c:v>3.429295751115724E-3</c:v>
                </c:pt>
                <c:pt idx="42">
                  <c:v>3.236848012453386E-3</c:v>
                </c:pt>
                <c:pt idx="43">
                  <c:v>3.0743784302185162E-3</c:v>
                </c:pt>
                <c:pt idx="44">
                  <c:v>2.9367167334326538E-3</c:v>
                </c:pt>
                <c:pt idx="45">
                  <c:v>2.8197492509640654E-3</c:v>
                </c:pt>
                <c:pt idx="46">
                  <c:v>2.7201561573004795E-3</c:v>
                </c:pt>
                <c:pt idx="47">
                  <c:v>2.6352246740453111E-3</c:v>
                </c:pt>
                <c:pt idx="48">
                  <c:v>2.5627144821873671E-3</c:v>
                </c:pt>
                <c:pt idx="49">
                  <c:v>2.5007592143770907E-3</c:v>
                </c:pt>
                <c:pt idx="50">
                  <c:v>2.4477930789057467E-3</c:v>
                </c:pt>
                <c:pt idx="51">
                  <c:v>2.402495177932451E-3</c:v>
                </c:pt>
                <c:pt idx="52">
                  <c:v>2.3637464530219532E-3</c:v>
                </c:pt>
                <c:pt idx="53">
                  <c:v>2.3305957878765327E-3</c:v>
                </c:pt>
                <c:pt idx="54">
                  <c:v>2.3022328733031117E-3</c:v>
                </c:pt>
                <c:pt idx="55">
                  <c:v>2.2779661639127369E-3</c:v>
                </c:pt>
                <c:pt idx="56">
                  <c:v>2.2572047455948763E-3</c:v>
                </c:pt>
                <c:pt idx="57">
                  <c:v>2.23944326513692E-3</c:v>
                </c:pt>
                <c:pt idx="58">
                  <c:v>2.2242493009345665E-3</c:v>
                </c:pt>
                <c:pt idx="59">
                  <c:v>2.2112527107953639E-3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4FD-469F-B56D-E18AD0FAC55E}"/>
            </c:ext>
          </c:extLst>
        </c:ser>
        <c:ser>
          <c:idx val="5"/>
          <c:order val="4"/>
          <c:tx>
            <c:strRef>
              <c:f>'All Models'!$F$1</c:f>
              <c:strCache>
                <c:ptCount val="1"/>
                <c:pt idx="0">
                  <c:v>5 Neuron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'All Models'!$F$2:$F$61</c:f>
              <c:numCache>
                <c:formatCode>General</c:formatCode>
                <c:ptCount val="60"/>
                <c:pt idx="0">
                  <c:v>0.99244973044898277</c:v>
                </c:pt>
                <c:pt idx="1">
                  <c:v>0.99927793349968708</c:v>
                </c:pt>
                <c:pt idx="2">
                  <c:v>1.0014791929124964</c:v>
                </c:pt>
                <c:pt idx="3">
                  <c:v>0.99924464173676175</c:v>
                </c:pt>
                <c:pt idx="4">
                  <c:v>0.99369544263231535</c:v>
                </c:pt>
                <c:pt idx="5">
                  <c:v>0.98653867905698922</c:v>
                </c:pt>
                <c:pt idx="6">
                  <c:v>0.97927906591994451</c:v>
                </c:pt>
                <c:pt idx="7">
                  <c:v>0.97225924696259325</c:v>
                </c:pt>
                <c:pt idx="8">
                  <c:v>0.9639747107052965</c:v>
                </c:pt>
                <c:pt idx="9">
                  <c:v>0.95102532097681336</c:v>
                </c:pt>
                <c:pt idx="10">
                  <c:v>0.9287859134208023</c:v>
                </c:pt>
                <c:pt idx="11">
                  <c:v>0.89260808125887303</c:v>
                </c:pt>
                <c:pt idx="12">
                  <c:v>0.83922601094030425</c:v>
                </c:pt>
                <c:pt idx="13">
                  <c:v>0.7679857165477173</c:v>
                </c:pt>
                <c:pt idx="14">
                  <c:v>0.68148367295288281</c:v>
                </c:pt>
                <c:pt idx="15">
                  <c:v>0.58526595502595491</c:v>
                </c:pt>
                <c:pt idx="16">
                  <c:v>0.48655102219445179</c:v>
                </c:pt>
                <c:pt idx="17">
                  <c:v>0.39243217115036733</c:v>
                </c:pt>
                <c:pt idx="18">
                  <c:v>0.30831862399762811</c:v>
                </c:pt>
                <c:pt idx="19">
                  <c:v>0.23718919354712642</c:v>
                </c:pt>
                <c:pt idx="20">
                  <c:v>0.17972064146476141</c:v>
                </c:pt>
                <c:pt idx="21">
                  <c:v>0.13494595783767038</c:v>
                </c:pt>
                <c:pt idx="22">
                  <c:v>0.10102239602058138</c:v>
                </c:pt>
                <c:pt idx="23">
                  <c:v>7.5844098777449576E-2</c:v>
                </c:pt>
                <c:pt idx="24">
                  <c:v>5.742076425286835E-2</c:v>
                </c:pt>
                <c:pt idx="25">
                  <c:v>4.4056188918796924E-2</c:v>
                </c:pt>
                <c:pt idx="26">
                  <c:v>3.4395504339194582E-2</c:v>
                </c:pt>
                <c:pt idx="27">
                  <c:v>2.7402506132162108E-2</c:v>
                </c:pt>
                <c:pt idx="28">
                  <c:v>2.230841141651374E-2</c:v>
                </c:pt>
                <c:pt idx="29">
                  <c:v>1.8555196330945378E-2</c:v>
                </c:pt>
                <c:pt idx="30">
                  <c:v>1.5744336853086294E-2</c:v>
                </c:pt>
                <c:pt idx="31">
                  <c:v>1.3594712513029128E-2</c:v>
                </c:pt>
                <c:pt idx="32">
                  <c:v>1.1909920730270196E-2</c:v>
                </c:pt>
                <c:pt idx="33">
                  <c:v>1.0553790529888252E-2</c:v>
                </c:pt>
                <c:pt idx="34">
                  <c:v>9.4324796164106939E-3</c:v>
                </c:pt>
                <c:pt idx="35">
                  <c:v>8.481610410078444E-3</c:v>
                </c:pt>
                <c:pt idx="36">
                  <c:v>7.6571466432888702E-3</c:v>
                </c:pt>
                <c:pt idx="37">
                  <c:v>6.9289894110948769E-3</c:v>
                </c:pt>
                <c:pt idx="38">
                  <c:v>6.2765210160293794E-3</c:v>
                </c:pt>
                <c:pt idx="39">
                  <c:v>5.6855282923000683E-3</c:v>
                </c:pt>
                <c:pt idx="40">
                  <c:v>5.1460941754197798E-3</c:v>
                </c:pt>
                <c:pt idx="41">
                  <c:v>4.6511637023811669E-3</c:v>
                </c:pt>
                <c:pt idx="42">
                  <c:v>4.195576529360201E-3</c:v>
                </c:pt>
                <c:pt idx="43">
                  <c:v>3.7754199711403924E-3</c:v>
                </c:pt>
                <c:pt idx="44">
                  <c:v>3.3876007183633039E-3</c:v>
                </c:pt>
                <c:pt idx="45">
                  <c:v>3.0295646159868017E-3</c:v>
                </c:pt>
                <c:pt idx="46">
                  <c:v>2.6991158273943494E-3</c:v>
                </c:pt>
                <c:pt idx="47">
                  <c:v>2.3943020381940183E-3</c:v>
                </c:pt>
                <c:pt idx="48">
                  <c:v>2.1133430085813476E-3</c:v>
                </c:pt>
                <c:pt idx="49">
                  <c:v>1.8545871513568901E-3</c:v>
                </c:pt>
                <c:pt idx="50">
                  <c:v>1.616485881131835E-3</c:v>
                </c:pt>
                <c:pt idx="51">
                  <c:v>1.3975789467248756E-3</c:v>
                </c:pt>
                <c:pt idx="52">
                  <c:v>1.1964863140974114E-3</c:v>
                </c:pt>
                <c:pt idx="53">
                  <c:v>1.0119037553473209E-3</c:v>
                </c:pt>
                <c:pt idx="54">
                  <c:v>8.4260036028482865E-4</c:v>
                </c:pt>
                <c:pt idx="55">
                  <c:v>6.8741688797224754E-4</c:v>
                </c:pt>
                <c:pt idx="56">
                  <c:v>5.4526433191504076E-4</c:v>
                </c:pt>
                <c:pt idx="57">
                  <c:v>4.1512236411800352E-4</c:v>
                </c:pt>
                <c:pt idx="58">
                  <c:v>2.9603750480355906E-4</c:v>
                </c:pt>
                <c:pt idx="59">
                  <c:v>1.8712097356909929E-4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4FD-469F-B56D-E18AD0FAC55E}"/>
            </c:ext>
          </c:extLst>
        </c:ser>
        <c:ser>
          <c:idx val="0"/>
          <c:order val="5"/>
          <c:tx>
            <c:strRef>
              <c:f>'All Models'!$A$1</c:f>
              <c:strCache>
                <c:ptCount val="1"/>
                <c:pt idx="0">
                  <c:v>Real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'All Models'!$A$2:$A$61</c:f>
              <c:numCache>
                <c:formatCode>General</c:formatCode>
                <c:ptCount val="60"/>
                <c:pt idx="0">
                  <c:v>0.99916902781949102</c:v>
                </c:pt>
                <c:pt idx="1">
                  <c:v>0.98960193539692398</c:v>
                </c:pt>
                <c:pt idx="2">
                  <c:v>1.0027006748148801</c:v>
                </c:pt>
                <c:pt idx="3">
                  <c:v>0.99110329365628103</c:v>
                </c:pt>
                <c:pt idx="4">
                  <c:v>0.99855053119660397</c:v>
                </c:pt>
                <c:pt idx="5">
                  <c:v>0.99334815329542803</c:v>
                </c:pt>
                <c:pt idx="6">
                  <c:v>0.98283073740154103</c:v>
                </c:pt>
                <c:pt idx="7">
                  <c:v>0.97539398785926001</c:v>
                </c:pt>
                <c:pt idx="8">
                  <c:v>0.96249140793574095</c:v>
                </c:pt>
                <c:pt idx="9">
                  <c:v>0.94450237023887595</c:v>
                </c:pt>
                <c:pt idx="10">
                  <c:v>0.91819898168117797</c:v>
                </c:pt>
                <c:pt idx="11">
                  <c:v>0.89021613947898592</c:v>
                </c:pt>
                <c:pt idx="12">
                  <c:v>0.83105634839519704</c:v>
                </c:pt>
                <c:pt idx="13">
                  <c:v>0.77338802087821101</c:v>
                </c:pt>
                <c:pt idx="14">
                  <c:v>0.68790871012265198</c:v>
                </c:pt>
                <c:pt idx="15">
                  <c:v>0.59497831839092707</c:v>
                </c:pt>
                <c:pt idx="16">
                  <c:v>0.48898600704502004</c:v>
                </c:pt>
                <c:pt idx="17">
                  <c:v>0.39651123517081099</c:v>
                </c:pt>
                <c:pt idx="18">
                  <c:v>0.31251275507811599</c:v>
                </c:pt>
                <c:pt idx="19">
                  <c:v>0.23552071001902899</c:v>
                </c:pt>
                <c:pt idx="20">
                  <c:v>0.188024971201353</c:v>
                </c:pt>
                <c:pt idx="21">
                  <c:v>0.137907399961987</c:v>
                </c:pt>
                <c:pt idx="22">
                  <c:v>9.9076317792327895E-2</c:v>
                </c:pt>
                <c:pt idx="23">
                  <c:v>7.6771548896384309E-2</c:v>
                </c:pt>
                <c:pt idx="24">
                  <c:v>5.50331848909218E-2</c:v>
                </c:pt>
                <c:pt idx="25">
                  <c:v>4.1882891498532304E-2</c:v>
                </c:pt>
                <c:pt idx="26">
                  <c:v>2.6899076645389701E-2</c:v>
                </c:pt>
                <c:pt idx="27">
                  <c:v>2.8643066551244298E-2</c:v>
                </c:pt>
                <c:pt idx="28">
                  <c:v>1.8585382566350301E-2</c:v>
                </c:pt>
                <c:pt idx="29">
                  <c:v>1.6441050975567299E-2</c:v>
                </c:pt>
                <c:pt idx="30">
                  <c:v>1.6927265894710001E-2</c:v>
                </c:pt>
                <c:pt idx="31">
                  <c:v>5.5360201456173194E-3</c:v>
                </c:pt>
                <c:pt idx="32">
                  <c:v>5.5516744239331806E-3</c:v>
                </c:pt>
                <c:pt idx="33">
                  <c:v>1.2931474477337201E-2</c:v>
                </c:pt>
                <c:pt idx="34">
                  <c:v>8.6066661943624695E-3</c:v>
                </c:pt>
                <c:pt idx="35">
                  <c:v>7.3575980325581393E-3</c:v>
                </c:pt>
                <c:pt idx="36">
                  <c:v>2.8505374714209897E-3</c:v>
                </c:pt>
                <c:pt idx="37">
                  <c:v>-2.1838521820841201E-4</c:v>
                </c:pt>
                <c:pt idx="38">
                  <c:v>8.2348707294253292E-3</c:v>
                </c:pt>
                <c:pt idx="39">
                  <c:v>3.9663387236011597E-3</c:v>
                </c:pt>
                <c:pt idx="40">
                  <c:v>7.9785242352294391E-3</c:v>
                </c:pt>
                <c:pt idx="41">
                  <c:v>3.1396670372780401E-3</c:v>
                </c:pt>
                <c:pt idx="42">
                  <c:v>2.6118371468564702E-3</c:v>
                </c:pt>
                <c:pt idx="43">
                  <c:v>2.39128185473625E-3</c:v>
                </c:pt>
                <c:pt idx="44">
                  <c:v>1.2757458204968699E-3</c:v>
                </c:pt>
                <c:pt idx="45">
                  <c:v>3.5362804167817599E-3</c:v>
                </c:pt>
                <c:pt idx="46">
                  <c:v>-3.1346344649783998E-3</c:v>
                </c:pt>
                <c:pt idx="47">
                  <c:v>9.0828857896239103E-3</c:v>
                </c:pt>
                <c:pt idx="48">
                  <c:v>1.0538230552720001E-2</c:v>
                </c:pt>
                <c:pt idx="49">
                  <c:v>2.5859344138377399E-3</c:v>
                </c:pt>
                <c:pt idx="50">
                  <c:v>2.0336631835871899E-3</c:v>
                </c:pt>
                <c:pt idx="51">
                  <c:v>2.2949557971681501E-3</c:v>
                </c:pt>
                <c:pt idx="52">
                  <c:v>2.3936274802814103E-3</c:v>
                </c:pt>
                <c:pt idx="53">
                  <c:v>2.3043154567460099E-3</c:v>
                </c:pt>
                <c:pt idx="54">
                  <c:v>3.0385585864702198E-3</c:v>
                </c:pt>
                <c:pt idx="55">
                  <c:v>7.9515125832206497E-3</c:v>
                </c:pt>
                <c:pt idx="56">
                  <c:v>-1.1013052498209E-4</c:v>
                </c:pt>
                <c:pt idx="57">
                  <c:v>5.6947636442931599E-3</c:v>
                </c:pt>
                <c:pt idx="58">
                  <c:v>-2.2807198247528698E-3</c:v>
                </c:pt>
                <c:pt idx="59">
                  <c:v>-1.0788247514761E-4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FD-469F-B56D-E18AD0FAC5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47936640"/>
        <c:axId val="947961600"/>
      </c:lineChart>
      <c:catAx>
        <c:axId val="9479366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7961600"/>
        <c:crosses val="autoZero"/>
        <c:auto val="1"/>
        <c:lblAlgn val="ctr"/>
        <c:lblOffset val="100"/>
        <c:noMultiLvlLbl val="0"/>
      </c:catAx>
      <c:valAx>
        <c:axId val="947961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0"/>
                  <a:t>Population (Normalized)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7936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Infected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'All Models'!$H$1</c:f>
              <c:strCache>
                <c:ptCount val="1"/>
                <c:pt idx="0">
                  <c:v>1 Neuron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'All Models'!$H$2:$H$61</c:f>
              <c:numCache>
                <c:formatCode>General</c:formatCode>
                <c:ptCount val="60"/>
                <c:pt idx="0">
                  <c:v>0.15212836581249589</c:v>
                </c:pt>
                <c:pt idx="1">
                  <c:v>0.15264842653238037</c:v>
                </c:pt>
                <c:pt idx="2">
                  <c:v>0.1532814083081554</c:v>
                </c:pt>
                <c:pt idx="3">
                  <c:v>0.15404988062197011</c:v>
                </c:pt>
                <c:pt idx="4">
                  <c:v>0.15497998135529578</c:v>
                </c:pt>
                <c:pt idx="5">
                  <c:v>0.15610152498946042</c:v>
                </c:pt>
                <c:pt idx="6">
                  <c:v>0.15744786576706113</c:v>
                </c:pt>
                <c:pt idx="7">
                  <c:v>0.15905538874637254</c:v>
                </c:pt>
                <c:pt idx="8">
                  <c:v>0.16096247749389025</c:v>
                </c:pt>
                <c:pt idx="9">
                  <c:v>0.16320779868605623</c:v>
                </c:pt>
                <c:pt idx="10">
                  <c:v>0.16582776774027977</c:v>
                </c:pt>
                <c:pt idx="11">
                  <c:v>0.16885313627426274</c:v>
                </c:pt>
                <c:pt idx="12">
                  <c:v>0.1723047902518918</c:v>
                </c:pt>
                <c:pt idx="13">
                  <c:v>0.17618907207338338</c:v>
                </c:pt>
                <c:pt idx="14">
                  <c:v>0.18049321577890406</c:v>
                </c:pt>
                <c:pt idx="15">
                  <c:v>0.18518174345619667</c:v>
                </c:pt>
                <c:pt idx="16">
                  <c:v>0.19019480250615617</c:v>
                </c:pt>
                <c:pt idx="17">
                  <c:v>0.19544930718181797</c:v>
                </c:pt>
                <c:pt idx="18">
                  <c:v>0.20084331624328158</c:v>
                </c:pt>
                <c:pt idx="19">
                  <c:v>0.20626338491915749</c:v>
                </c:pt>
                <c:pt idx="20">
                  <c:v>0.21159387019491371</c:v>
                </c:pt>
                <c:pt idx="21">
                  <c:v>0.21672662071606646</c:v>
                </c:pt>
                <c:pt idx="22">
                  <c:v>0.22156937071394414</c:v>
                </c:pt>
                <c:pt idx="23">
                  <c:v>0.22605152917523211</c:v>
                </c:pt>
                <c:pt idx="24">
                  <c:v>0.23012675450796655</c:v>
                </c:pt>
                <c:pt idx="25">
                  <c:v>0.23377245955999584</c:v>
                </c:pt>
                <c:pt idx="26">
                  <c:v>0.23698695629775407</c:v>
                </c:pt>
                <c:pt idx="27">
                  <c:v>0.23978520447601573</c:v>
                </c:pt>
                <c:pt idx="28">
                  <c:v>0.24219409461637595</c:v>
                </c:pt>
                <c:pt idx="29">
                  <c:v>0.24424797835443773</c:v>
                </c:pt>
                <c:pt idx="30">
                  <c:v>0.24598487962099261</c:v>
                </c:pt>
                <c:pt idx="31">
                  <c:v>0.24744356719299135</c:v>
                </c:pt>
                <c:pt idx="32">
                  <c:v>0.24866148612890984</c:v>
                </c:pt>
                <c:pt idx="33">
                  <c:v>0.24967343876973397</c:v>
                </c:pt>
                <c:pt idx="34">
                  <c:v>0.25051086108873788</c:v>
                </c:pt>
                <c:pt idx="35">
                  <c:v>0.25120153652957283</c:v>
                </c:pt>
                <c:pt idx="36">
                  <c:v>0.25176960832454887</c:v>
                </c:pt>
                <c:pt idx="37">
                  <c:v>0.25223577904483008</c:v>
                </c:pt>
                <c:pt idx="38">
                  <c:v>0.25261761451922526</c:v>
                </c:pt>
                <c:pt idx="39">
                  <c:v>0.25292989409795175</c:v>
                </c:pt>
                <c:pt idx="40">
                  <c:v>0.25318496904163368</c:v>
                </c:pt>
                <c:pt idx="41">
                  <c:v>0.25339310559262462</c:v>
                </c:pt>
                <c:pt idx="42">
                  <c:v>0.25356279973642071</c:v>
                </c:pt>
                <c:pt idx="43">
                  <c:v>0.2537010576984769</c:v>
                </c:pt>
                <c:pt idx="44">
                  <c:v>0.25381364072363094</c:v>
                </c:pt>
                <c:pt idx="45">
                  <c:v>0.25390527538978963</c:v>
                </c:pt>
                <c:pt idx="46">
                  <c:v>0.2539798321888761</c:v>
                </c:pt>
                <c:pt idx="47">
                  <c:v>0.25404047578974637</c:v>
                </c:pt>
                <c:pt idx="48">
                  <c:v>0.25408979057957648</c:v>
                </c:pt>
                <c:pt idx="49">
                  <c:v>0.25412988496696798</c:v>
                </c:pt>
                <c:pt idx="50">
                  <c:v>0.25416247765729433</c:v>
                </c:pt>
                <c:pt idx="51">
                  <c:v>0.25418896876531522</c:v>
                </c:pt>
                <c:pt idx="52">
                  <c:v>0.2542104982650632</c:v>
                </c:pt>
                <c:pt idx="53">
                  <c:v>0.25422799392342404</c:v>
                </c:pt>
                <c:pt idx="54">
                  <c:v>0.25424221053818408</c:v>
                </c:pt>
                <c:pt idx="55">
                  <c:v>0.25425376201102268</c:v>
                </c:pt>
                <c:pt idx="56">
                  <c:v>0.25426314753288698</c:v>
                </c:pt>
                <c:pt idx="57">
                  <c:v>0.25427077294215022</c:v>
                </c:pt>
                <c:pt idx="58">
                  <c:v>0.25427696813200151</c:v>
                </c:pt>
                <c:pt idx="59">
                  <c:v>0.25428200122901057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60-4842-820E-C2BB90AC2E90}"/>
            </c:ext>
          </c:extLst>
        </c:ser>
        <c:ser>
          <c:idx val="2"/>
          <c:order val="1"/>
          <c:tx>
            <c:strRef>
              <c:f>'All Models'!$I$1</c:f>
              <c:strCache>
                <c:ptCount val="1"/>
                <c:pt idx="0">
                  <c:v>2 Neuron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'All Models'!$I$2:$I$61</c:f>
              <c:numCache>
                <c:formatCode>General</c:formatCode>
                <c:ptCount val="60"/>
                <c:pt idx="0">
                  <c:v>6.7954356590806508E-2</c:v>
                </c:pt>
                <c:pt idx="1">
                  <c:v>6.8380262669201164E-2</c:v>
                </c:pt>
                <c:pt idx="2">
                  <c:v>6.9016881838911415E-2</c:v>
                </c:pt>
                <c:pt idx="3">
                  <c:v>6.9966127156508406E-2</c:v>
                </c:pt>
                <c:pt idx="4">
                  <c:v>7.1377565850503144E-2</c:v>
                </c:pt>
                <c:pt idx="5">
                  <c:v>7.3469074005490853E-2</c:v>
                </c:pt>
                <c:pt idx="6">
                  <c:v>7.6554611213517809E-2</c:v>
                </c:pt>
                <c:pt idx="7">
                  <c:v>8.1079407718707142E-2</c:v>
                </c:pt>
                <c:pt idx="8">
                  <c:v>8.765991808489626E-2</c:v>
                </c:pt>
                <c:pt idx="9">
                  <c:v>9.7119240178764388E-2</c:v>
                </c:pt>
                <c:pt idx="10">
                  <c:v>0.11049620562373441</c:v>
                </c:pt>
                <c:pt idx="11">
                  <c:v>0.12898773121129081</c:v>
                </c:pt>
                <c:pt idx="12">
                  <c:v>0.15376686035897014</c:v>
                </c:pt>
                <c:pt idx="13">
                  <c:v>0.18562805246289615</c:v>
                </c:pt>
                <c:pt idx="14">
                  <c:v>0.22448836726382537</c:v>
                </c:pt>
                <c:pt idx="15">
                  <c:v>0.26893405763865763</c:v>
                </c:pt>
                <c:pt idx="16">
                  <c:v>0.31614635560468041</c:v>
                </c:pt>
                <c:pt idx="17">
                  <c:v>0.36244708277516979</c:v>
                </c:pt>
                <c:pt idx="18">
                  <c:v>0.4042982456634332</c:v>
                </c:pt>
                <c:pt idx="19">
                  <c:v>0.43921138582865793</c:v>
                </c:pt>
                <c:pt idx="20">
                  <c:v>0.46610123784084379</c:v>
                </c:pt>
                <c:pt idx="21">
                  <c:v>0.48506016790940265</c:v>
                </c:pt>
                <c:pt idx="22">
                  <c:v>0.49685914905856787</c:v>
                </c:pt>
                <c:pt idx="23">
                  <c:v>0.50248126399435522</c:v>
                </c:pt>
                <c:pt idx="24">
                  <c:v>0.50282494515573584</c:v>
                </c:pt>
                <c:pt idx="25">
                  <c:v>0.49857546208308579</c:v>
                </c:pt>
                <c:pt idx="26">
                  <c:v>0.49019109934882388</c:v>
                </c:pt>
                <c:pt idx="27">
                  <c:v>0.47795286668519199</c:v>
                </c:pt>
                <c:pt idx="28">
                  <c:v>0.46204442470697993</c:v>
                </c:pt>
                <c:pt idx="29">
                  <c:v>0.44264286159307087</c:v>
                </c:pt>
                <c:pt idx="30">
                  <c:v>0.42000665074420596</c:v>
                </c:pt>
                <c:pt idx="31">
                  <c:v>0.3945468875839433</c:v>
                </c:pt>
                <c:pt idx="32">
                  <c:v>0.3668664654759195</c:v>
                </c:pt>
                <c:pt idx="33">
                  <c:v>0.33775419197181655</c:v>
                </c:pt>
                <c:pt idx="34">
                  <c:v>0.30812992050871246</c:v>
                </c:pt>
                <c:pt idx="35">
                  <c:v>0.27895108204395713</c:v>
                </c:pt>
                <c:pt idx="36">
                  <c:v>0.25110433397545462</c:v>
                </c:pt>
                <c:pt idx="37">
                  <c:v>0.22531104976431537</c:v>
                </c:pt>
                <c:pt idx="38">
                  <c:v>0.20206896945586017</c:v>
                </c:pt>
                <c:pt idx="39">
                  <c:v>0.18163817785010217</c:v>
                </c:pt>
                <c:pt idx="40">
                  <c:v>0.16406521434696364</c:v>
                </c:pt>
                <c:pt idx="41">
                  <c:v>0.14923062113531183</c:v>
                </c:pt>
                <c:pt idx="42">
                  <c:v>0.13690410084219007</c:v>
                </c:pt>
                <c:pt idx="43">
                  <c:v>0.12679537216848225</c:v>
                </c:pt>
                <c:pt idx="44">
                  <c:v>0.11859435825370035</c:v>
                </c:pt>
                <c:pt idx="45">
                  <c:v>0.11199905079099848</c:v>
                </c:pt>
                <c:pt idx="46">
                  <c:v>0.10673231175858877</c:v>
                </c:pt>
                <c:pt idx="47">
                  <c:v>0.10255012910285766</c:v>
                </c:pt>
                <c:pt idx="48">
                  <c:v>9.9243988743796141E-2</c:v>
                </c:pt>
                <c:pt idx="49">
                  <c:v>9.6639616880364709E-2</c:v>
                </c:pt>
                <c:pt idx="50">
                  <c:v>9.459376672151798E-2</c:v>
                </c:pt>
                <c:pt idx="51">
                  <c:v>9.2990177498294191E-2</c:v>
                </c:pt>
                <c:pt idx="52">
                  <c:v>9.1735400989197746E-2</c:v>
                </c:pt>
                <c:pt idx="53">
                  <c:v>9.07548827284681E-2</c:v>
                </c:pt>
                <c:pt idx="54">
                  <c:v>8.998948256118533E-2</c:v>
                </c:pt>
                <c:pt idx="55">
                  <c:v>8.9392495363937119E-2</c:v>
                </c:pt>
                <c:pt idx="56">
                  <c:v>8.892716282845381E-2</c:v>
                </c:pt>
                <c:pt idx="57">
                  <c:v>8.8564631942793515E-2</c:v>
                </c:pt>
                <c:pt idx="58">
                  <c:v>8.8282301546040109E-2</c:v>
                </c:pt>
                <c:pt idx="59">
                  <c:v>8.8062496007899949E-2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360-4842-820E-C2BB90AC2E90}"/>
            </c:ext>
          </c:extLst>
        </c:ser>
        <c:ser>
          <c:idx val="3"/>
          <c:order val="2"/>
          <c:tx>
            <c:strRef>
              <c:f>'All Models'!$J$1</c:f>
              <c:strCache>
                <c:ptCount val="1"/>
                <c:pt idx="0">
                  <c:v>3 Neuron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'All Models'!$J$2:$J$61</c:f>
              <c:numCache>
                <c:formatCode>General</c:formatCode>
                <c:ptCount val="60"/>
                <c:pt idx="0">
                  <c:v>4.8729136503204984E-3</c:v>
                </c:pt>
                <c:pt idx="1">
                  <c:v>1.6692996635825352E-4</c:v>
                </c:pt>
                <c:pt idx="2">
                  <c:v>-2.8655483701527373E-3</c:v>
                </c:pt>
                <c:pt idx="3">
                  <c:v>-4.5133450773899852E-3</c:v>
                </c:pt>
                <c:pt idx="4">
                  <c:v>-4.1747001360938896E-3</c:v>
                </c:pt>
                <c:pt idx="5">
                  <c:v>-1.1278683536879441E-3</c:v>
                </c:pt>
                <c:pt idx="6">
                  <c:v>5.4578563726357388E-3</c:v>
                </c:pt>
                <c:pt idx="7">
                  <c:v>1.6492115155690712E-2</c:v>
                </c:pt>
                <c:pt idx="8">
                  <c:v>3.2906959904501321E-2</c:v>
                </c:pt>
                <c:pt idx="9">
                  <c:v>5.556834441242664E-2</c:v>
                </c:pt>
                <c:pt idx="10">
                  <c:v>8.515426622182698E-2</c:v>
                </c:pt>
                <c:pt idx="11">
                  <c:v>0.12200581665978216</c:v>
                </c:pt>
                <c:pt idx="12">
                  <c:v>0.16596832020280061</c:v>
                </c:pt>
                <c:pt idx="13">
                  <c:v>0.21625197821149289</c:v>
                </c:pt>
                <c:pt idx="14">
                  <c:v>0.27135073521600028</c:v>
                </c:pt>
                <c:pt idx="15">
                  <c:v>0.32905866117826732</c:v>
                </c:pt>
                <c:pt idx="16">
                  <c:v>0.38661002284647394</c:v>
                </c:pt>
                <c:pt idx="17">
                  <c:v>0.44094182829421991</c:v>
                </c:pt>
                <c:pt idx="18">
                  <c:v>0.48904249096345342</c:v>
                </c:pt>
                <c:pt idx="19">
                  <c:v>0.52832011809775592</c:v>
                </c:pt>
                <c:pt idx="20">
                  <c:v>0.55691227949613165</c:v>
                </c:pt>
                <c:pt idx="21">
                  <c:v>0.57387266083328026</c:v>
                </c:pt>
                <c:pt idx="22">
                  <c:v>0.57920414459359382</c:v>
                </c:pt>
                <c:pt idx="23">
                  <c:v>0.57374879517554156</c:v>
                </c:pt>
                <c:pt idx="24">
                  <c:v>0.55897748259282132</c:v>
                </c:pt>
                <c:pt idx="25">
                  <c:v>0.53673600292183643</c:v>
                </c:pt>
                <c:pt idx="26">
                  <c:v>0.50900020310028715</c:v>
                </c:pt>
                <c:pt idx="27">
                  <c:v>0.47767631545116807</c:v>
                </c:pt>
                <c:pt idx="28">
                  <c:v>0.44446300774307801</c:v>
                </c:pt>
                <c:pt idx="29">
                  <c:v>0.41077512306668496</c:v>
                </c:pt>
                <c:pt idx="30">
                  <c:v>0.37771871957883008</c:v>
                </c:pt>
                <c:pt idx="31">
                  <c:v>0.34610277835244219</c:v>
                </c:pt>
                <c:pt idx="32">
                  <c:v>0.31647314936328641</c:v>
                </c:pt>
                <c:pt idx="33">
                  <c:v>0.28915692587656672</c:v>
                </c:pt>
                <c:pt idx="34">
                  <c:v>0.26430884670891786</c:v>
                </c:pt>
                <c:pt idx="35">
                  <c:v>0.24195451853237415</c:v>
                </c:pt>
                <c:pt idx="36">
                  <c:v>0.22202776912746813</c:v>
                </c:pt>
                <c:pt idx="37">
                  <c:v>0.20440119451950345</c:v>
                </c:pt>
                <c:pt idx="38">
                  <c:v>0.18891004546447121</c:v>
                </c:pt>
                <c:pt idx="39">
                  <c:v>0.1753701766011293</c:v>
                </c:pt>
                <c:pt idx="40">
                  <c:v>0.16359101849683988</c:v>
                </c:pt>
                <c:pt idx="41">
                  <c:v>0.15338456188413474</c:v>
                </c:pt>
                <c:pt idx="42">
                  <c:v>0.14457126043358848</c:v>
                </c:pt>
                <c:pt idx="43">
                  <c:v>0.13698362623840765</c:v>
                </c:pt>
                <c:pt idx="44">
                  <c:v>0.13046814844374666</c:v>
                </c:pt>
                <c:pt idx="45">
                  <c:v>0.12488603041754409</c:v>
                </c:pt>
                <c:pt idx="46">
                  <c:v>0.12011312374778171</c:v>
                </c:pt>
                <c:pt idx="47">
                  <c:v>0.11603934086046053</c:v>
                </c:pt>
                <c:pt idx="48">
                  <c:v>0.11256775138594222</c:v>
                </c:pt>
                <c:pt idx="49">
                  <c:v>0.10961350814598347</c:v>
                </c:pt>
                <c:pt idx="50">
                  <c:v>0.10710270385055409</c:v>
                </c:pt>
                <c:pt idx="51">
                  <c:v>0.10497122639667822</c:v>
                </c:pt>
                <c:pt idx="52">
                  <c:v>0.10316365649122083</c:v>
                </c:pt>
                <c:pt idx="53">
                  <c:v>0.10163223403220911</c:v>
                </c:pt>
                <c:pt idx="54">
                  <c:v>0.10033590755505095</c:v>
                </c:pt>
                <c:pt idx="55">
                  <c:v>9.923947272995548E-2</c:v>
                </c:pt>
                <c:pt idx="56">
                  <c:v>9.8312800349393825E-2</c:v>
                </c:pt>
                <c:pt idx="57">
                  <c:v>9.7530150687669348E-2</c:v>
                </c:pt>
                <c:pt idx="58">
                  <c:v>9.6869568966875264E-2</c:v>
                </c:pt>
                <c:pt idx="59">
                  <c:v>9.6312355496433355E-2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360-4842-820E-C2BB90AC2E90}"/>
            </c:ext>
          </c:extLst>
        </c:ser>
        <c:ser>
          <c:idx val="4"/>
          <c:order val="3"/>
          <c:tx>
            <c:strRef>
              <c:f>'All Models'!$K$1</c:f>
              <c:strCache>
                <c:ptCount val="1"/>
                <c:pt idx="0">
                  <c:v>4 Neuron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'All Models'!$K$2:$K$61</c:f>
              <c:numCache>
                <c:formatCode>General</c:formatCode>
                <c:ptCount val="60"/>
                <c:pt idx="0">
                  <c:v>5.4198090572397106E-3</c:v>
                </c:pt>
                <c:pt idx="1">
                  <c:v>4.0622784857440308E-3</c:v>
                </c:pt>
                <c:pt idx="2">
                  <c:v>4.2112453982330322E-3</c:v>
                </c:pt>
                <c:pt idx="3">
                  <c:v>5.0046281905986589E-3</c:v>
                </c:pt>
                <c:pt idx="4">
                  <c:v>6.7739195599951785E-3</c:v>
                </c:pt>
                <c:pt idx="5">
                  <c:v>9.981786578076246E-3</c:v>
                </c:pt>
                <c:pt idx="6">
                  <c:v>1.525357068375488E-2</c:v>
                </c:pt>
                <c:pt idx="7">
                  <c:v>2.3409759634884786E-2</c:v>
                </c:pt>
                <c:pt idx="8">
                  <c:v>3.5484832190121551E-2</c:v>
                </c:pt>
                <c:pt idx="9">
                  <c:v>5.2711299570573189E-2</c:v>
                </c:pt>
                <c:pt idx="10">
                  <c:v>7.6436787749600832E-2</c:v>
                </c:pt>
                <c:pt idx="11">
                  <c:v>0.107935732219401</c:v>
                </c:pt>
                <c:pt idx="12">
                  <c:v>0.14808939471117988</c:v>
                </c:pt>
                <c:pt idx="13">
                  <c:v>0.19695667736159628</c:v>
                </c:pt>
                <c:pt idx="14">
                  <c:v>0.25334891427418604</c:v>
                </c:pt>
                <c:pt idx="15">
                  <c:v>0.31461556149795999</c:v>
                </c:pt>
                <c:pt idx="16">
                  <c:v>0.37685164204109523</c:v>
                </c:pt>
                <c:pt idx="17">
                  <c:v>0.43557475374718635</c:v>
                </c:pt>
                <c:pt idx="18">
                  <c:v>0.48665168886131038</c:v>
                </c:pt>
                <c:pt idx="19">
                  <c:v>0.52709054114264031</c:v>
                </c:pt>
                <c:pt idx="20">
                  <c:v>0.55540466523820076</c:v>
                </c:pt>
                <c:pt idx="21">
                  <c:v>0.57151487923390221</c:v>
                </c:pt>
                <c:pt idx="22">
                  <c:v>0.57636739912059465</c:v>
                </c:pt>
                <c:pt idx="23">
                  <c:v>0.5714891148882888</c:v>
                </c:pt>
                <c:pt idx="24">
                  <c:v>0.55862463871557111</c:v>
                </c:pt>
                <c:pt idx="25">
                  <c:v>0.53950115216401695</c:v>
                </c:pt>
                <c:pt idx="26">
                  <c:v>0.51570492936918377</c:v>
                </c:pt>
                <c:pt idx="27">
                  <c:v>0.48863245203310246</c:v>
                </c:pt>
                <c:pt idx="28">
                  <c:v>0.45948215262058234</c:v>
                </c:pt>
                <c:pt idx="29">
                  <c:v>0.42926392604804686</c:v>
                </c:pt>
                <c:pt idx="30">
                  <c:v>0.39881407283978909</c:v>
                </c:pt>
                <c:pt idx="31">
                  <c:v>0.36881052972599626</c:v>
                </c:pt>
                <c:pt idx="32">
                  <c:v>0.33978717560561122</c:v>
                </c:pt>
                <c:pt idx="33">
                  <c:v>0.31214762407497432</c:v>
                </c:pt>
                <c:pt idx="34">
                  <c:v>0.28617920535277719</c:v>
                </c:pt>
                <c:pt idx="35">
                  <c:v>0.26206753278110639</c:v>
                </c:pt>
                <c:pt idx="36">
                  <c:v>0.23991160204207063</c:v>
                </c:pt>
                <c:pt idx="37">
                  <c:v>0.21973902223659447</c:v>
                </c:pt>
                <c:pt idx="38">
                  <c:v>0.20152080891776336</c:v>
                </c:pt>
                <c:pt idx="39">
                  <c:v>0.18518516919570693</c:v>
                </c:pt>
                <c:pt idx="40">
                  <c:v>0.17062982484913203</c:v>
                </c:pt>
                <c:pt idx="41">
                  <c:v>0.1577325898187345</c:v>
                </c:pt>
                <c:pt idx="42">
                  <c:v>0.1463600936184255</c:v>
                </c:pt>
                <c:pt idx="43">
                  <c:v>0.1363746903993599</c:v>
                </c:pt>
                <c:pt idx="44">
                  <c:v>0.1276397003260632</c:v>
                </c:pt>
                <c:pt idx="45">
                  <c:v>0.12002319409468321</c:v>
                </c:pt>
                <c:pt idx="46">
                  <c:v>0.11340055892419798</c:v>
                </c:pt>
                <c:pt idx="47">
                  <c:v>0.10765608443387542</c:v>
                </c:pt>
                <c:pt idx="48">
                  <c:v>0.10268378894426888</c:v>
                </c:pt>
                <c:pt idx="49">
                  <c:v>9.8387678966823877E-2</c:v>
                </c:pt>
                <c:pt idx="50">
                  <c:v>9.4681603044632467E-2</c:v>
                </c:pt>
                <c:pt idx="51">
                  <c:v>9.1488829761503077E-2</c:v>
                </c:pt>
                <c:pt idx="52">
                  <c:v>8.8741451080859513E-2</c:v>
                </c:pt>
                <c:pt idx="53">
                  <c:v>8.6379687406640926E-2</c:v>
                </c:pt>
                <c:pt idx="54">
                  <c:v>8.4351150232516048E-2</c:v>
                </c:pt>
                <c:pt idx="55">
                  <c:v>8.2610101805980385E-2</c:v>
                </c:pt>
                <c:pt idx="56">
                  <c:v>8.1116738445524916E-2</c:v>
                </c:pt>
                <c:pt idx="57">
                  <c:v>7.983651446262563E-2</c:v>
                </c:pt>
                <c:pt idx="58">
                  <c:v>7.8739516490976769E-2</c:v>
                </c:pt>
                <c:pt idx="59">
                  <c:v>7.7799892890181965E-2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60-4842-820E-C2BB90AC2E90}"/>
            </c:ext>
          </c:extLst>
        </c:ser>
        <c:ser>
          <c:idx val="5"/>
          <c:order val="4"/>
          <c:tx>
            <c:strRef>
              <c:f>'All Models'!$L$1</c:f>
              <c:strCache>
                <c:ptCount val="1"/>
                <c:pt idx="0">
                  <c:v>5 Neuron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'All Models'!$L$2:$L$61</c:f>
              <c:numCache>
                <c:formatCode>General</c:formatCode>
                <c:ptCount val="60"/>
                <c:pt idx="0">
                  <c:v>1.2216910041603746E-2</c:v>
                </c:pt>
                <c:pt idx="1">
                  <c:v>3.3014248696228155E-4</c:v>
                </c:pt>
                <c:pt idx="2">
                  <c:v>-5.5609291354277168E-3</c:v>
                </c:pt>
                <c:pt idx="3">
                  <c:v>-5.6903993722345336E-3</c:v>
                </c:pt>
                <c:pt idx="4">
                  <c:v>-1.1714148649175637E-3</c:v>
                </c:pt>
                <c:pt idx="5">
                  <c:v>6.2778568243124083E-3</c:v>
                </c:pt>
                <c:pt idx="6">
                  <c:v>1.4970709675795946E-2</c:v>
                </c:pt>
                <c:pt idx="7">
                  <c:v>2.4053856297836407E-2</c:v>
                </c:pt>
                <c:pt idx="8">
                  <c:v>3.4133601634057209E-2</c:v>
                </c:pt>
                <c:pt idx="9">
                  <c:v>4.7422336163740142E-2</c:v>
                </c:pt>
                <c:pt idx="10">
                  <c:v>6.728860464690134E-2</c:v>
                </c:pt>
                <c:pt idx="11">
                  <c:v>9.7299731075321971E-2</c:v>
                </c:pt>
                <c:pt idx="12">
                  <c:v>0.13998978285384545</c:v>
                </c:pt>
                <c:pt idx="13">
                  <c:v>0.19569269730131933</c:v>
                </c:pt>
                <c:pt idx="14">
                  <c:v>0.2618696613742485</c:v>
                </c:pt>
                <c:pt idx="15">
                  <c:v>0.33332303644567862</c:v>
                </c:pt>
                <c:pt idx="16">
                  <c:v>0.4033755689413091</c:v>
                </c:pt>
                <c:pt idx="17">
                  <c:v>0.46558321575636852</c:v>
                </c:pt>
                <c:pt idx="18">
                  <c:v>0.51522919406526002</c:v>
                </c:pt>
                <c:pt idx="19">
                  <c:v>0.55002267632319246</c:v>
                </c:pt>
                <c:pt idx="20">
                  <c:v>0.56993624213888039</c:v>
                </c:pt>
                <c:pt idx="21">
                  <c:v>0.57652478362033066</c:v>
                </c:pt>
                <c:pt idx="22">
                  <c:v>0.57214474906435475</c:v>
                </c:pt>
                <c:pt idx="23">
                  <c:v>0.55933717408439176</c:v>
                </c:pt>
                <c:pt idx="24">
                  <c:v>0.54045077848250833</c:v>
                </c:pt>
                <c:pt idx="25">
                  <c:v>0.51746898413319098</c:v>
                </c:pt>
                <c:pt idx="26">
                  <c:v>0.49197015692079138</c:v>
                </c:pt>
                <c:pt idx="27">
                  <c:v>0.46515837803415527</c:v>
                </c:pt>
                <c:pt idx="28">
                  <c:v>0.43792263019400202</c:v>
                </c:pt>
                <c:pt idx="29">
                  <c:v>0.41090084162453067</c:v>
                </c:pt>
                <c:pt idx="30">
                  <c:v>0.38453779273774213</c:v>
                </c:pt>
                <c:pt idx="31">
                  <c:v>0.35913308613943151</c:v>
                </c:pt>
                <c:pt idx="32">
                  <c:v>0.33487895966355063</c:v>
                </c:pt>
                <c:pt idx="33">
                  <c:v>0.31188921095935385</c:v>
                </c:pt>
                <c:pt idx="34">
                  <c:v>0.29022091689508289</c:v>
                </c:pt>
                <c:pt idx="35">
                  <c:v>0.26989055968132702</c:v>
                </c:pt>
                <c:pt idx="36">
                  <c:v>0.25088592169604129</c:v>
                </c:pt>
                <c:pt idx="37">
                  <c:v>0.23317482833613168</c:v>
                </c:pt>
                <c:pt idx="38">
                  <c:v>0.21671156324212104</c:v>
                </c:pt>
                <c:pt idx="39">
                  <c:v>0.20144157168941268</c:v>
                </c:pt>
                <c:pt idx="40">
                  <c:v>0.18730490610813155</c:v>
                </c:pt>
                <c:pt idx="41">
                  <c:v>0.17423874596645716</c:v>
                </c:pt>
                <c:pt idx="42">
                  <c:v>0.16217923442418947</c:v>
                </c:pt>
                <c:pt idx="43">
                  <c:v>0.151062808639993</c:v>
                </c:pt>
                <c:pt idx="44">
                  <c:v>0.14082715313132832</c:v>
                </c:pt>
                <c:pt idx="45">
                  <c:v>0.13141187127012643</c:v>
                </c:pt>
                <c:pt idx="46">
                  <c:v>0.12275894519472197</c:v>
                </c:pt>
                <c:pt idx="47">
                  <c:v>0.11481303644685692</c:v>
                </c:pt>
                <c:pt idx="48">
                  <c:v>0.10752166656120887</c:v>
                </c:pt>
                <c:pt idx="49">
                  <c:v>0.10083530725315004</c:v>
                </c:pt>
                <c:pt idx="50">
                  <c:v>9.4707402777914673E-2</c:v>
                </c:pt>
                <c:pt idx="51">
                  <c:v>8.9094341767681495E-2</c:v>
                </c:pt>
                <c:pt idx="52">
                  <c:v>8.3955391893602238E-2</c:v>
                </c:pt>
                <c:pt idx="53">
                  <c:v>7.9252607693418575E-2</c:v>
                </c:pt>
                <c:pt idx="54">
                  <c:v>7.4950719600264559E-2</c:v>
                </c:pt>
                <c:pt idx="55">
                  <c:v>7.1017010424251792E-2</c:v>
                </c:pt>
                <c:pt idx="56">
                  <c:v>6.7421184146080781E-2</c:v>
                </c:pt>
                <c:pt idx="57">
                  <c:v>6.4135230787218722E-2</c:v>
                </c:pt>
                <c:pt idx="58">
                  <c:v>6.1133290255311001E-2</c:v>
                </c:pt>
                <c:pt idx="59">
                  <c:v>5.8391517375620872E-2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60-4842-820E-C2BB90AC2E90}"/>
            </c:ext>
          </c:extLst>
        </c:ser>
        <c:ser>
          <c:idx val="0"/>
          <c:order val="5"/>
          <c:tx>
            <c:strRef>
              <c:f>'All Models'!$G$1</c:f>
              <c:strCache>
                <c:ptCount val="1"/>
                <c:pt idx="0">
                  <c:v>Real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'All Models'!$G$2:$G$61</c:f>
              <c:numCache>
                <c:formatCode>General</c:formatCode>
                <c:ptCount val="60"/>
                <c:pt idx="0">
                  <c:v>-5.1644142064485399E-4</c:v>
                </c:pt>
                <c:pt idx="1">
                  <c:v>2.1639113228485896E-3</c:v>
                </c:pt>
                <c:pt idx="2">
                  <c:v>3.31005964809079E-3</c:v>
                </c:pt>
                <c:pt idx="3">
                  <c:v>1.5165637719900501E-3</c:v>
                </c:pt>
                <c:pt idx="4">
                  <c:v>2.0051112150917699E-3</c:v>
                </c:pt>
                <c:pt idx="5">
                  <c:v>5.7859344004262394E-3</c:v>
                </c:pt>
                <c:pt idx="6">
                  <c:v>1.2651330839959601E-2</c:v>
                </c:pt>
                <c:pt idx="7">
                  <c:v>2.03539996715329E-2</c:v>
                </c:pt>
                <c:pt idx="8">
                  <c:v>3.3533967396357001E-2</c:v>
                </c:pt>
                <c:pt idx="9">
                  <c:v>4.7496166004264602E-2</c:v>
                </c:pt>
                <c:pt idx="10">
                  <c:v>6.7597221336325009E-2</c:v>
                </c:pt>
                <c:pt idx="11">
                  <c:v>9.5969397639399309E-2</c:v>
                </c:pt>
                <c:pt idx="12">
                  <c:v>0.139820372745182</c:v>
                </c:pt>
                <c:pt idx="13">
                  <c:v>0.19576330278256401</c:v>
                </c:pt>
                <c:pt idx="14">
                  <c:v>0.25894601239861498</c:v>
                </c:pt>
                <c:pt idx="15">
                  <c:v>0.33076845698165103</c:v>
                </c:pt>
                <c:pt idx="16">
                  <c:v>0.40789980280525601</c:v>
                </c:pt>
                <c:pt idx="17">
                  <c:v>0.47372642816447597</c:v>
                </c:pt>
                <c:pt idx="18">
                  <c:v>0.52750319456345507</c:v>
                </c:pt>
                <c:pt idx="19">
                  <c:v>0.55793614971574401</c:v>
                </c:pt>
                <c:pt idx="20">
                  <c:v>0.5772776209197521</c:v>
                </c:pt>
                <c:pt idx="21">
                  <c:v>0.57947852857229998</c:v>
                </c:pt>
                <c:pt idx="22">
                  <c:v>0.57261055388682602</c:v>
                </c:pt>
                <c:pt idx="23">
                  <c:v>0.554625055849157</c:v>
                </c:pt>
                <c:pt idx="24">
                  <c:v>0.53385373128166391</c:v>
                </c:pt>
                <c:pt idx="25">
                  <c:v>0.51004856673586696</c:v>
                </c:pt>
                <c:pt idx="26">
                  <c:v>0.48054748715594703</c:v>
                </c:pt>
                <c:pt idx="27">
                  <c:v>0.45621581041098197</c:v>
                </c:pt>
                <c:pt idx="28">
                  <c:v>0.43462182741029998</c:v>
                </c:pt>
                <c:pt idx="29">
                  <c:v>0.40770546813070097</c:v>
                </c:pt>
                <c:pt idx="30">
                  <c:v>0.38076372682378795</c:v>
                </c:pt>
                <c:pt idx="31">
                  <c:v>0.35516465630493699</c:v>
                </c:pt>
                <c:pt idx="32">
                  <c:v>0.33275256354035898</c:v>
                </c:pt>
                <c:pt idx="33">
                  <c:v>0.31162242112024097</c:v>
                </c:pt>
                <c:pt idx="34">
                  <c:v>0.29035002727487702</c:v>
                </c:pt>
                <c:pt idx="35">
                  <c:v>0.272509543831852</c:v>
                </c:pt>
                <c:pt idx="36">
                  <c:v>0.25622929206750999</c:v>
                </c:pt>
                <c:pt idx="37">
                  <c:v>0.23591031536785101</c:v>
                </c:pt>
                <c:pt idx="38">
                  <c:v>0.22078107592961702</c:v>
                </c:pt>
                <c:pt idx="39">
                  <c:v>0.204823212440885</c:v>
                </c:pt>
                <c:pt idx="40">
                  <c:v>0.19286137258476199</c:v>
                </c:pt>
                <c:pt idx="41">
                  <c:v>0.17630438116484701</c:v>
                </c:pt>
                <c:pt idx="42">
                  <c:v>0.16677826328596299</c:v>
                </c:pt>
                <c:pt idx="43">
                  <c:v>0.157909899247861</c:v>
                </c:pt>
                <c:pt idx="44">
                  <c:v>0.14923463373831</c:v>
                </c:pt>
                <c:pt idx="45">
                  <c:v>0.135577127775768</c:v>
                </c:pt>
                <c:pt idx="46">
                  <c:v>0.125187367886479</c:v>
                </c:pt>
                <c:pt idx="47">
                  <c:v>0.11564560923284699</c:v>
                </c:pt>
                <c:pt idx="48">
                  <c:v>0.111612530534534</c:v>
                </c:pt>
                <c:pt idx="49">
                  <c:v>0.10342211054485</c:v>
                </c:pt>
                <c:pt idx="50">
                  <c:v>9.4972241588527101E-2</c:v>
                </c:pt>
                <c:pt idx="51">
                  <c:v>8.7440881600336293E-2</c:v>
                </c:pt>
                <c:pt idx="52">
                  <c:v>8.3053244128702103E-2</c:v>
                </c:pt>
                <c:pt idx="53">
                  <c:v>7.8073186837302994E-2</c:v>
                </c:pt>
                <c:pt idx="54">
                  <c:v>7.1018266657233403E-2</c:v>
                </c:pt>
                <c:pt idx="55">
                  <c:v>6.6968684958737701E-2</c:v>
                </c:pt>
                <c:pt idx="56">
                  <c:v>6.18422691296922E-2</c:v>
                </c:pt>
                <c:pt idx="57">
                  <c:v>6.0470398956274998E-2</c:v>
                </c:pt>
                <c:pt idx="58">
                  <c:v>5.4975808919005206E-2</c:v>
                </c:pt>
                <c:pt idx="59">
                  <c:v>5.3596926243307502E-2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60-4842-820E-C2BB90AC2E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1169040"/>
        <c:axId val="1041175760"/>
      </c:lineChart>
      <c:catAx>
        <c:axId val="10411690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175760"/>
        <c:crosses val="autoZero"/>
        <c:auto val="1"/>
        <c:lblAlgn val="ctr"/>
        <c:lblOffset val="100"/>
        <c:noMultiLvlLbl val="0"/>
      </c:catAx>
      <c:valAx>
        <c:axId val="1041175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Population (Normalized)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169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Recovered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'All Models'!$N$1</c:f>
              <c:strCache>
                <c:ptCount val="1"/>
                <c:pt idx="0">
                  <c:v>1 Neuron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'All Models'!$N$2:$N$61</c:f>
              <c:numCache>
                <c:formatCode>General</c:formatCode>
                <c:ptCount val="60"/>
                <c:pt idx="0">
                  <c:v>-0.12346379366297278</c:v>
                </c:pt>
                <c:pt idx="1">
                  <c:v>-0.11880056115172349</c:v>
                </c:pt>
                <c:pt idx="2">
                  <c:v>-0.11312479852831619</c:v>
                </c:pt>
                <c:pt idx="3">
                  <c:v>-0.10623413184121888</c:v>
                </c:pt>
                <c:pt idx="4">
                  <c:v>-9.7894190344878507E-2</c:v>
                </c:pt>
                <c:pt idx="5">
                  <c:v>-8.7837636297145361E-2</c:v>
                </c:pt>
                <c:pt idx="6">
                  <c:v>-7.5765391950902428E-2</c:v>
                </c:pt>
                <c:pt idx="7">
                  <c:v>-6.1351203120470044E-2</c:v>
                </c:pt>
                <c:pt idx="8">
                  <c:v>-4.4250895580923544E-2</c:v>
                </c:pt>
                <c:pt idx="9">
                  <c:v>-2.4117756543175051E-2</c:v>
                </c:pt>
                <c:pt idx="10">
                  <c:v>-6.2525960005577197E-4</c:v>
                </c:pt>
                <c:pt idx="11">
                  <c:v>2.6502336018613959E-2</c:v>
                </c:pt>
                <c:pt idx="12">
                  <c:v>5.7452308648037909E-2</c:v>
                </c:pt>
                <c:pt idx="13">
                  <c:v>9.2281528737680973E-2</c:v>
                </c:pt>
                <c:pt idx="14">
                  <c:v>0.13087552765598426</c:v>
                </c:pt>
                <c:pt idx="15">
                  <c:v>0.17291618533053468</c:v>
                </c:pt>
                <c:pt idx="16">
                  <c:v>0.21786682099434132</c:v>
                </c:pt>
                <c:pt idx="17">
                  <c:v>0.26498242903238151</c:v>
                </c:pt>
                <c:pt idx="18">
                  <c:v>0.3133489321341319</c:v>
                </c:pt>
                <c:pt idx="19">
                  <c:v>0.36194910418358683</c:v>
                </c:pt>
                <c:pt idx="20">
                  <c:v>0.4097460080608194</c:v>
                </c:pt>
                <c:pt idx="21">
                  <c:v>0.45576988217245895</c:v>
                </c:pt>
                <c:pt idx="22">
                  <c:v>0.49919340633127729</c:v>
                </c:pt>
                <c:pt idx="23">
                  <c:v>0.53938361154787684</c:v>
                </c:pt>
                <c:pt idx="24">
                  <c:v>0.57592496630832823</c:v>
                </c:pt>
                <c:pt idx="25">
                  <c:v>0.60861493821934987</c:v>
                </c:pt>
                <c:pt idx="26">
                  <c:v>0.63743839117720658</c:v>
                </c:pt>
                <c:pt idx="27">
                  <c:v>0.66252946493165732</c:v>
                </c:pt>
                <c:pt idx="28">
                  <c:v>0.68412927893232101</c:v>
                </c:pt>
                <c:pt idx="29">
                  <c:v>0.70254585425795546</c:v>
                </c:pt>
                <c:pt idx="30">
                  <c:v>0.71812014038521399</c:v>
                </c:pt>
                <c:pt idx="31">
                  <c:v>0.73119976560861288</c:v>
                </c:pt>
                <c:pt idx="32">
                  <c:v>0.74212048882589987</c:v>
                </c:pt>
                <c:pt idx="33">
                  <c:v>0.75119437245930332</c:v>
                </c:pt>
                <c:pt idx="34">
                  <c:v>0.75870329369544753</c:v>
                </c:pt>
                <c:pt idx="35">
                  <c:v>0.76489637855511239</c:v>
                </c:pt>
                <c:pt idx="36">
                  <c:v>0.76999011234766723</c:v>
                </c:pt>
                <c:pt idx="37">
                  <c:v>0.77417012897936166</c:v>
                </c:pt>
                <c:pt idx="38">
                  <c:v>0.77759393610431338</c:v>
                </c:pt>
                <c:pt idx="39">
                  <c:v>0.78039405583733201</c:v>
                </c:pt>
                <c:pt idx="40">
                  <c:v>0.78268123832334435</c:v>
                </c:pt>
                <c:pt idx="41">
                  <c:v>0.78454753795769483</c:v>
                </c:pt>
                <c:pt idx="42">
                  <c:v>0.78606913575976334</c:v>
                </c:pt>
                <c:pt idx="43">
                  <c:v>0.78730885450595678</c:v>
                </c:pt>
                <c:pt idx="44">
                  <c:v>0.78831835359527413</c:v>
                </c:pt>
                <c:pt idx="45">
                  <c:v>0.78914001487067975</c:v>
                </c:pt>
                <c:pt idx="46">
                  <c:v>0.78980854390227417</c:v>
                </c:pt>
                <c:pt idx="47">
                  <c:v>0.7903523173509599</c:v>
                </c:pt>
                <c:pt idx="48">
                  <c:v>0.79079450866137524</c:v>
                </c:pt>
                <c:pt idx="49">
                  <c:v>0.79115402331736373</c:v>
                </c:pt>
                <c:pt idx="50">
                  <c:v>0.79144627244779753</c:v>
                </c:pt>
                <c:pt idx="51">
                  <c:v>0.7916838104726065</c:v>
                </c:pt>
                <c:pt idx="52">
                  <c:v>0.79187685920583539</c:v>
                </c:pt>
                <c:pt idx="53">
                  <c:v>0.79203373766205099</c:v>
                </c:pt>
                <c:pt idx="54">
                  <c:v>0.7921612138924492</c:v>
                </c:pt>
                <c:pt idx="55">
                  <c:v>0.79226479257400317</c:v>
                </c:pt>
                <c:pt idx="56">
                  <c:v>0.79234894980607118</c:v>
                </c:pt>
                <c:pt idx="57">
                  <c:v>0.79241732462275749</c:v>
                </c:pt>
                <c:pt idx="58">
                  <c:v>0.79247287507989306</c:v>
                </c:pt>
                <c:pt idx="59">
                  <c:v>0.79251800539008077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79-4078-8F46-C8CC0666EDE7}"/>
            </c:ext>
          </c:extLst>
        </c:ser>
        <c:ser>
          <c:idx val="2"/>
          <c:order val="1"/>
          <c:tx>
            <c:strRef>
              <c:f>'All Models'!$O$1</c:f>
              <c:strCache>
                <c:ptCount val="1"/>
                <c:pt idx="0">
                  <c:v>2 Neuron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'All Models'!$O$2:$O$61</c:f>
              <c:numCache>
                <c:formatCode>General</c:formatCode>
                <c:ptCount val="60"/>
                <c:pt idx="0">
                  <c:v>-7.2845646407314391E-2</c:v>
                </c:pt>
                <c:pt idx="1">
                  <c:v>-7.235841873247395E-2</c:v>
                </c:pt>
                <c:pt idx="2">
                  <c:v>-7.1642962130842536E-2</c:v>
                </c:pt>
                <c:pt idx="3">
                  <c:v>-7.0592364549533437E-2</c:v>
                </c:pt>
                <c:pt idx="4">
                  <c:v>-6.9050635804051241E-2</c:v>
                </c:pt>
                <c:pt idx="5">
                  <c:v>-6.6791649073631554E-2</c:v>
                </c:pt>
                <c:pt idx="6">
                  <c:v>-6.3490849080469758E-2</c:v>
                </c:pt>
                <c:pt idx="7">
                  <c:v>-5.8689403375861815E-2</c:v>
                </c:pt>
                <c:pt idx="8">
                  <c:v>-5.1753403649025476E-2</c:v>
                </c:pt>
                <c:pt idx="9">
                  <c:v>-4.1837369480479225E-2</c:v>
                </c:pt>
                <c:pt idx="10">
                  <c:v>-2.7873788001664845E-2</c:v>
                </c:pt>
                <c:pt idx="11">
                  <c:v>-8.629026169817422E-3</c:v>
                </c:pt>
                <c:pt idx="12">
                  <c:v>1.7116902075178686E-2</c:v>
                </c:pt>
                <c:pt idx="13">
                  <c:v>5.0218375446110297E-2</c:v>
                </c:pt>
                <c:pt idx="14">
                  <c:v>9.0668775962887249E-2</c:v>
                </c:pt>
                <c:pt idx="15">
                  <c:v>0.13715130833596101</c:v>
                </c:pt>
                <c:pt idx="16">
                  <c:v>0.18696993094653358</c:v>
                </c:pt>
                <c:pt idx="17">
                  <c:v>0.23660111600028921</c:v>
                </c:pt>
                <c:pt idx="18">
                  <c:v>0.28270060919294515</c:v>
                </c:pt>
                <c:pt idx="19">
                  <c:v>0.32302081912023883</c:v>
                </c:pt>
                <c:pt idx="20">
                  <c:v>0.35677298650013123</c:v>
                </c:pt>
                <c:pt idx="21">
                  <c:v>0.38440977558081357</c:v>
                </c:pt>
                <c:pt idx="22">
                  <c:v>0.40713256700470035</c:v>
                </c:pt>
                <c:pt idx="23">
                  <c:v>0.4264270667238601</c:v>
                </c:pt>
                <c:pt idx="24">
                  <c:v>0.44376094145877198</c:v>
                </c:pt>
                <c:pt idx="25">
                  <c:v>0.46043732780555269</c:v>
                </c:pt>
                <c:pt idx="26">
                  <c:v>0.47754523562236351</c:v>
                </c:pt>
                <c:pt idx="27">
                  <c:v>0.49595072356432612</c:v>
                </c:pt>
                <c:pt idx="28">
                  <c:v>0.5162933918337369</c:v>
                </c:pt>
                <c:pt idx="29">
                  <c:v>0.53897297879104156</c:v>
                </c:pt>
                <c:pt idx="30">
                  <c:v>0.56412641339163416</c:v>
                </c:pt>
                <c:pt idx="31">
                  <c:v>0.59160670929978365</c:v>
                </c:pt>
                <c:pt idx="32">
                  <c:v>0.62098104018929057</c:v>
                </c:pt>
                <c:pt idx="33">
                  <c:v>0.6515642365237051</c:v>
                </c:pt>
                <c:pt idx="34">
                  <c:v>0.68249455445236085</c:v>
                </c:pt>
                <c:pt idx="35">
                  <c:v>0.71284332267421568</c:v>
                </c:pt>
                <c:pt idx="36">
                  <c:v>0.74173576710645484</c:v>
                </c:pt>
                <c:pt idx="37">
                  <c:v>0.76845466851330868</c:v>
                </c:pt>
                <c:pt idx="38">
                  <c:v>0.79250473796508758</c:v>
                </c:pt>
                <c:pt idx="39">
                  <c:v>0.81362991742269752</c:v>
                </c:pt>
                <c:pt idx="40">
                  <c:v>0.83179043027514377</c:v>
                </c:pt>
                <c:pt idx="41">
                  <c:v>0.84711503366780194</c:v>
                </c:pt>
                <c:pt idx="42">
                  <c:v>0.85984500082869753</c:v>
                </c:pt>
                <c:pt idx="43">
                  <c:v>0.87028225608386944</c:v>
                </c:pt>
                <c:pt idx="44">
                  <c:v>0.87874832044933915</c:v>
                </c:pt>
                <c:pt idx="45">
                  <c:v>0.88555583938212523</c:v>
                </c:pt>
                <c:pt idx="46">
                  <c:v>0.89099143335113484</c:v>
                </c:pt>
                <c:pt idx="47">
                  <c:v>0.89530730425120408</c:v>
                </c:pt>
                <c:pt idx="48">
                  <c:v>0.89871887078626411</c:v>
                </c:pt>
                <c:pt idx="49">
                  <c:v>0.90140612092418149</c:v>
                </c:pt>
                <c:pt idx="50">
                  <c:v>0.90351696338831777</c:v>
                </c:pt>
                <c:pt idx="51">
                  <c:v>0.90517142075057344</c:v>
                </c:pt>
                <c:pt idx="52">
                  <c:v>0.90646595099753591</c:v>
                </c:pt>
                <c:pt idx="53">
                  <c:v>0.90747750089686652</c:v>
                </c:pt>
                <c:pt idx="54">
                  <c:v>0.90826710249245091</c:v>
                </c:pt>
                <c:pt idx="55">
                  <c:v>0.90888295120889673</c:v>
                </c:pt>
                <c:pt idx="56">
                  <c:v>0.90936297577023284</c:v>
                </c:pt>
                <c:pt idx="57">
                  <c:v>0.90973694624276624</c:v>
                </c:pt>
                <c:pt idx="58">
                  <c:v>0.91002818103956651</c:v>
                </c:pt>
                <c:pt idx="59">
                  <c:v>0.91025491600080977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379-4078-8F46-C8CC0666EDE7}"/>
            </c:ext>
          </c:extLst>
        </c:ser>
        <c:ser>
          <c:idx val="3"/>
          <c:order val="2"/>
          <c:tx>
            <c:strRef>
              <c:f>'All Models'!$P$1</c:f>
              <c:strCache>
                <c:ptCount val="1"/>
                <c:pt idx="0">
                  <c:v>3 Neuron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'All Models'!$P$2:$P$61</c:f>
              <c:numCache>
                <c:formatCode>General</c:formatCode>
                <c:ptCount val="60"/>
                <c:pt idx="0">
                  <c:v>-5.7226901292854127E-2</c:v>
                </c:pt>
                <c:pt idx="1">
                  <c:v>-4.8167403784310725E-2</c:v>
                </c:pt>
                <c:pt idx="2">
                  <c:v>-3.7509063186687008E-2</c:v>
                </c:pt>
                <c:pt idx="3">
                  <c:v>-2.6102976967763869E-2</c:v>
                </c:pt>
                <c:pt idx="4">
                  <c:v>-1.4075703345939328E-2</c:v>
                </c:pt>
                <c:pt idx="5">
                  <c:v>-1.6076070614650106E-3</c:v>
                </c:pt>
                <c:pt idx="6">
                  <c:v>1.1066721629746645E-2</c:v>
                </c:pt>
                <c:pt idx="7">
                  <c:v>2.3667217887401115E-2</c:v>
                </c:pt>
                <c:pt idx="8">
                  <c:v>3.5889223232954848E-2</c:v>
                </c:pt>
                <c:pt idx="9">
                  <c:v>4.7439522935742495E-2</c:v>
                </c:pt>
                <c:pt idx="10">
                  <c:v>5.8088574614095112E-2</c:v>
                </c:pt>
                <c:pt idx="11">
                  <c:v>6.7736101756909139E-2</c:v>
                </c:pt>
                <c:pt idx="12">
                  <c:v>7.6481575572400207E-2</c:v>
                </c:pt>
                <c:pt idx="13">
                  <c:v>8.4684736584996756E-2</c:v>
                </c:pt>
                <c:pt idx="14">
                  <c:v>9.2996530051546289E-2</c:v>
                </c:pt>
                <c:pt idx="15">
                  <c:v>0.10234081965098385</c:v>
                </c:pt>
                <c:pt idx="16">
                  <c:v>0.11383467589452545</c:v>
                </c:pt>
                <c:pt idx="17">
                  <c:v>0.1286500688087493</c:v>
                </c:pt>
                <c:pt idx="18">
                  <c:v>0.14783859149682099</c:v>
                </c:pt>
                <c:pt idx="19">
                  <c:v>0.17215617046023812</c:v>
                </c:pt>
                <c:pt idx="20">
                  <c:v>0.20192918687819317</c:v>
                </c:pt>
                <c:pt idx="21">
                  <c:v>0.2369937947705365</c:v>
                </c:pt>
                <c:pt idx="22">
                  <c:v>0.27671977504719436</c:v>
                </c:pt>
                <c:pt idx="23">
                  <c:v>0.32010731940716752</c:v>
                </c:pt>
                <c:pt idx="24">
                  <c:v>0.36592847056687638</c:v>
                </c:pt>
                <c:pt idx="25">
                  <c:v>0.41287940277066415</c:v>
                </c:pt>
                <c:pt idx="26">
                  <c:v>0.4597147163333748</c:v>
                </c:pt>
                <c:pt idx="27">
                  <c:v>0.50534605161919544</c:v>
                </c:pt>
                <c:pt idx="28">
                  <c:v>0.54889940599394826</c:v>
                </c:pt>
                <c:pt idx="29">
                  <c:v>0.58973487865950069</c:v>
                </c:pt>
                <c:pt idx="30">
                  <c:v>0.62743776368013027</c:v>
                </c:pt>
                <c:pt idx="31">
                  <c:v>0.66179134783263116</c:v>
                </c:pt>
                <c:pt idx="32">
                  <c:v>0.69274069535042138</c:v>
                </c:pt>
                <c:pt idx="33">
                  <c:v>0.72035443995521042</c:v>
                </c:pt>
                <c:pt idx="34">
                  <c:v>0.74478914158803367</c:v>
                </c:pt>
                <c:pt idx="35">
                  <c:v>0.7662586562585183</c:v>
                </c:pt>
                <c:pt idx="36">
                  <c:v>0.78500941985298223</c:v>
                </c:pt>
                <c:pt idx="37">
                  <c:v>0.8013015532038974</c:v>
                </c:pt>
                <c:pt idx="38">
                  <c:v>0.81539514911780131</c:v>
                </c:pt>
                <c:pt idx="39">
                  <c:v>0.82754087080181904</c:v>
                </c:pt>
                <c:pt idx="40">
                  <c:v>0.83797395793755136</c:v>
                </c:pt>
                <c:pt idx="41">
                  <c:v>0.84691081252164224</c:v>
                </c:pt>
                <c:pt idx="42">
                  <c:v>0.85454746120868563</c:v>
                </c:pt>
                <c:pt idx="43">
                  <c:v>0.86105932730860246</c:v>
                </c:pt>
                <c:pt idx="44">
                  <c:v>0.86660187363305674</c:v>
                </c:pt>
                <c:pt idx="45">
                  <c:v>0.87131178783047503</c:v>
                </c:pt>
                <c:pt idx="46">
                  <c:v>0.87530847201551332</c:v>
                </c:pt>
                <c:pt idx="47">
                  <c:v>0.87869566923671094</c:v>
                </c:pt>
                <c:pt idx="48">
                  <c:v>0.88156311311265512</c:v>
                </c:pt>
                <c:pt idx="49">
                  <c:v>0.8839881267945735</c:v>
                </c:pt>
                <c:pt idx="50">
                  <c:v>0.88603712619677033</c:v>
                </c:pt>
                <c:pt idx="51">
                  <c:v>0.88776700274067366</c:v>
                </c:pt>
                <c:pt idx="52">
                  <c:v>0.88922637480758837</c:v>
                </c:pt>
                <c:pt idx="53">
                  <c:v>0.89045670637919905</c:v>
                </c:pt>
                <c:pt idx="54">
                  <c:v>0.89149329726860671</c:v>
                </c:pt>
                <c:pt idx="55">
                  <c:v>0.89236615289328114</c:v>
                </c:pt>
                <c:pt idx="56">
                  <c:v>0.89310074344539103</c:v>
                </c:pt>
                <c:pt idx="57">
                  <c:v>0.89371866310662007</c:v>
                </c:pt>
                <c:pt idx="58">
                  <c:v>0.89423820001687027</c:v>
                </c:pt>
                <c:pt idx="59">
                  <c:v>0.89467482730922399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379-4078-8F46-C8CC0666EDE7}"/>
            </c:ext>
          </c:extLst>
        </c:ser>
        <c:ser>
          <c:idx val="4"/>
          <c:order val="3"/>
          <c:tx>
            <c:strRef>
              <c:f>'All Models'!$Q$1</c:f>
              <c:strCache>
                <c:ptCount val="1"/>
                <c:pt idx="0">
                  <c:v>4 Neuron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'All Models'!$Q$2:$Q$61</c:f>
              <c:numCache>
                <c:formatCode>General</c:formatCode>
                <c:ptCount val="60"/>
                <c:pt idx="0">
                  <c:v>-3.3506798807242832E-2</c:v>
                </c:pt>
                <c:pt idx="1">
                  <c:v>-3.2075528714066825E-2</c:v>
                </c:pt>
                <c:pt idx="2">
                  <c:v>-2.9060684128931591E-2</c:v>
                </c:pt>
                <c:pt idx="3">
                  <c:v>-2.5465895437896569E-2</c:v>
                </c:pt>
                <c:pt idx="4">
                  <c:v>-2.1180870603339619E-2</c:v>
                </c:pt>
                <c:pt idx="5">
                  <c:v>-1.6072840008157563E-2</c:v>
                </c:pt>
                <c:pt idx="6">
                  <c:v>-9.9889421750234408E-3</c:v>
                </c:pt>
                <c:pt idx="7">
                  <c:v>-2.7581299853258745E-3</c:v>
                </c:pt>
                <c:pt idx="8">
                  <c:v>5.8031319960674121E-3</c:v>
                </c:pt>
                <c:pt idx="9">
                  <c:v>1.5880054401329557E-2</c:v>
                </c:pt>
                <c:pt idx="10">
                  <c:v>2.764342418227872E-2</c:v>
                </c:pt>
                <c:pt idx="11">
                  <c:v>4.1230845257635318E-2</c:v>
                </c:pt>
                <c:pt idx="12">
                  <c:v>5.6732024961564376E-2</c:v>
                </c:pt>
                <c:pt idx="13">
                  <c:v>7.4187286647972916E-2</c:v>
                </c:pt>
                <c:pt idx="14">
                  <c:v>9.3603971939191011E-2</c:v>
                </c:pt>
                <c:pt idx="15">
                  <c:v>0.11498161191128897</c:v>
                </c:pt>
                <c:pt idx="16">
                  <c:v>0.13832375579984246</c:v>
                </c:pt>
                <c:pt idx="17">
                  <c:v>0.16362100437872962</c:v>
                </c:pt>
                <c:pt idx="18">
                  <c:v>0.19081745701056363</c:v>
                </c:pt>
                <c:pt idx="19">
                  <c:v>0.2197915180803689</c:v>
                </c:pt>
                <c:pt idx="20">
                  <c:v>0.25036733104007336</c:v>
                </c:pt>
                <c:pt idx="21">
                  <c:v>0.28234335304284164</c:v>
                </c:pt>
                <c:pt idx="22">
                  <c:v>0.31551370952463986</c:v>
                </c:pt>
                <c:pt idx="23">
                  <c:v>0.34967062081921374</c:v>
                </c:pt>
                <c:pt idx="24">
                  <c:v>0.38459277018215854</c:v>
                </c:pt>
                <c:pt idx="25">
                  <c:v>0.4200310997247434</c:v>
                </c:pt>
                <c:pt idx="26">
                  <c:v>0.4557009691969347</c:v>
                </c:pt>
                <c:pt idx="27">
                  <c:v>0.4912841398111587</c:v>
                </c:pt>
                <c:pt idx="28">
                  <c:v>0.52643972564605535</c:v>
                </c:pt>
                <c:pt idx="29">
                  <c:v>0.56082105047571895</c:v>
                </c:pt>
                <c:pt idx="30">
                  <c:v>0.5940947745455547</c:v>
                </c:pt>
                <c:pt idx="31">
                  <c:v>0.62595903222153926</c:v>
                </c:pt>
                <c:pt idx="32">
                  <c:v>0.65615816242739922</c:v>
                </c:pt>
                <c:pt idx="33">
                  <c:v>0.68449261782005333</c:v>
                </c:pt>
                <c:pt idx="34">
                  <c:v>0.71082360703222214</c:v>
                </c:pt>
                <c:pt idx="35">
                  <c:v>0.73507282097648052</c:v>
                </c:pt>
                <c:pt idx="36">
                  <c:v>0.75721814066110715</c:v>
                </c:pt>
                <c:pt idx="37">
                  <c:v>0.77728650088617335</c:v>
                </c:pt>
                <c:pt idx="38">
                  <c:v>0.79534512334420637</c:v>
                </c:pt>
                <c:pt idx="39">
                  <c:v>0.81149219827760433</c:v>
                </c:pt>
                <c:pt idx="40">
                  <c:v>0.82584786051919312</c:v>
                </c:pt>
                <c:pt idx="41">
                  <c:v>0.83854604024183454</c:v>
                </c:pt>
                <c:pt idx="42">
                  <c:v>0.84972751978221128</c:v>
                </c:pt>
                <c:pt idx="43">
                  <c:v>0.85953432364152471</c:v>
                </c:pt>
                <c:pt idx="44">
                  <c:v>0.86810541969510824</c:v>
                </c:pt>
                <c:pt idx="45">
                  <c:v>0.87557361390890398</c:v>
                </c:pt>
                <c:pt idx="46">
                  <c:v>0.88206346973178085</c:v>
                </c:pt>
                <c:pt idx="47">
                  <c:v>0.88769006554440311</c:v>
                </c:pt>
                <c:pt idx="48">
                  <c:v>0.89255840814129483</c:v>
                </c:pt>
                <c:pt idx="49">
                  <c:v>0.89676333803219077</c:v>
                </c:pt>
                <c:pt idx="50">
                  <c:v>0.90038978648378554</c:v>
                </c:pt>
                <c:pt idx="51">
                  <c:v>0.9035132699823083</c:v>
                </c:pt>
                <c:pt idx="52">
                  <c:v>0.90620053228626407</c:v>
                </c:pt>
                <c:pt idx="53">
                  <c:v>0.9085102659118689</c:v>
                </c:pt>
                <c:pt idx="54">
                  <c:v>0.91049386312853331</c:v>
                </c:pt>
                <c:pt idx="55">
                  <c:v>0.91219616129469849</c:v>
                </c:pt>
                <c:pt idx="56">
                  <c:v>0.91365615891719654</c:v>
                </c:pt>
                <c:pt idx="57">
                  <c:v>0.91490768760391405</c:v>
                </c:pt>
                <c:pt idx="58">
                  <c:v>0.91598003157780628</c:v>
                </c:pt>
                <c:pt idx="59">
                  <c:v>0.91689849108733346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79-4078-8F46-C8CC0666EDE7}"/>
            </c:ext>
          </c:extLst>
        </c:ser>
        <c:ser>
          <c:idx val="5"/>
          <c:order val="4"/>
          <c:tx>
            <c:strRef>
              <c:f>'All Models'!$R$1</c:f>
              <c:strCache>
                <c:ptCount val="1"/>
                <c:pt idx="0">
                  <c:v>5 Neuron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'All Models'!$R$2:$R$61</c:f>
              <c:numCache>
                <c:formatCode>General</c:formatCode>
                <c:ptCount val="60"/>
                <c:pt idx="0">
                  <c:v>-6.6760930963776222E-3</c:v>
                </c:pt>
                <c:pt idx="1">
                  <c:v>-1.4678149929534534E-3</c:v>
                </c:pt>
                <c:pt idx="2">
                  <c:v>2.5098112272363693E-3</c:v>
                </c:pt>
                <c:pt idx="3">
                  <c:v>5.28193622424733E-3</c:v>
                </c:pt>
                <c:pt idx="4">
                  <c:v>6.7918429283557735E-3</c:v>
                </c:pt>
                <c:pt idx="5">
                  <c:v>6.9794850634198324E-3</c:v>
                </c:pt>
                <c:pt idx="6">
                  <c:v>5.950969398438255E-3</c:v>
                </c:pt>
                <c:pt idx="7">
                  <c:v>4.1588948350323451E-3</c:v>
                </c:pt>
                <c:pt idx="8">
                  <c:v>2.4791237904348562E-3</c:v>
                </c:pt>
                <c:pt idx="9">
                  <c:v>2.1181520699407597E-3</c:v>
                </c:pt>
                <c:pt idx="10">
                  <c:v>4.3840296631134784E-3</c:v>
                </c:pt>
                <c:pt idx="11">
                  <c:v>1.0424397908971886E-2</c:v>
                </c:pt>
                <c:pt idx="12">
                  <c:v>2.1032919722157387E-2</c:v>
                </c:pt>
                <c:pt idx="13">
                  <c:v>3.6570841339265261E-2</c:v>
                </c:pt>
                <c:pt idx="14">
                  <c:v>5.6992478552569295E-2</c:v>
                </c:pt>
                <c:pt idx="15">
                  <c:v>8.1933029560324735E-2</c:v>
                </c:pt>
                <c:pt idx="16">
                  <c:v>0.11081591655338281</c:v>
                </c:pt>
                <c:pt idx="17">
                  <c:v>0.1429511747966542</c:v>
                </c:pt>
                <c:pt idx="18">
                  <c:v>0.17761251908105274</c:v>
                </c:pt>
                <c:pt idx="19">
                  <c:v>0.21409152243578172</c:v>
                </c:pt>
                <c:pt idx="20">
                  <c:v>0.25173213976729608</c:v>
                </c:pt>
                <c:pt idx="21">
                  <c:v>0.28994996148727042</c:v>
                </c:pt>
                <c:pt idx="22">
                  <c:v>0.32824034764202764</c:v>
                </c:pt>
                <c:pt idx="23">
                  <c:v>0.36617900367513112</c:v>
                </c:pt>
                <c:pt idx="24">
                  <c:v>0.40341786306557709</c:v>
                </c:pt>
                <c:pt idx="25">
                  <c:v>0.43967841132914537</c:v>
                </c:pt>
                <c:pt idx="26">
                  <c:v>0.47474391004745242</c:v>
                </c:pt>
                <c:pt idx="27">
                  <c:v>0.50845143307880336</c:v>
                </c:pt>
                <c:pt idx="28">
                  <c:v>0.54068423371379004</c:v>
                </c:pt>
                <c:pt idx="29">
                  <c:v>0.57136470398837025</c:v>
                </c:pt>
                <c:pt idx="30">
                  <c:v>0.60044803158330806</c:v>
                </c:pt>
                <c:pt idx="31">
                  <c:v>0.62791657212771246</c:v>
                </c:pt>
                <c:pt idx="32">
                  <c:v>0.65377490923017723</c:v>
                </c:pt>
                <c:pt idx="33">
                  <c:v>0.67804555344720074</c:v>
                </c:pt>
                <c:pt idx="34">
                  <c:v>0.70076522357825988</c:v>
                </c:pt>
                <c:pt idx="35">
                  <c:v>0.72198165265238656</c:v>
                </c:pt>
                <c:pt idx="36">
                  <c:v>0.74175086314482741</c:v>
                </c:pt>
                <c:pt idx="37">
                  <c:v>0.76013485945702275</c:v>
                </c:pt>
                <c:pt idx="38">
                  <c:v>0.77719968959673635</c:v>
                </c:pt>
                <c:pt idx="39">
                  <c:v>0.79301383190709718</c:v>
                </c:pt>
                <c:pt idx="40">
                  <c:v>0.80764686646443606</c:v>
                </c:pt>
                <c:pt idx="41">
                  <c:v>0.82116839435706213</c:v>
                </c:pt>
                <c:pt idx="42">
                  <c:v>0.83364717147214162</c:v>
                </c:pt>
                <c:pt idx="43">
                  <c:v>0.84515042666483908</c:v>
                </c:pt>
                <c:pt idx="44">
                  <c:v>0.8557433372674047</c:v>
                </c:pt>
                <c:pt idx="45">
                  <c:v>0.86548863781385554</c:v>
                </c:pt>
                <c:pt idx="46">
                  <c:v>0.87444634060136606</c:v>
                </c:pt>
                <c:pt idx="47">
                  <c:v>0.88267354927345099</c:v>
                </c:pt>
                <c:pt idx="48">
                  <c:v>0.89022434898440705</c:v>
                </c:pt>
                <c:pt idx="49">
                  <c:v>0.89714975888343051</c:v>
                </c:pt>
                <c:pt idx="50">
                  <c:v>0.90349773463825667</c:v>
                </c:pt>
                <c:pt idx="51">
                  <c:v>0.90931321050359859</c:v>
                </c:pt>
                <c:pt idx="52">
                  <c:v>0.91463817203432696</c:v>
                </c:pt>
                <c:pt idx="53">
                  <c:v>0.91951175195545476</c:v>
                </c:pt>
                <c:pt idx="54">
                  <c:v>0.92397034294126212</c:v>
                </c:pt>
                <c:pt idx="55">
                  <c:v>0.92804772213664277</c:v>
                </c:pt>
                <c:pt idx="56">
                  <c:v>0.93177518318835684</c:v>
                </c:pt>
                <c:pt idx="57">
                  <c:v>0.93518167235618077</c:v>
                </c:pt>
                <c:pt idx="58">
                  <c:v>0.93829392595770855</c:v>
                </c:pt>
                <c:pt idx="59">
                  <c:v>0.9411366069791457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79-4078-8F46-C8CC0666EDE7}"/>
            </c:ext>
          </c:extLst>
        </c:ser>
        <c:ser>
          <c:idx val="0"/>
          <c:order val="5"/>
          <c:tx>
            <c:strRef>
              <c:f>'All Models'!$M$1</c:f>
              <c:strCache>
                <c:ptCount val="1"/>
                <c:pt idx="0">
                  <c:v>Real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'All Models'!$M$2:$M$61</c:f>
              <c:numCache>
                <c:formatCode>General</c:formatCode>
                <c:ptCount val="60"/>
                <c:pt idx="0">
                  <c:v>1.29646532345248E-3</c:v>
                </c:pt>
                <c:pt idx="1">
                  <c:v>2.6945909567850398E-3</c:v>
                </c:pt>
                <c:pt idx="2">
                  <c:v>-4.7185297244242705E-3</c:v>
                </c:pt>
                <c:pt idx="3">
                  <c:v>2.4789689316632598E-3</c:v>
                </c:pt>
                <c:pt idx="4">
                  <c:v>3.86363487767975E-3</c:v>
                </c:pt>
                <c:pt idx="5">
                  <c:v>-4.6798608314981898E-3</c:v>
                </c:pt>
                <c:pt idx="6">
                  <c:v>3.0346095032803499E-3</c:v>
                </c:pt>
                <c:pt idx="7">
                  <c:v>7.4668309922445502E-3</c:v>
                </c:pt>
                <c:pt idx="8">
                  <c:v>9.1761695406187595E-3</c:v>
                </c:pt>
                <c:pt idx="9">
                  <c:v>7.5225339506602403E-3</c:v>
                </c:pt>
                <c:pt idx="10">
                  <c:v>3.2927993138720797E-3</c:v>
                </c:pt>
                <c:pt idx="11">
                  <c:v>1.96514990734073E-2</c:v>
                </c:pt>
                <c:pt idx="12">
                  <c:v>2.4532806481925299E-2</c:v>
                </c:pt>
                <c:pt idx="13">
                  <c:v>3.84479753657469E-2</c:v>
                </c:pt>
                <c:pt idx="14">
                  <c:v>6.3388110834698502E-2</c:v>
                </c:pt>
                <c:pt idx="15">
                  <c:v>7.3720662375898097E-2</c:v>
                </c:pt>
                <c:pt idx="16">
                  <c:v>9.9755417736937704E-2</c:v>
                </c:pt>
                <c:pt idx="17">
                  <c:v>0.13353312106332502</c:v>
                </c:pt>
                <c:pt idx="18">
                  <c:v>0.171732007304878</c:v>
                </c:pt>
                <c:pt idx="19">
                  <c:v>0.208737490794312</c:v>
                </c:pt>
                <c:pt idx="20">
                  <c:v>0.245867937524964</c:v>
                </c:pt>
                <c:pt idx="21">
                  <c:v>0.28965693379235602</c:v>
                </c:pt>
                <c:pt idx="22">
                  <c:v>0.33141838551950203</c:v>
                </c:pt>
                <c:pt idx="23">
                  <c:v>0.37486334043008496</c:v>
                </c:pt>
                <c:pt idx="24">
                  <c:v>0.41205954274061996</c:v>
                </c:pt>
                <c:pt idx="25">
                  <c:v>0.44388223355148898</c:v>
                </c:pt>
                <c:pt idx="26">
                  <c:v>0.487722954635535</c:v>
                </c:pt>
                <c:pt idx="27">
                  <c:v>0.51359201939365806</c:v>
                </c:pt>
                <c:pt idx="28">
                  <c:v>0.547713142498501</c:v>
                </c:pt>
                <c:pt idx="29">
                  <c:v>0.57331041777418701</c:v>
                </c:pt>
                <c:pt idx="30">
                  <c:v>0.602138744531867</c:v>
                </c:pt>
                <c:pt idx="31">
                  <c:v>0.624921752972462</c:v>
                </c:pt>
                <c:pt idx="32">
                  <c:v>0.65513191440359508</c:v>
                </c:pt>
                <c:pt idx="33">
                  <c:v>0.68166378325101906</c:v>
                </c:pt>
                <c:pt idx="34">
                  <c:v>0.69814062804294097</c:v>
                </c:pt>
                <c:pt idx="35">
                  <c:v>0.71941411557586699</c:v>
                </c:pt>
                <c:pt idx="36">
                  <c:v>0.73983758563310398</c:v>
                </c:pt>
                <c:pt idx="37">
                  <c:v>0.75684413386429605</c:v>
                </c:pt>
                <c:pt idx="38">
                  <c:v>0.7750441208199299</c:v>
                </c:pt>
                <c:pt idx="39">
                  <c:v>0.78395269848070492</c:v>
                </c:pt>
                <c:pt idx="40">
                  <c:v>0.80233719563429595</c:v>
                </c:pt>
                <c:pt idx="41">
                  <c:v>0.81844367482675706</c:v>
                </c:pt>
                <c:pt idx="42">
                  <c:v>0.83017491401183396</c:v>
                </c:pt>
                <c:pt idx="43">
                  <c:v>0.83969352077445703</c:v>
                </c:pt>
                <c:pt idx="44">
                  <c:v>0.84673055231667504</c:v>
                </c:pt>
                <c:pt idx="45">
                  <c:v>0.86534225693530897</c:v>
                </c:pt>
                <c:pt idx="46">
                  <c:v>0.87833605384871605</c:v>
                </c:pt>
                <c:pt idx="47">
                  <c:v>0.87802773465304806</c:v>
                </c:pt>
                <c:pt idx="48">
                  <c:v>0.88908099354612202</c:v>
                </c:pt>
                <c:pt idx="49">
                  <c:v>0.89472708248588406</c:v>
                </c:pt>
                <c:pt idx="50">
                  <c:v>0.90450311421663898</c:v>
                </c:pt>
                <c:pt idx="51">
                  <c:v>0.90922037148508505</c:v>
                </c:pt>
                <c:pt idx="52">
                  <c:v>0.906309636239233</c:v>
                </c:pt>
                <c:pt idx="53">
                  <c:v>0.92630169320256595</c:v>
                </c:pt>
                <c:pt idx="54">
                  <c:v>0.92736038017037692</c:v>
                </c:pt>
                <c:pt idx="55">
                  <c:v>0.93389441761834491</c:v>
                </c:pt>
                <c:pt idx="56">
                  <c:v>0.94275156262420401</c:v>
                </c:pt>
                <c:pt idx="57">
                  <c:v>0.93680268831874902</c:v>
                </c:pt>
                <c:pt idx="58">
                  <c:v>0.94398061818187207</c:v>
                </c:pt>
                <c:pt idx="59">
                  <c:v>0.94100736181572697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79-4078-8F46-C8CC0666ED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1154640"/>
        <c:axId val="1041155120"/>
      </c:lineChart>
      <c:catAx>
        <c:axId val="10411546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155120"/>
        <c:crosses val="autoZero"/>
        <c:auto val="1"/>
        <c:lblAlgn val="ctr"/>
        <c:lblOffset val="100"/>
        <c:noMultiLvlLbl val="0"/>
      </c:catAx>
      <c:valAx>
        <c:axId val="1041155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Population (Normalized)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154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'Error magnitude error'!$G$3:$G$6</c:f>
              <c:numCache>
                <c:formatCode>General</c:formatCode>
                <c:ptCount val="4"/>
                <c:pt idx="0">
                  <c:v>-0.10798668566142844</c:v>
                </c:pt>
                <c:pt idx="1">
                  <c:v>-0.64433026155127948</c:v>
                </c:pt>
                <c:pt idx="2">
                  <c:v>-0.26089638741395327</c:v>
                </c:pt>
                <c:pt idx="3">
                  <c:v>-9.6525328334257143E-2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FA-484E-84F7-5E920956DA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5795327"/>
        <c:axId val="1030026431"/>
      </c:lineChart>
      <c:catAx>
        <c:axId val="193579532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0026431"/>
        <c:crosses val="autoZero"/>
        <c:auto val="1"/>
        <c:lblAlgn val="ctr"/>
        <c:lblOffset val="100"/>
        <c:noMultiLvlLbl val="0"/>
      </c:catAx>
      <c:valAx>
        <c:axId val="1030026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57953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'Parameter Comparisson'!$B$1</c:f>
              <c:strCache>
                <c:ptCount val="1"/>
                <c:pt idx="0">
                  <c:v>Beta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'Parameter Comparisson'!$B$2:$B$6</c:f>
              <c:numCache>
                <c:formatCode>0.000</c:formatCode>
                <c:ptCount val="5"/>
                <c:pt idx="0">
                  <c:v>0.60703771496519254</c:v>
                </c:pt>
                <c:pt idx="1">
                  <c:v>0.40102128906798601</c:v>
                </c:pt>
                <c:pt idx="2">
                  <c:v>0.43871611607885924</c:v>
                </c:pt>
                <c:pt idx="3">
                  <c:v>0.52122766537133325</c:v>
                </c:pt>
                <c:pt idx="4">
                  <c:v>0.49984923742281573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46-4A63-A584-BB39A32F167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268576767"/>
        <c:axId val="1702151599"/>
      </c:barChart>
      <c:lineChart>
        <c:grouping val="standard"/>
        <c:varyColors val="0"/>
        <c:ser>
          <c:idx val="1"/>
          <c:order val="1"/>
          <c:tx>
            <c:v>Beta Real</c:v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'Parameter Comparisson'!$F$2:$F$6</c:f>
              <c:numCache>
                <c:formatCode>General</c:formatCode>
                <c:ptCount val="5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43-437E-9273-A8C095B1D5A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268576767"/>
        <c:axId val="1702151599"/>
      </c:lineChart>
      <c:catAx>
        <c:axId val="12685767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Nodes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2151599"/>
        <c:crosses val="autoZero"/>
        <c:auto val="1"/>
        <c:lblAlgn val="ctr"/>
        <c:lblOffset val="100"/>
        <c:noMultiLvlLbl val="0"/>
      </c:catAx>
      <c:valAx>
        <c:axId val="1702151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857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Parameter's</a:t>
            </a:r>
            <a:r>
              <a:rPr lang="en-US" baseline="0"/>
              <a:t> Relative Error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'Parameter Comparisson'!$D$1</c:f>
              <c:strCache>
                <c:ptCount val="1"/>
                <c:pt idx="0">
                  <c:v>% Error Beta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'Parameter Comparisson'!$D$2:$D$6</c:f>
              <c:numCache>
                <c:formatCode>0.0%</c:formatCode>
                <c:ptCount val="5"/>
                <c:pt idx="0">
                  <c:v>0.21407542993038509</c:v>
                </c:pt>
                <c:pt idx="1">
                  <c:v>0.19795742186402798</c:v>
                </c:pt>
                <c:pt idx="2">
                  <c:v>0.12256776784228152</c:v>
                </c:pt>
                <c:pt idx="3">
                  <c:v>4.2455330742666497E-2</c:v>
                </c:pt>
                <c:pt idx="4">
                  <c:v>3.0152515436854266E-4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68-402E-B2BD-728A47D77701}"/>
            </c:ext>
          </c:extLst>
        </c:ser>
        <c:ser>
          <c:idx val="1"/>
          <c:order val="1"/>
          <c:tx>
            <c:strRef>
              <c:f>'Parameter Comparisson'!$E$1</c:f>
              <c:strCache>
                <c:ptCount val="1"/>
                <c:pt idx="0">
                  <c:v>% Error Sigma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'Parameter Comparisson'!$E$2:$E$6</c:f>
              <c:numCache>
                <c:formatCode>0.0%</c:formatCode>
                <c:ptCount val="5"/>
                <c:pt idx="0">
                  <c:v>0.23527080995741784</c:v>
                </c:pt>
                <c:pt idx="1">
                  <c:v>0.15752450180195185</c:v>
                </c:pt>
                <c:pt idx="2">
                  <c:v>6.6304223355127645E-2</c:v>
                </c:pt>
                <c:pt idx="3">
                  <c:v>1.1962393379074454E-2</c:v>
                </c:pt>
                <c:pt idx="4">
                  <c:v>3.4714072333003193E-2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68-402E-B2BD-728A47D7770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56935279"/>
        <c:axId val="1419344415"/>
      </c:barChart>
      <c:catAx>
        <c:axId val="16569352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Nodes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9344415"/>
        <c:crosses val="autoZero"/>
        <c:auto val="1"/>
        <c:lblAlgn val="ctr"/>
        <c:lblOffset val="100"/>
        <c:noMultiLvlLbl val="0"/>
      </c:catAx>
      <c:valAx>
        <c:axId val="1419344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6935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Sigma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'Parameter Comparisson'!$C$1</c:f>
              <c:strCache>
                <c:ptCount val="1"/>
                <c:pt idx="0">
                  <c:v>Sigma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'Parameter Comparisson'!$C$2:$C$6</c:f>
              <c:numCache>
                <c:formatCode>0.000</c:formatCode>
                <c:ptCount val="5"/>
                <c:pt idx="0">
                  <c:v>8.8233629282672699E-2</c:v>
                </c:pt>
                <c:pt idx="1">
                  <c:v>6.0176821299860579E-2</c:v>
                </c:pt>
                <c:pt idx="2">
                  <c:v>6.6692555474633736E-2</c:v>
                </c:pt>
                <c:pt idx="3">
                  <c:v>7.2283028098505314E-2</c:v>
                </c:pt>
                <c:pt idx="4">
                  <c:v>6.8948994833356911E-2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A2-463C-89B9-5CC70C957C1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268576767"/>
        <c:axId val="1702151599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'Parameter Comparisson'!$G$2:$G$6</c:f>
              <c:numCache>
                <c:formatCode>General</c:formatCode>
                <c:ptCount val="5"/>
                <c:pt idx="0">
                  <c:v>7.0999999999999994E-2</c:v>
                </c:pt>
                <c:pt idx="1">
                  <c:v>7.0999999999999994E-2</c:v>
                </c:pt>
                <c:pt idx="2">
                  <c:v>7.0999999999999994E-2</c:v>
                </c:pt>
                <c:pt idx="3">
                  <c:v>7.0999999999999994E-2</c:v>
                </c:pt>
                <c:pt idx="4">
                  <c:v>7.0999999999999994E-2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A2-463C-89B9-5CC70C957C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8576767"/>
        <c:axId val="1702151599"/>
      </c:lineChart>
      <c:catAx>
        <c:axId val="12685767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Nodes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2151599"/>
        <c:crosses val="autoZero"/>
        <c:auto val="1"/>
        <c:lblAlgn val="ctr"/>
        <c:lblOffset val="100"/>
        <c:noMultiLvlLbl val="0"/>
      </c:catAx>
      <c:valAx>
        <c:axId val="1702151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857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'Parameter Comparisson'!$B$1</c:f>
              <c:strCache>
                <c:ptCount val="1"/>
                <c:pt idx="0">
                  <c:v>Beta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'Parameter Comparisson'!$B$2:$B$6</c:f>
              <c:numCache>
                <c:formatCode>0.000</c:formatCode>
                <c:ptCount val="5"/>
                <c:pt idx="0">
                  <c:v>0.60703771496519254</c:v>
                </c:pt>
                <c:pt idx="1">
                  <c:v>0.40102128906798601</c:v>
                </c:pt>
                <c:pt idx="2">
                  <c:v>0.43871611607885924</c:v>
                </c:pt>
                <c:pt idx="3">
                  <c:v>0.52122766537133325</c:v>
                </c:pt>
                <c:pt idx="4">
                  <c:v>0.49984923742281573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B8-421F-8944-2C517611E8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7944320"/>
        <c:axId val="947952960"/>
      </c:barChart>
      <c:barChart>
        <c:barDir val="col"/>
        <c:grouping val="clustered"/>
        <c:varyColors val="0"/>
        <c:ser>
          <c:idx val="1"/>
          <c:order val="1"/>
          <c:tx>
            <c:strRef>
              <c:f>'Parameter Comparisson'!$C$1</c:f>
              <c:strCache>
                <c:ptCount val="1"/>
                <c:pt idx="0">
                  <c:v>Sigma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'Parameter Comparisson'!$C$2:$C$6</c:f>
              <c:numCache>
                <c:formatCode>0.000</c:formatCode>
                <c:ptCount val="5"/>
                <c:pt idx="0">
                  <c:v>8.8233629282672699E-2</c:v>
                </c:pt>
                <c:pt idx="1">
                  <c:v>6.0176821299860579E-2</c:v>
                </c:pt>
                <c:pt idx="2">
                  <c:v>6.6692555474633736E-2</c:v>
                </c:pt>
                <c:pt idx="3">
                  <c:v>7.2283028098505314E-2</c:v>
                </c:pt>
                <c:pt idx="4">
                  <c:v>6.8948994833356911E-2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B8-421F-8944-2C517611E8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7960640"/>
        <c:axId val="947960160"/>
      </c:barChart>
      <c:catAx>
        <c:axId val="9479443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7952960"/>
        <c:crosses val="autoZero"/>
        <c:auto val="1"/>
        <c:lblAlgn val="ctr"/>
        <c:lblOffset val="100"/>
        <c:noMultiLvlLbl val="0"/>
      </c:catAx>
      <c:valAx>
        <c:axId val="947952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7944320"/>
        <c:crosses val="autoZero"/>
        <c:crossBetween val="between"/>
      </c:valAx>
      <c:valAx>
        <c:axId val="947960160"/>
        <c:scaling>
          <c:orientation val="minMax"/>
        </c:scaling>
        <c:delete val="0"/>
        <c:axPos val="r"/>
        <c:numFmt formatCode="0.0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7960640"/>
        <c:crosses val="max"/>
        <c:crossBetween val="between"/>
      </c:valAx>
      <c:catAx>
        <c:axId val="947960640"/>
        <c:scaling>
          <c:orientation val="minMax"/>
        </c:scaling>
        <c:delete val="1"/>
        <c:axPos val="b"/>
        <c:majorTickMark val="out"/>
        <c:minorTickMark val="none"/>
        <c:tickLblPos val="nextTo"/>
        <c:crossAx val="94796016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Susceptible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'Estimation with 5 Neurons Test'!$AA$1</c:f>
              <c:strCache>
                <c:ptCount val="1"/>
                <c:pt idx="0">
                  <c:v>S Pred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'Estimation with 5 Neurons Test'!$AA$2:$AA$61</c:f>
              <c:numCache>
                <c:formatCode>General</c:formatCode>
                <c:ptCount val="60"/>
                <c:pt idx="0">
                  <c:v>0.99930454708268535</c:v>
                </c:pt>
                <c:pt idx="1">
                  <c:v>1.0085438636547452</c:v>
                </c:pt>
                <c:pt idx="2">
                  <c:v>1.0074447418248247</c:v>
                </c:pt>
                <c:pt idx="3">
                  <c:v>1.0051543111925272</c:v>
                </c:pt>
                <c:pt idx="4">
                  <c:v>1.0018933890123787</c:v>
                </c:pt>
                <c:pt idx="5">
                  <c:v>0.99727633779038793</c:v>
                </c:pt>
                <c:pt idx="6">
                  <c:v>0.99065326044438029</c:v>
                </c:pt>
                <c:pt idx="7">
                  <c:v>0.98106449087878467</c:v>
                </c:pt>
                <c:pt idx="8">
                  <c:v>0.96713705047309029</c:v>
                </c:pt>
                <c:pt idx="9">
                  <c:v>0.94698059381134514</c:v>
                </c:pt>
                <c:pt idx="10">
                  <c:v>0.91814670686303346</c:v>
                </c:pt>
                <c:pt idx="11">
                  <c:v>0.87777311783892664</c:v>
                </c:pt>
                <c:pt idx="12">
                  <c:v>0.82309357890490475</c:v>
                </c:pt>
                <c:pt idx="13">
                  <c:v>0.752458012138286</c:v>
                </c:pt>
                <c:pt idx="14">
                  <c:v>0.66671582815131147</c:v>
                </c:pt>
                <c:pt idx="15">
                  <c:v>0.57024794657047218</c:v>
                </c:pt>
                <c:pt idx="16">
                  <c:v>0.47058904521855599</c:v>
                </c:pt>
                <c:pt idx="17">
                  <c:v>0.37627282816719854</c:v>
                </c:pt>
                <c:pt idx="18">
                  <c:v>0.29403696909238342</c:v>
                </c:pt>
                <c:pt idx="19">
                  <c:v>0.22715269088556878</c:v>
                </c:pt>
                <c:pt idx="20">
                  <c:v>0.17556641077138291</c:v>
                </c:pt>
                <c:pt idx="21">
                  <c:v>0.13714669268976465</c:v>
                </c:pt>
                <c:pt idx="22">
                  <c:v>0.10900472666160288</c:v>
                </c:pt>
                <c:pt idx="23">
                  <c:v>8.8356610134696867E-2</c:v>
                </c:pt>
                <c:pt idx="24">
                  <c:v>7.2902925737681867E-2</c:v>
                </c:pt>
                <c:pt idx="25">
                  <c:v>6.0900336968850666E-2</c:v>
                </c:pt>
                <c:pt idx="26">
                  <c:v>5.1092016185311007E-2</c:v>
                </c:pt>
                <c:pt idx="27">
                  <c:v>4.2597752405457712E-2</c:v>
                </c:pt>
                <c:pt idx="28">
                  <c:v>3.4809864004431756E-2</c:v>
                </c:pt>
                <c:pt idx="29">
                  <c:v>2.7309984639206419E-2</c:v>
                </c:pt>
                <c:pt idx="30">
                  <c:v>1.9807812319835527E-2</c:v>
                </c:pt>
                <c:pt idx="31">
                  <c:v>1.2098057925457595E-2</c:v>
                </c:pt>
                <c:pt idx="32">
                  <c:v>4.0310055135468481E-3</c:v>
                </c:pt>
                <c:pt idx="33">
                  <c:v>-4.5072810669156693E-3</c:v>
                </c:pt>
                <c:pt idx="34">
                  <c:v>-1.3608123390095983E-2</c:v>
                </c:pt>
                <c:pt idx="35">
                  <c:v>-2.3348921559285696E-2</c:v>
                </c:pt>
                <c:pt idx="36">
                  <c:v>-3.3798861295704086E-2</c:v>
                </c:pt>
                <c:pt idx="37">
                  <c:v>-4.5022637256680431E-2</c:v>
                </c:pt>
                <c:pt idx="38">
                  <c:v>-5.7082859011268194E-2</c:v>
                </c:pt>
                <c:pt idx="39">
                  <c:v>-7.0041578350639622E-2</c:v>
                </c:pt>
                <c:pt idx="40">
                  <c:v>-8.3961224296474568E-2</c:v>
                </c:pt>
                <c:pt idx="41">
                  <c:v>-9.8905131187076778E-2</c:v>
                </c:pt>
                <c:pt idx="42">
                  <c:v>-0.11493777864704724</c:v>
                </c:pt>
                <c:pt idx="43">
                  <c:v>-0.13212481854609681</c:v>
                </c:pt>
                <c:pt idx="44">
                  <c:v>-0.1505329355023286</c:v>
                </c:pt>
                <c:pt idx="45">
                  <c:v>-0.17022956897636876</c:v>
                </c:pt>
                <c:pt idx="46">
                  <c:v>-0.19128251318667455</c:v>
                </c:pt>
                <c:pt idx="47">
                  <c:v>-0.21375940377645497</c:v>
                </c:pt>
                <c:pt idx="48">
                  <c:v>-0.23772709597476416</c:v>
                </c:pt>
                <c:pt idx="49">
                  <c:v>-0.26325093702037083</c:v>
                </c:pt>
                <c:pt idx="50">
                  <c:v>-0.29039393528586244</c:v>
                </c:pt>
                <c:pt idx="51">
                  <c:v>-0.31921582948737792</c:v>
                </c:pt>
                <c:pt idx="52">
                  <c:v>-0.34977206335406397</c:v>
                </c:pt>
                <c:pt idx="53">
                  <c:v>-0.38211267399170157</c:v>
                </c:pt>
                <c:pt idx="54">
                  <c:v>-0.41628110576656818</c:v>
                </c:pt>
                <c:pt idx="55">
                  <c:v>-0.45231296571815516</c:v>
                </c:pt>
                <c:pt idx="56">
                  <c:v>-0.49023474112103094</c:v>
                </c:pt>
                <c:pt idx="57">
                  <c:v>-0.53006250465960147</c:v>
                </c:pt>
                <c:pt idx="58">
                  <c:v>-0.57180063751307619</c:v>
                </c:pt>
                <c:pt idx="59">
                  <c:v>-0.61544060518348198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E2-4A4E-8888-71A8BC24F7EB}"/>
            </c:ext>
          </c:extLst>
        </c:ser>
        <c:ser>
          <c:idx val="1"/>
          <c:order val="1"/>
          <c:tx>
            <c:strRef>
              <c:f>'Estimation with 5 Neurons Test'!$AD$1</c:f>
              <c:strCache>
                <c:ptCount val="1"/>
                <c:pt idx="0">
                  <c:v>S Real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'Estimation with 5 Neurons Test'!$AD$2:$AD$61</c:f>
              <c:numCache>
                <c:formatCode>General</c:formatCode>
                <c:ptCount val="60"/>
                <c:pt idx="0">
                  <c:v>0.99916902781949102</c:v>
                </c:pt>
                <c:pt idx="1">
                  <c:v>0.98960193539692398</c:v>
                </c:pt>
                <c:pt idx="2">
                  <c:v>1.0027006748148801</c:v>
                </c:pt>
                <c:pt idx="3">
                  <c:v>0.99110329365628103</c:v>
                </c:pt>
                <c:pt idx="4">
                  <c:v>0.99855053119660397</c:v>
                </c:pt>
                <c:pt idx="5">
                  <c:v>0.99334815329542803</c:v>
                </c:pt>
                <c:pt idx="6">
                  <c:v>0.98283073740154103</c:v>
                </c:pt>
                <c:pt idx="7">
                  <c:v>0.97539398785926001</c:v>
                </c:pt>
                <c:pt idx="8">
                  <c:v>0.96249140793574095</c:v>
                </c:pt>
                <c:pt idx="9">
                  <c:v>0.94450237023887595</c:v>
                </c:pt>
                <c:pt idx="10">
                  <c:v>0.91819898168117797</c:v>
                </c:pt>
                <c:pt idx="11">
                  <c:v>0.89021613947898592</c:v>
                </c:pt>
                <c:pt idx="12">
                  <c:v>0.83105634839519704</c:v>
                </c:pt>
                <c:pt idx="13">
                  <c:v>0.77338802087821101</c:v>
                </c:pt>
                <c:pt idx="14">
                  <c:v>0.68790871012265198</c:v>
                </c:pt>
                <c:pt idx="15">
                  <c:v>0.59497831839092707</c:v>
                </c:pt>
                <c:pt idx="16">
                  <c:v>0.48898600704502004</c:v>
                </c:pt>
                <c:pt idx="17">
                  <c:v>0.39651123517081099</c:v>
                </c:pt>
                <c:pt idx="18">
                  <c:v>0.31251275507811599</c:v>
                </c:pt>
                <c:pt idx="19">
                  <c:v>0.23552071001902899</c:v>
                </c:pt>
                <c:pt idx="20">
                  <c:v>0.188024971201353</c:v>
                </c:pt>
                <c:pt idx="21">
                  <c:v>0.137907399961987</c:v>
                </c:pt>
                <c:pt idx="22">
                  <c:v>9.9076317792327895E-2</c:v>
                </c:pt>
                <c:pt idx="23">
                  <c:v>7.6771548896384309E-2</c:v>
                </c:pt>
                <c:pt idx="24">
                  <c:v>5.50331848909218E-2</c:v>
                </c:pt>
                <c:pt idx="25">
                  <c:v>4.1882891498532304E-2</c:v>
                </c:pt>
                <c:pt idx="26">
                  <c:v>2.6899076645389701E-2</c:v>
                </c:pt>
                <c:pt idx="27">
                  <c:v>2.8643066551244298E-2</c:v>
                </c:pt>
                <c:pt idx="28">
                  <c:v>1.8585382566350301E-2</c:v>
                </c:pt>
                <c:pt idx="29">
                  <c:v>1.6441050975567299E-2</c:v>
                </c:pt>
                <c:pt idx="30">
                  <c:v>1.6927265894710001E-2</c:v>
                </c:pt>
                <c:pt idx="31">
                  <c:v>5.5360201456173194E-3</c:v>
                </c:pt>
                <c:pt idx="32">
                  <c:v>5.5516744239331806E-3</c:v>
                </c:pt>
                <c:pt idx="33">
                  <c:v>1.2931474477337201E-2</c:v>
                </c:pt>
                <c:pt idx="34">
                  <c:v>8.6066661943624695E-3</c:v>
                </c:pt>
                <c:pt idx="35">
                  <c:v>7.3575980325581393E-3</c:v>
                </c:pt>
                <c:pt idx="36">
                  <c:v>2.8505374714209897E-3</c:v>
                </c:pt>
                <c:pt idx="37">
                  <c:v>-2.1838521820841201E-4</c:v>
                </c:pt>
                <c:pt idx="38">
                  <c:v>8.2348707294253292E-3</c:v>
                </c:pt>
                <c:pt idx="39">
                  <c:v>3.9663387236011597E-3</c:v>
                </c:pt>
                <c:pt idx="40">
                  <c:v>7.9785242352294391E-3</c:v>
                </c:pt>
                <c:pt idx="41">
                  <c:v>3.1396670372780401E-3</c:v>
                </c:pt>
                <c:pt idx="42">
                  <c:v>2.6118371468564702E-3</c:v>
                </c:pt>
                <c:pt idx="43">
                  <c:v>2.39128185473625E-3</c:v>
                </c:pt>
                <c:pt idx="44">
                  <c:v>1.2757458204968699E-3</c:v>
                </c:pt>
                <c:pt idx="45">
                  <c:v>3.5362804167817599E-3</c:v>
                </c:pt>
                <c:pt idx="46">
                  <c:v>-3.1346344649783998E-3</c:v>
                </c:pt>
                <c:pt idx="47">
                  <c:v>9.0828857896239103E-3</c:v>
                </c:pt>
                <c:pt idx="48">
                  <c:v>1.0538230552720001E-2</c:v>
                </c:pt>
                <c:pt idx="49">
                  <c:v>2.5859344138377399E-3</c:v>
                </c:pt>
                <c:pt idx="50">
                  <c:v>2.0336631835871899E-3</c:v>
                </c:pt>
                <c:pt idx="51">
                  <c:v>2.2949557971681501E-3</c:v>
                </c:pt>
                <c:pt idx="52">
                  <c:v>2.3936274802814103E-3</c:v>
                </c:pt>
                <c:pt idx="53">
                  <c:v>2.3043154567460099E-3</c:v>
                </c:pt>
                <c:pt idx="54">
                  <c:v>3.0385585864702198E-3</c:v>
                </c:pt>
                <c:pt idx="55">
                  <c:v>7.9515125832206497E-3</c:v>
                </c:pt>
                <c:pt idx="56">
                  <c:v>-1.1013052498209E-4</c:v>
                </c:pt>
                <c:pt idx="57">
                  <c:v>5.6947636442931599E-3</c:v>
                </c:pt>
                <c:pt idx="58">
                  <c:v>-2.2807198247528698E-3</c:v>
                </c:pt>
                <c:pt idx="59">
                  <c:v>-1.0788247514761E-4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E2-4A4E-8888-71A8BC24F7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3575024"/>
        <c:axId val="1243578384"/>
      </c:lineChart>
      <c:catAx>
        <c:axId val="12435750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3578384"/>
        <c:crosses val="autoZero"/>
        <c:auto val="1"/>
        <c:lblAlgn val="ctr"/>
        <c:lblOffset val="100"/>
        <c:noMultiLvlLbl val="0"/>
      </c:catAx>
      <c:valAx>
        <c:axId val="124357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3575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Infected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'Estimation with 5 Neurons Test'!$AB$1</c:f>
              <c:strCache>
                <c:ptCount val="1"/>
                <c:pt idx="0">
                  <c:v>I Pred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'Estimation with 5 Neurons Test'!$AB$2:$AB$61</c:f>
              <c:numCache>
                <c:formatCode>General</c:formatCode>
                <c:ptCount val="60"/>
                <c:pt idx="0">
                  <c:v>-6.1497130510712594E-3</c:v>
                </c:pt>
                <c:pt idx="1">
                  <c:v>3.3926172120302134E-2</c:v>
                </c:pt>
                <c:pt idx="2">
                  <c:v>3.1568486295530995E-2</c:v>
                </c:pt>
                <c:pt idx="3">
                  <c:v>2.9073318507496282E-2</c:v>
                </c:pt>
                <c:pt idx="4">
                  <c:v>2.6926873823363451E-2</c:v>
                </c:pt>
                <c:pt idx="5">
                  <c:v>2.5497390962677891E-2</c:v>
                </c:pt>
                <c:pt idx="6">
                  <c:v>2.5304839789359157E-2</c:v>
                </c:pt>
                <c:pt idx="7">
                  <c:v>2.7119427774525917E-2</c:v>
                </c:pt>
                <c:pt idx="8">
                  <c:v>3.2054988166209775E-2</c:v>
                </c:pt>
                <c:pt idx="9">
                  <c:v>4.1656935820718388E-2</c:v>
                </c:pt>
                <c:pt idx="10">
                  <c:v>5.793630565336283E-2</c:v>
                </c:pt>
                <c:pt idx="11">
                  <c:v>8.3248231328458822E-2</c:v>
                </c:pt>
                <c:pt idx="12">
                  <c:v>0.11986294484803839</c:v>
                </c:pt>
                <c:pt idx="13">
                  <c:v>0.16910773010709157</c:v>
                </c:pt>
                <c:pt idx="14">
                  <c:v>0.2302035035633434</c:v>
                </c:pt>
                <c:pt idx="15">
                  <c:v>0.29939674169223185</c:v>
                </c:pt>
                <c:pt idx="16">
                  <c:v>0.3702767088492358</c:v>
                </c:pt>
                <c:pt idx="17">
                  <c:v>0.43558673165861705</c:v>
                </c:pt>
                <c:pt idx="18">
                  <c:v>0.48957382974406727</c:v>
                </c:pt>
                <c:pt idx="19">
                  <c:v>0.52939274037631812</c:v>
                </c:pt>
                <c:pt idx="20">
                  <c:v>0.55498635335101776</c:v>
                </c:pt>
                <c:pt idx="21">
                  <c:v>0.56803679240295057</c:v>
                </c:pt>
                <c:pt idx="22">
                  <c:v>0.57085465535793967</c:v>
                </c:pt>
                <c:pt idx="23">
                  <c:v>0.56565348402438831</c:v>
                </c:pt>
                <c:pt idx="24">
                  <c:v>0.55423007017744608</c:v>
                </c:pt>
                <c:pt idx="25">
                  <c:v>0.53790369648724434</c:v>
                </c:pt>
                <c:pt idx="26">
                  <c:v>0.51757406039322973</c:v>
                </c:pt>
                <c:pt idx="27">
                  <c:v>0.4938130942593153</c:v>
                </c:pt>
                <c:pt idx="28">
                  <c:v>0.46695190643535334</c:v>
                </c:pt>
                <c:pt idx="29">
                  <c:v>0.43715018142671314</c:v>
                </c:pt>
                <c:pt idx="30">
                  <c:v>0.40444713184473446</c:v>
                </c:pt>
                <c:pt idx="31">
                  <c:v>0.36879717743240059</c:v>
                </c:pt>
                <c:pt idx="32">
                  <c:v>0.3300942211800959</c:v>
                </c:pt>
                <c:pt idx="33">
                  <c:v>0.28818787159786785</c:v>
                </c:pt>
                <c:pt idx="34">
                  <c:v>0.242894166045732</c:v>
                </c:pt>
                <c:pt idx="35">
                  <c:v>0.19400262776119259</c:v>
                </c:pt>
                <c:pt idx="36">
                  <c:v>0.14128092864146735</c:v>
                </c:pt>
                <c:pt idx="37">
                  <c:v>8.4478025879100915E-2</c:v>
                </c:pt>
                <c:pt idx="38">
                  <c:v>2.3326361122221417E-2</c:v>
                </c:pt>
                <c:pt idx="39">
                  <c:v>-4.2456477740826504E-2</c:v>
                </c:pt>
                <c:pt idx="40">
                  <c:v>-0.11316635732891012</c:v>
                </c:pt>
                <c:pt idx="41">
                  <c:v>-0.18911126954649315</c:v>
                </c:pt>
                <c:pt idx="42">
                  <c:v>-0.27060993371490305</c:v>
                </c:pt>
                <c:pt idx="43">
                  <c:v>-0.35799022658382817</c:v>
                </c:pt>
                <c:pt idx="44">
                  <c:v>-0.45158736007178923</c:v>
                </c:pt>
                <c:pt idx="45">
                  <c:v>-0.5517417425940101</c:v>
                </c:pt>
                <c:pt idx="46">
                  <c:v>-0.6587964716580319</c:v>
                </c:pt>
                <c:pt idx="47">
                  <c:v>-0.77309441520813138</c:v>
                </c:pt>
                <c:pt idx="48">
                  <c:v>-0.89497484850850917</c:v>
                </c:pt>
                <c:pt idx="49">
                  <c:v>-1.0247696232740928</c:v>
                </c:pt>
                <c:pt idx="50">
                  <c:v>-1.1627988570850518</c:v>
                </c:pt>
                <c:pt idx="51">
                  <c:v>-1.3093661444234623</c:v>
                </c:pt>
                <c:pt idx="52">
                  <c:v>-1.4647533063124807</c:v>
                </c:pt>
                <c:pt idx="53">
                  <c:v>-1.6292147136877926</c:v>
                </c:pt>
                <c:pt idx="54">
                  <c:v>-1.8029712402444051</c:v>
                </c:pt>
                <c:pt idx="55">
                  <c:v>-1.9862039233022388</c:v>
                </c:pt>
                <c:pt idx="56">
                  <c:v>-2.1790474356835343</c:v>
                </c:pt>
                <c:pt idx="57">
                  <c:v>-2.3815834968758405</c:v>
                </c:pt>
                <c:pt idx="58">
                  <c:v>-2.593834376758215</c:v>
                </c:pt>
                <c:pt idx="59">
                  <c:v>-2.8157566685091595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B0-4962-84BB-751F098CEF53}"/>
            </c:ext>
          </c:extLst>
        </c:ser>
        <c:ser>
          <c:idx val="1"/>
          <c:order val="1"/>
          <c:tx>
            <c:strRef>
              <c:f>'Estimation with 5 Neurons Test'!$AE$1</c:f>
              <c:strCache>
                <c:ptCount val="1"/>
                <c:pt idx="0">
                  <c:v>I Real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'Estimation with 5 Neurons Test'!$AE$2:$AE$61</c:f>
              <c:numCache>
                <c:formatCode>General</c:formatCode>
                <c:ptCount val="60"/>
                <c:pt idx="0">
                  <c:v>-5.1644142064485399E-4</c:v>
                </c:pt>
                <c:pt idx="1">
                  <c:v>2.1639113228485896E-3</c:v>
                </c:pt>
                <c:pt idx="2">
                  <c:v>3.31005964809079E-3</c:v>
                </c:pt>
                <c:pt idx="3">
                  <c:v>1.5165637719900501E-3</c:v>
                </c:pt>
                <c:pt idx="4">
                  <c:v>2.0051112150917699E-3</c:v>
                </c:pt>
                <c:pt idx="5">
                  <c:v>5.7859344004262394E-3</c:v>
                </c:pt>
                <c:pt idx="6">
                  <c:v>1.2651330839959601E-2</c:v>
                </c:pt>
                <c:pt idx="7">
                  <c:v>2.03539996715329E-2</c:v>
                </c:pt>
                <c:pt idx="8">
                  <c:v>3.3533967396357001E-2</c:v>
                </c:pt>
                <c:pt idx="9">
                  <c:v>4.7496166004264602E-2</c:v>
                </c:pt>
                <c:pt idx="10">
                  <c:v>6.7597221336325009E-2</c:v>
                </c:pt>
                <c:pt idx="11">
                  <c:v>9.5969397639399309E-2</c:v>
                </c:pt>
                <c:pt idx="12">
                  <c:v>0.139820372745182</c:v>
                </c:pt>
                <c:pt idx="13">
                  <c:v>0.19576330278256401</c:v>
                </c:pt>
                <c:pt idx="14">
                  <c:v>0.25894601239861498</c:v>
                </c:pt>
                <c:pt idx="15">
                  <c:v>0.33076845698165103</c:v>
                </c:pt>
                <c:pt idx="16">
                  <c:v>0.40789980280525601</c:v>
                </c:pt>
                <c:pt idx="17">
                  <c:v>0.47372642816447597</c:v>
                </c:pt>
                <c:pt idx="18">
                  <c:v>0.52750319456345507</c:v>
                </c:pt>
                <c:pt idx="19">
                  <c:v>0.55793614971574401</c:v>
                </c:pt>
                <c:pt idx="20">
                  <c:v>0.5772776209197521</c:v>
                </c:pt>
                <c:pt idx="21">
                  <c:v>0.57947852857229998</c:v>
                </c:pt>
                <c:pt idx="22">
                  <c:v>0.57261055388682602</c:v>
                </c:pt>
                <c:pt idx="23">
                  <c:v>0.554625055849157</c:v>
                </c:pt>
                <c:pt idx="24">
                  <c:v>0.53385373128166391</c:v>
                </c:pt>
                <c:pt idx="25">
                  <c:v>0.51004856673586696</c:v>
                </c:pt>
                <c:pt idx="26">
                  <c:v>0.48054748715594703</c:v>
                </c:pt>
                <c:pt idx="27">
                  <c:v>0.45621581041098197</c:v>
                </c:pt>
                <c:pt idx="28">
                  <c:v>0.43462182741029998</c:v>
                </c:pt>
                <c:pt idx="29">
                  <c:v>0.40770546813070097</c:v>
                </c:pt>
                <c:pt idx="30">
                  <c:v>0.38076372682378795</c:v>
                </c:pt>
                <c:pt idx="31">
                  <c:v>0.35516465630493699</c:v>
                </c:pt>
                <c:pt idx="32">
                  <c:v>0.33275256354035898</c:v>
                </c:pt>
                <c:pt idx="33">
                  <c:v>0.31162242112024097</c:v>
                </c:pt>
                <c:pt idx="34">
                  <c:v>0.29035002727487702</c:v>
                </c:pt>
                <c:pt idx="35">
                  <c:v>0.272509543831852</c:v>
                </c:pt>
                <c:pt idx="36">
                  <c:v>0.25622929206750999</c:v>
                </c:pt>
                <c:pt idx="37">
                  <c:v>0.23591031536785101</c:v>
                </c:pt>
                <c:pt idx="38">
                  <c:v>0.22078107592961702</c:v>
                </c:pt>
                <c:pt idx="39">
                  <c:v>0.204823212440885</c:v>
                </c:pt>
                <c:pt idx="40">
                  <c:v>0.19286137258476199</c:v>
                </c:pt>
                <c:pt idx="41">
                  <c:v>0.17630438116484701</c:v>
                </c:pt>
                <c:pt idx="42">
                  <c:v>0.16677826328596299</c:v>
                </c:pt>
                <c:pt idx="43">
                  <c:v>0.157909899247861</c:v>
                </c:pt>
                <c:pt idx="44">
                  <c:v>0.14923463373831</c:v>
                </c:pt>
                <c:pt idx="45">
                  <c:v>0.135577127775768</c:v>
                </c:pt>
                <c:pt idx="46">
                  <c:v>0.125187367886479</c:v>
                </c:pt>
                <c:pt idx="47">
                  <c:v>0.11564560923284699</c:v>
                </c:pt>
                <c:pt idx="48">
                  <c:v>0.111612530534534</c:v>
                </c:pt>
                <c:pt idx="49">
                  <c:v>0.10342211054485</c:v>
                </c:pt>
                <c:pt idx="50">
                  <c:v>9.4972241588527101E-2</c:v>
                </c:pt>
                <c:pt idx="51">
                  <c:v>8.7440881600336293E-2</c:v>
                </c:pt>
                <c:pt idx="52">
                  <c:v>8.3053244128702103E-2</c:v>
                </c:pt>
                <c:pt idx="53">
                  <c:v>7.8073186837302994E-2</c:v>
                </c:pt>
                <c:pt idx="54">
                  <c:v>7.1018266657233403E-2</c:v>
                </c:pt>
                <c:pt idx="55">
                  <c:v>6.6968684958737701E-2</c:v>
                </c:pt>
                <c:pt idx="56">
                  <c:v>6.18422691296922E-2</c:v>
                </c:pt>
                <c:pt idx="57">
                  <c:v>6.0470398956274998E-2</c:v>
                </c:pt>
                <c:pt idx="58">
                  <c:v>5.4975808919005206E-2</c:v>
                </c:pt>
                <c:pt idx="59">
                  <c:v>5.3596926243307502E-2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B0-4962-84BB-751F098CEF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7732928"/>
        <c:axId val="217724768"/>
      </c:lineChart>
      <c:catAx>
        <c:axId val="2177329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7724768"/>
        <c:crosses val="autoZero"/>
        <c:auto val="1"/>
        <c:lblAlgn val="ctr"/>
        <c:lblOffset val="100"/>
        <c:noMultiLvlLbl val="0"/>
      </c:catAx>
      <c:valAx>
        <c:axId val="21772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7732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Recovered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'Estimation with 5 Neurons Test'!$AC$1</c:f>
              <c:strCache>
                <c:ptCount val="1"/>
                <c:pt idx="0">
                  <c:v>R Pred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'Estimation with 5 Neurons Test'!$AC$2:$AC$61</c:f>
              <c:numCache>
                <c:formatCode>General</c:formatCode>
                <c:ptCount val="60"/>
                <c:pt idx="0">
                  <c:v>-3.262699124325863E-2</c:v>
                </c:pt>
                <c:pt idx="1">
                  <c:v>-4.2131277030783565E-2</c:v>
                </c:pt>
                <c:pt idx="2">
                  <c:v>-3.7399183790910229E-2</c:v>
                </c:pt>
                <c:pt idx="3">
                  <c:v>-3.2520039051439298E-2</c:v>
                </c:pt>
                <c:pt idx="4">
                  <c:v>-2.7149038281244486E-2</c:v>
                </c:pt>
                <c:pt idx="5">
                  <c:v>-2.1153817346794668E-2</c:v>
                </c:pt>
                <c:pt idx="6">
                  <c:v>-1.4390500247234428E-2</c:v>
                </c:pt>
                <c:pt idx="7">
                  <c:v>-6.6658006685340609E-3</c:v>
                </c:pt>
                <c:pt idx="8">
                  <c:v>2.2832929208114194E-3</c:v>
                </c:pt>
                <c:pt idx="9">
                  <c:v>1.2807001100359372E-2</c:v>
                </c:pt>
                <c:pt idx="10">
                  <c:v>2.5349654891863693E-2</c:v>
                </c:pt>
                <c:pt idx="11">
                  <c:v>4.0426570414901164E-2</c:v>
                </c:pt>
                <c:pt idx="12">
                  <c:v>5.8541592412403531E-2</c:v>
                </c:pt>
                <c:pt idx="13">
                  <c:v>8.0021844154812172E-2</c:v>
                </c:pt>
                <c:pt idx="14">
                  <c:v>0.10479355693726866</c:v>
                </c:pt>
                <c:pt idx="15">
                  <c:v>0.13221493425542796</c:v>
                </c:pt>
                <c:pt idx="16">
                  <c:v>0.16113783513255697</c:v>
                </c:pt>
                <c:pt idx="17">
                  <c:v>0.19025787299205099</c:v>
                </c:pt>
                <c:pt idx="18">
                  <c:v>0.21856845772646416</c:v>
                </c:pt>
                <c:pt idx="19">
                  <c:v>0.2456323382870842</c:v>
                </c:pt>
                <c:pt idx="20">
                  <c:v>0.27155907980896821</c:v>
                </c:pt>
                <c:pt idx="21">
                  <c:v>0.2968031772624542</c:v>
                </c:pt>
                <c:pt idx="22">
                  <c:v>0.32195025632513996</c:v>
                </c:pt>
                <c:pt idx="23">
                  <c:v>0.34757765564037868</c:v>
                </c:pt>
                <c:pt idx="24">
                  <c:v>0.37419336529998759</c:v>
                </c:pt>
                <c:pt idx="25">
                  <c:v>0.40222496227039883</c:v>
                </c:pt>
                <c:pt idx="26">
                  <c:v>0.43203146589378605</c:v>
                </c:pt>
                <c:pt idx="27">
                  <c:v>0.46392174160796884</c:v>
                </c:pt>
                <c:pt idx="28">
                  <c:v>0.49817196098170768</c:v>
                </c:pt>
                <c:pt idx="29">
                  <c:v>0.53503966514279</c:v>
                </c:pt>
                <c:pt idx="30">
                  <c:v>0.57477424576232572</c:v>
                </c:pt>
                <c:pt idx="31">
                  <c:v>0.61762444374862646</c:v>
                </c:pt>
                <c:pt idx="32">
                  <c:v>0.66384359759973144</c:v>
                </c:pt>
                <c:pt idx="33">
                  <c:v>0.71369327025819196</c:v>
                </c:pt>
                <c:pt idx="34">
                  <c:v>0.76744572722674498</c:v>
                </c:pt>
                <c:pt idx="35">
                  <c:v>0.82538559627090358</c:v>
                </c:pt>
                <c:pt idx="36">
                  <c:v>0.88781092761202096</c:v>
                </c:pt>
                <c:pt idx="37">
                  <c:v>0.95503379217197093</c:v>
                </c:pt>
                <c:pt idx="38">
                  <c:v>1.0273804980406744</c:v>
                </c:pt>
                <c:pt idx="39">
                  <c:v>1.1051914654929185</c:v>
                </c:pt>
                <c:pt idx="40">
                  <c:v>1.1888207733887182</c:v>
                </c:pt>
                <c:pt idx="41">
                  <c:v>1.2786353708713616</c:v>
                </c:pt>
                <c:pt idx="42">
                  <c:v>1.3750139353483597</c:v>
                </c:pt>
                <c:pt idx="43">
                  <c:v>1.4783453491302385</c:v>
                </c:pt>
                <c:pt idx="44">
                  <c:v>1.5890267617939831</c:v>
                </c:pt>
                <c:pt idx="45">
                  <c:v>1.7074612027757983</c:v>
                </c:pt>
                <c:pt idx="46">
                  <c:v>1.8340547086434515</c:v>
                </c:pt>
                <c:pt idx="47">
                  <c:v>1.9692129319303966</c:v>
                </c:pt>
                <c:pt idx="48">
                  <c:v>2.1133372034486975</c:v>
                </c:pt>
                <c:pt idx="49">
                  <c:v>2.2668200278320878</c:v>
                </c:pt>
                <c:pt idx="50">
                  <c:v>2.4300400029157583</c:v>
                </c:pt>
                <c:pt idx="51">
                  <c:v>2.603356167634157</c:v>
                </c:pt>
                <c:pt idx="52">
                  <c:v>2.7871018005356962</c:v>
                </c:pt>
                <c:pt idx="53">
                  <c:v>2.9815777117717328</c:v>
                </c:pt>
                <c:pt idx="54">
                  <c:v>3.1870450953339375</c:v>
                </c:pt>
                <c:pt idx="55">
                  <c:v>3.4037180349770413</c:v>
                </c:pt>
                <c:pt idx="56">
                  <c:v>3.6317557859807295</c:v>
                </c:pt>
                <c:pt idx="57">
                  <c:v>3.8712549846721203</c:v>
                </c:pt>
                <c:pt idx="58">
                  <c:v>4.1222419671147019</c:v>
                </c:pt>
                <c:pt idx="59">
                  <c:v>4.3846654059162127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7B-41DD-BDF8-09BAF856404D}"/>
            </c:ext>
          </c:extLst>
        </c:ser>
        <c:ser>
          <c:idx val="1"/>
          <c:order val="1"/>
          <c:tx>
            <c:strRef>
              <c:f>'Estimation with 5 Neurons Test'!$AF$1</c:f>
              <c:strCache>
                <c:ptCount val="1"/>
                <c:pt idx="0">
                  <c:v>R Real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'Estimation with 5 Neurons Test'!$AF$2:$AF$61</c:f>
              <c:numCache>
                <c:formatCode>General</c:formatCode>
                <c:ptCount val="60"/>
                <c:pt idx="0">
                  <c:v>1.29646532345248E-3</c:v>
                </c:pt>
                <c:pt idx="1">
                  <c:v>2.6945909567850398E-3</c:v>
                </c:pt>
                <c:pt idx="2">
                  <c:v>-4.7185297244242705E-3</c:v>
                </c:pt>
                <c:pt idx="3">
                  <c:v>2.4789689316632598E-3</c:v>
                </c:pt>
                <c:pt idx="4">
                  <c:v>3.86363487767975E-3</c:v>
                </c:pt>
                <c:pt idx="5">
                  <c:v>-4.6798608314981898E-3</c:v>
                </c:pt>
                <c:pt idx="6">
                  <c:v>3.0346095032803499E-3</c:v>
                </c:pt>
                <c:pt idx="7">
                  <c:v>7.4668309922445502E-3</c:v>
                </c:pt>
                <c:pt idx="8">
                  <c:v>9.1761695406187595E-3</c:v>
                </c:pt>
                <c:pt idx="9">
                  <c:v>7.5225339506602403E-3</c:v>
                </c:pt>
                <c:pt idx="10">
                  <c:v>3.2927993138720797E-3</c:v>
                </c:pt>
                <c:pt idx="11">
                  <c:v>1.96514990734073E-2</c:v>
                </c:pt>
                <c:pt idx="12">
                  <c:v>2.4532806481925299E-2</c:v>
                </c:pt>
                <c:pt idx="13">
                  <c:v>3.84479753657469E-2</c:v>
                </c:pt>
                <c:pt idx="14">
                  <c:v>6.3388110834698502E-2</c:v>
                </c:pt>
                <c:pt idx="15">
                  <c:v>7.3720662375898097E-2</c:v>
                </c:pt>
                <c:pt idx="16">
                  <c:v>9.9755417736937704E-2</c:v>
                </c:pt>
                <c:pt idx="17">
                  <c:v>0.13353312106332502</c:v>
                </c:pt>
                <c:pt idx="18">
                  <c:v>0.171732007304878</c:v>
                </c:pt>
                <c:pt idx="19">
                  <c:v>0.208737490794312</c:v>
                </c:pt>
                <c:pt idx="20">
                  <c:v>0.245867937524964</c:v>
                </c:pt>
                <c:pt idx="21">
                  <c:v>0.28965693379235602</c:v>
                </c:pt>
                <c:pt idx="22">
                  <c:v>0.33141838551950203</c:v>
                </c:pt>
                <c:pt idx="23">
                  <c:v>0.37486334043008496</c:v>
                </c:pt>
                <c:pt idx="24">
                  <c:v>0.41205954274061996</c:v>
                </c:pt>
                <c:pt idx="25">
                  <c:v>0.44388223355148898</c:v>
                </c:pt>
                <c:pt idx="26">
                  <c:v>0.487722954635535</c:v>
                </c:pt>
                <c:pt idx="27">
                  <c:v>0.51359201939365806</c:v>
                </c:pt>
                <c:pt idx="28">
                  <c:v>0.547713142498501</c:v>
                </c:pt>
                <c:pt idx="29">
                  <c:v>0.57331041777418701</c:v>
                </c:pt>
                <c:pt idx="30">
                  <c:v>0.602138744531867</c:v>
                </c:pt>
                <c:pt idx="31">
                  <c:v>0.624921752972462</c:v>
                </c:pt>
                <c:pt idx="32">
                  <c:v>0.65513191440359508</c:v>
                </c:pt>
                <c:pt idx="33">
                  <c:v>0.68166378325101906</c:v>
                </c:pt>
                <c:pt idx="34">
                  <c:v>0.69814062804294097</c:v>
                </c:pt>
                <c:pt idx="35">
                  <c:v>0.71941411557586699</c:v>
                </c:pt>
                <c:pt idx="36">
                  <c:v>0.73983758563310398</c:v>
                </c:pt>
                <c:pt idx="37">
                  <c:v>0.75684413386429605</c:v>
                </c:pt>
                <c:pt idx="38">
                  <c:v>0.7750441208199299</c:v>
                </c:pt>
                <c:pt idx="39">
                  <c:v>0.78395269848070492</c:v>
                </c:pt>
                <c:pt idx="40">
                  <c:v>0.80233719563429595</c:v>
                </c:pt>
                <c:pt idx="41">
                  <c:v>0.81844367482675706</c:v>
                </c:pt>
                <c:pt idx="42">
                  <c:v>0.83017491401183396</c:v>
                </c:pt>
                <c:pt idx="43">
                  <c:v>0.83969352077445703</c:v>
                </c:pt>
                <c:pt idx="44">
                  <c:v>0.84673055231667504</c:v>
                </c:pt>
                <c:pt idx="45">
                  <c:v>0.86534225693530897</c:v>
                </c:pt>
                <c:pt idx="46">
                  <c:v>0.87833605384871605</c:v>
                </c:pt>
                <c:pt idx="47">
                  <c:v>0.87802773465304806</c:v>
                </c:pt>
                <c:pt idx="48">
                  <c:v>0.88908099354612202</c:v>
                </c:pt>
                <c:pt idx="49">
                  <c:v>0.89472708248588406</c:v>
                </c:pt>
                <c:pt idx="50">
                  <c:v>0.90450311421663898</c:v>
                </c:pt>
                <c:pt idx="51">
                  <c:v>0.90922037148508505</c:v>
                </c:pt>
                <c:pt idx="52">
                  <c:v>0.906309636239233</c:v>
                </c:pt>
                <c:pt idx="53">
                  <c:v>0.92630169320256595</c:v>
                </c:pt>
                <c:pt idx="54">
                  <c:v>0.92736038017037692</c:v>
                </c:pt>
                <c:pt idx="55">
                  <c:v>0.93389441761834491</c:v>
                </c:pt>
                <c:pt idx="56">
                  <c:v>0.94275156262420401</c:v>
                </c:pt>
                <c:pt idx="57">
                  <c:v>0.93680268831874902</c:v>
                </c:pt>
                <c:pt idx="58">
                  <c:v>0.94398061818187207</c:v>
                </c:pt>
                <c:pt idx="59">
                  <c:v>0.94100736181572697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7B-41DD-BDF8-09BAF85640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7716128"/>
        <c:axId val="217726688"/>
      </c:lineChart>
      <c:catAx>
        <c:axId val="2177161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7726688"/>
        <c:crosses val="autoZero"/>
        <c:auto val="1"/>
        <c:lblAlgn val="ctr"/>
        <c:lblOffset val="100"/>
        <c:noMultiLvlLbl val="0"/>
      </c:catAx>
      <c:valAx>
        <c:axId val="217726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7716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ustomXml" Target="../ink/ink3.xml"/><Relationship Id="rId3" Type="http://schemas.openxmlformats.org/officeDocument/2006/relationships/chart" Target="../charts/chart3.xml"/><Relationship Id="rId7" Type="http://schemas.openxmlformats.org/officeDocument/2006/relationships/image" Target="../media/image2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ustomXml" Target="../ink/ink2.xml"/><Relationship Id="rId5" Type="http://schemas.openxmlformats.org/officeDocument/2006/relationships/image" Target="../media/image1.png"/><Relationship Id="rId4" Type="http://schemas.openxmlformats.org/officeDocument/2006/relationships/customXml" Target="../ink/ink1.xml"/><Relationship Id="rId9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ustomXml" Target="../ink/ink6.xml"/><Relationship Id="rId3" Type="http://schemas.openxmlformats.org/officeDocument/2006/relationships/chart" Target="../charts/chart6.xml"/><Relationship Id="rId7" Type="http://schemas.openxmlformats.org/officeDocument/2006/relationships/image" Target="../media/image8.png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ustomXml" Target="../ink/ink5.xml"/><Relationship Id="rId5" Type="http://schemas.openxmlformats.org/officeDocument/2006/relationships/image" Target="../media/image7.png"/><Relationship Id="rId4" Type="http://schemas.openxmlformats.org/officeDocument/2006/relationships/customXml" Target="../ink/ink4.xml"/><Relationship Id="rId9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chart" Target="../charts/chart10.xml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chart" Target="../charts/chart11.xml"/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4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Relationship Id="rId5" Type="http://schemas.openxmlformats.org/officeDocument/2006/relationships/chart" Target="../charts/chart18.xml"/><Relationship Id="rId4" Type="http://schemas.openxmlformats.org/officeDocument/2006/relationships/image" Target="../media/image5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Relationship Id="rId5" Type="http://schemas.openxmlformats.org/officeDocument/2006/relationships/chart" Target="../charts/chart23.xml"/><Relationship Id="rId4" Type="http://schemas.openxmlformats.org/officeDocument/2006/relationships/chart" Target="../charts/chart22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6.xml"/><Relationship Id="rId2" Type="http://schemas.openxmlformats.org/officeDocument/2006/relationships/chart" Target="../charts/chart25.xml"/><Relationship Id="rId1" Type="http://schemas.openxmlformats.org/officeDocument/2006/relationships/chart" Target="../charts/chart24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9.xml"/><Relationship Id="rId2" Type="http://schemas.openxmlformats.org/officeDocument/2006/relationships/chart" Target="../charts/chart28.xml"/><Relationship Id="rId1" Type="http://schemas.openxmlformats.org/officeDocument/2006/relationships/chart" Target="../charts/chart27.xml"/><Relationship Id="rId4" Type="http://schemas.openxmlformats.org/officeDocument/2006/relationships/image" Target="../media/image5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2.xml"/><Relationship Id="rId2" Type="http://schemas.openxmlformats.org/officeDocument/2006/relationships/chart" Target="../charts/chart31.xml"/><Relationship Id="rId1" Type="http://schemas.openxmlformats.org/officeDocument/2006/relationships/chart" Target="../charts/chart30.xml"/><Relationship Id="rId4" Type="http://schemas.openxmlformats.org/officeDocument/2006/relationships/image" Target="../media/image5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5.xml"/><Relationship Id="rId2" Type="http://schemas.openxmlformats.org/officeDocument/2006/relationships/chart" Target="../charts/chart34.xml"/><Relationship Id="rId1" Type="http://schemas.openxmlformats.org/officeDocument/2006/relationships/chart" Target="../charts/chart33.xml"/><Relationship Id="rId4" Type="http://schemas.openxmlformats.org/officeDocument/2006/relationships/image" Target="../media/image5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8.xml"/><Relationship Id="rId2" Type="http://schemas.openxmlformats.org/officeDocument/2006/relationships/chart" Target="../charts/chart37.xml"/><Relationship Id="rId1" Type="http://schemas.openxmlformats.org/officeDocument/2006/relationships/chart" Target="../charts/chart36.xml"/><Relationship Id="rId4" Type="http://schemas.openxmlformats.org/officeDocument/2006/relationships/image" Target="../media/image5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1.xml"/><Relationship Id="rId2" Type="http://schemas.openxmlformats.org/officeDocument/2006/relationships/chart" Target="../charts/chart40.xml"/><Relationship Id="rId1" Type="http://schemas.openxmlformats.org/officeDocument/2006/relationships/chart" Target="../charts/chart39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2.xml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5.xml"/><Relationship Id="rId2" Type="http://schemas.openxmlformats.org/officeDocument/2006/relationships/chart" Target="../charts/chart44.xml"/><Relationship Id="rId1" Type="http://schemas.openxmlformats.org/officeDocument/2006/relationships/chart" Target="../charts/chart43.xml"/><Relationship Id="rId4" Type="http://schemas.openxmlformats.org/officeDocument/2006/relationships/chart" Target="../charts/chart46.xml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9.xml"/><Relationship Id="rId2" Type="http://schemas.openxmlformats.org/officeDocument/2006/relationships/chart" Target="../charts/chart48.xml"/><Relationship Id="rId1" Type="http://schemas.openxmlformats.org/officeDocument/2006/relationships/chart" Target="../charts/chart47.xml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19</xdr:row>
      <xdr:rowOff>90264</xdr:rowOff>
    </xdr:from>
    <xdr:to>
      <xdr:col>15</xdr:col>
      <xdr:colOff>107054</xdr:colOff>
      <xdr:row>34</xdr:row>
      <xdr:rowOff>115793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40850C-E16B-4FD0-AB29-E9B20A2138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114582</xdr:colOff>
      <xdr:row>19</xdr:row>
      <xdr:rowOff>92655</xdr:rowOff>
    </xdr:from>
    <xdr:to>
      <xdr:col>20</xdr:col>
      <xdr:colOff>434006</xdr:colOff>
      <xdr:row>34</xdr:row>
      <xdr:rowOff>118932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5164156-AD0D-4533-A85C-04A54D8C23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466781</xdr:colOff>
      <xdr:row>19</xdr:row>
      <xdr:rowOff>130587</xdr:rowOff>
    </xdr:from>
    <xdr:to>
      <xdr:col>24</xdr:col>
      <xdr:colOff>349717</xdr:colOff>
      <xdr:row>34</xdr:row>
      <xdr:rowOff>153054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FCE8F88-3059-4EC5-89BA-CEC7018113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960437</xdr:colOff>
      <xdr:row>14</xdr:row>
      <xdr:rowOff>94825</xdr:rowOff>
    </xdr:from>
    <xdr:to>
      <xdr:col>11</xdr:col>
      <xdr:colOff>1441097</xdr:colOff>
      <xdr:row>14</xdr:row>
      <xdr:rowOff>96449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7E6E165B-FBC0-419B-9DA7-3B7680BF37A8}"/>
            </a:ext>
          </a:extLst>
        </xdr:cNvPr>
        <xdr:cNvCxnSpPr>
          <a:stCxn id="6" idx="6"/>
          <a:endCxn id="7" idx="2"/>
        </xdr:cNvCxnSpPr>
      </xdr:nvCxnSpPr>
      <xdr:spPr>
        <a:xfrm>
          <a:off x="7316787" y="2672925"/>
          <a:ext cx="0" cy="1624"/>
        </a:xfrm>
        <a:prstGeom prst="line">
          <a:avLst/>
        </a:prstGeom>
        <a:solidFill>
          <a:srgbClr val="004F8B">
            <a:alpha val="5000"/>
          </a:srgbClr>
        </a:solidFill>
        <a:ln w="18000">
          <a:solidFill>
            <a:srgbClr val="004F8B"/>
          </a:solidFill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534345</xdr:colOff>
      <xdr:row>13</xdr:row>
      <xdr:rowOff>86463</xdr:rowOff>
    </xdr:from>
    <xdr:to>
      <xdr:col>11</xdr:col>
      <xdr:colOff>960437</xdr:colOff>
      <xdr:row>15</xdr:row>
      <xdr:rowOff>103188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9884F0D5-A132-449C-89E6-E5397A3B1DC2}"/>
            </a:ext>
          </a:extLst>
        </xdr:cNvPr>
        <xdr:cNvSpPr/>
      </xdr:nvSpPr>
      <xdr:spPr>
        <a:xfrm>
          <a:off x="7239945" y="2480413"/>
          <a:ext cx="76842" cy="385025"/>
        </a:xfrm>
        <a:prstGeom prst="ellipse">
          <a:avLst/>
        </a:prstGeom>
        <a:solidFill>
          <a:srgbClr val="004F8B">
            <a:alpha val="5000"/>
          </a:srgbClr>
        </a:solidFill>
        <a:ln w="18000">
          <a:solidFill>
            <a:srgbClr val="004F8B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>
            <a:solidFill>
              <a:srgbClr val="004F8B"/>
            </a:solidFill>
          </a:endParaRPr>
        </a:p>
      </xdr:txBody>
    </xdr:sp>
    <xdr:clientData/>
  </xdr:twoCellAnchor>
  <xdr:twoCellAnchor>
    <xdr:from>
      <xdr:col>11</xdr:col>
      <xdr:colOff>1441097</xdr:colOff>
      <xdr:row>13</xdr:row>
      <xdr:rowOff>104069</xdr:rowOff>
    </xdr:from>
    <xdr:to>
      <xdr:col>12</xdr:col>
      <xdr:colOff>324308</xdr:colOff>
      <xdr:row>15</xdr:row>
      <xdr:rowOff>88829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7DDEA6FA-CB47-4A7F-BB75-5331F24081A4}"/>
            </a:ext>
          </a:extLst>
        </xdr:cNvPr>
        <xdr:cNvSpPr/>
      </xdr:nvSpPr>
      <xdr:spPr>
        <a:xfrm>
          <a:off x="7314847" y="2498019"/>
          <a:ext cx="324661" cy="353060"/>
        </a:xfrm>
        <a:prstGeom prst="ellipse">
          <a:avLst/>
        </a:prstGeom>
        <a:solidFill>
          <a:srgbClr val="004F8B">
            <a:alpha val="5000"/>
          </a:srgbClr>
        </a:solidFill>
        <a:ln w="18000">
          <a:solidFill>
            <a:srgbClr val="004F8B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>
            <a:solidFill>
              <a:srgbClr val="004F8B"/>
            </a:solidFill>
          </a:endParaRPr>
        </a:p>
      </xdr:txBody>
    </xdr:sp>
    <xdr:clientData/>
  </xdr:twoCellAnchor>
  <xdr:twoCellAnchor>
    <xdr:from>
      <xdr:col>13</xdr:col>
      <xdr:colOff>177272</xdr:colOff>
      <xdr:row>11</xdr:row>
      <xdr:rowOff>101425</xdr:rowOff>
    </xdr:from>
    <xdr:to>
      <xdr:col>13</xdr:col>
      <xdr:colOff>618880</xdr:colOff>
      <xdr:row>13</xdr:row>
      <xdr:rowOff>86185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44A63B56-5963-4CC4-B350-F6C08FF99693}"/>
            </a:ext>
          </a:extLst>
        </xdr:cNvPr>
        <xdr:cNvSpPr/>
      </xdr:nvSpPr>
      <xdr:spPr>
        <a:xfrm>
          <a:off x="8102072" y="2127075"/>
          <a:ext cx="435258" cy="353060"/>
        </a:xfrm>
        <a:prstGeom prst="ellipse">
          <a:avLst/>
        </a:prstGeom>
        <a:solidFill>
          <a:srgbClr val="004F8B">
            <a:alpha val="5000"/>
          </a:srgbClr>
        </a:solidFill>
        <a:ln w="18000">
          <a:solidFill>
            <a:srgbClr val="004F8B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>
            <a:solidFill>
              <a:srgbClr val="004F8B"/>
            </a:solidFill>
          </a:endParaRPr>
        </a:p>
      </xdr:txBody>
    </xdr:sp>
    <xdr:clientData/>
  </xdr:twoCellAnchor>
  <xdr:twoCellAnchor>
    <xdr:from>
      <xdr:col>13</xdr:col>
      <xdr:colOff>207965</xdr:colOff>
      <xdr:row>14</xdr:row>
      <xdr:rowOff>43921</xdr:rowOff>
    </xdr:from>
    <xdr:to>
      <xdr:col>13</xdr:col>
      <xdr:colOff>573725</xdr:colOff>
      <xdr:row>16</xdr:row>
      <xdr:rowOff>28681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95A42803-9099-4226-AF92-D2FED2F23106}"/>
            </a:ext>
          </a:extLst>
        </xdr:cNvPr>
        <xdr:cNvSpPr/>
      </xdr:nvSpPr>
      <xdr:spPr>
        <a:xfrm>
          <a:off x="8132765" y="2622021"/>
          <a:ext cx="365760" cy="353060"/>
        </a:xfrm>
        <a:prstGeom prst="ellipse">
          <a:avLst/>
        </a:prstGeom>
        <a:solidFill>
          <a:srgbClr val="004F8B">
            <a:alpha val="5000"/>
          </a:srgbClr>
        </a:solidFill>
        <a:ln w="18000">
          <a:solidFill>
            <a:srgbClr val="004F8B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>
            <a:solidFill>
              <a:srgbClr val="004F8B"/>
            </a:solidFill>
          </a:endParaRPr>
        </a:p>
      </xdr:txBody>
    </xdr:sp>
    <xdr:clientData/>
  </xdr:twoCellAnchor>
  <xdr:twoCellAnchor>
    <xdr:from>
      <xdr:col>13</xdr:col>
      <xdr:colOff>98427</xdr:colOff>
      <xdr:row>16</xdr:row>
      <xdr:rowOff>141639</xdr:rowOff>
    </xdr:from>
    <xdr:to>
      <xdr:col>13</xdr:col>
      <xdr:colOff>464187</xdr:colOff>
      <xdr:row>18</xdr:row>
      <xdr:rowOff>126399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BAE596A2-786B-411E-8AA2-32CEEF44621E}"/>
            </a:ext>
          </a:extLst>
        </xdr:cNvPr>
        <xdr:cNvSpPr/>
      </xdr:nvSpPr>
      <xdr:spPr>
        <a:xfrm>
          <a:off x="8023227" y="3088039"/>
          <a:ext cx="365760" cy="353060"/>
        </a:xfrm>
        <a:prstGeom prst="ellipse">
          <a:avLst/>
        </a:prstGeom>
        <a:solidFill>
          <a:srgbClr val="004F8B">
            <a:alpha val="5000"/>
          </a:srgbClr>
        </a:solidFill>
        <a:ln w="18000">
          <a:solidFill>
            <a:srgbClr val="004F8B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>
            <a:solidFill>
              <a:srgbClr val="004F8B"/>
            </a:solidFill>
          </a:endParaRPr>
        </a:p>
      </xdr:txBody>
    </xdr:sp>
    <xdr:clientData/>
  </xdr:twoCellAnchor>
  <xdr:twoCellAnchor>
    <xdr:from>
      <xdr:col>12</xdr:col>
      <xdr:colOff>275135</xdr:colOff>
      <xdr:row>12</xdr:row>
      <xdr:rowOff>93805</xdr:rowOff>
    </xdr:from>
    <xdr:to>
      <xdr:col>13</xdr:col>
      <xdr:colOff>177272</xdr:colOff>
      <xdr:row>13</xdr:row>
      <xdr:rowOff>155308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14B3B851-AD7C-433D-B2D8-0F3DAFDA6D32}"/>
            </a:ext>
          </a:extLst>
        </xdr:cNvPr>
        <xdr:cNvCxnSpPr>
          <a:stCxn id="7" idx="7"/>
          <a:endCxn id="8" idx="2"/>
        </xdr:cNvCxnSpPr>
      </xdr:nvCxnSpPr>
      <xdr:spPr>
        <a:xfrm flipV="1">
          <a:off x="7590335" y="2303605"/>
          <a:ext cx="511737" cy="245653"/>
        </a:xfrm>
        <a:prstGeom prst="line">
          <a:avLst/>
        </a:prstGeom>
        <a:solidFill>
          <a:srgbClr val="004F8B">
            <a:alpha val="5000"/>
          </a:srgbClr>
        </a:solidFill>
        <a:ln w="18000">
          <a:solidFill>
            <a:srgbClr val="004F8B"/>
          </a:solidFill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275135</xdr:colOff>
      <xdr:row>13</xdr:row>
      <xdr:rowOff>155308</xdr:rowOff>
    </xdr:from>
    <xdr:to>
      <xdr:col>13</xdr:col>
      <xdr:colOff>261529</xdr:colOff>
      <xdr:row>14</xdr:row>
      <xdr:rowOff>95160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2587FE91-A88D-435C-8D21-6FDF0E8AC4F1}"/>
            </a:ext>
          </a:extLst>
        </xdr:cNvPr>
        <xdr:cNvCxnSpPr>
          <a:stCxn id="7" idx="7"/>
          <a:endCxn id="9" idx="1"/>
        </xdr:cNvCxnSpPr>
      </xdr:nvCxnSpPr>
      <xdr:spPr>
        <a:xfrm>
          <a:off x="7590335" y="2549258"/>
          <a:ext cx="595994" cy="124002"/>
        </a:xfrm>
        <a:prstGeom prst="line">
          <a:avLst/>
        </a:prstGeom>
        <a:solidFill>
          <a:srgbClr val="004F8B">
            <a:alpha val="5000"/>
          </a:srgbClr>
        </a:solidFill>
        <a:ln w="18000">
          <a:solidFill>
            <a:srgbClr val="004F8B"/>
          </a:solidFill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275135</xdr:colOff>
      <xdr:row>13</xdr:row>
      <xdr:rowOff>155308</xdr:rowOff>
    </xdr:from>
    <xdr:to>
      <xdr:col>13</xdr:col>
      <xdr:colOff>151991</xdr:colOff>
      <xdr:row>17</xdr:row>
      <xdr:rowOff>10316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8AE271BC-64E6-4077-A73D-E605C6B45C04}"/>
            </a:ext>
          </a:extLst>
        </xdr:cNvPr>
        <xdr:cNvCxnSpPr>
          <a:stCxn id="7" idx="7"/>
          <a:endCxn id="10" idx="1"/>
        </xdr:cNvCxnSpPr>
      </xdr:nvCxnSpPr>
      <xdr:spPr>
        <a:xfrm>
          <a:off x="7590335" y="2549258"/>
          <a:ext cx="486456" cy="591608"/>
        </a:xfrm>
        <a:prstGeom prst="line">
          <a:avLst/>
        </a:prstGeom>
        <a:solidFill>
          <a:srgbClr val="004F8B">
            <a:alpha val="5000"/>
          </a:srgbClr>
        </a:solidFill>
        <a:ln w="18000">
          <a:solidFill>
            <a:srgbClr val="004F8B"/>
          </a:solidFill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337615</xdr:colOff>
      <xdr:row>12</xdr:row>
      <xdr:rowOff>3652</xdr:rowOff>
    </xdr:from>
    <xdr:ext cx="134280" cy="15228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8ABC65C0-1E42-4ADF-AFB6-3F717277958E}"/>
                </a:ext>
              </a:extLst>
            </xdr14:cNvPr>
            <xdr14:cNvContentPartPr/>
          </xdr14:nvContentPartPr>
          <xdr14:nvPr macro=""/>
          <xdr14:xfrm>
            <a:off x="11307240" y="2265840"/>
            <a:ext cx="134280" cy="152280"/>
          </xdr14:xfrm>
        </xdr:contentPart>
      </mc:Choice>
      <mc:Fallback xmlns="">
        <xdr:pic>
          <xdr:nvPicPr>
            <xdr:cNvPr id="40" name="Ink 39">
              <a:extLst>
                <a:ext uri="{FF2B5EF4-FFF2-40B4-BE49-F238E27FC236}">
                  <a16:creationId xmlns:a16="http://schemas.microsoft.com/office/drawing/2014/main" id="{8EB0B373-C46C-B98B-D834-7655D9C9EFFA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1298600" y="2256840"/>
              <a:ext cx="151920" cy="1699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217735</xdr:colOff>
      <xdr:row>17</xdr:row>
      <xdr:rowOff>32600</xdr:rowOff>
    </xdr:from>
    <xdr:ext cx="183240" cy="21533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EF1E7C88-B39D-4214-9674-1E6649EE2303}"/>
                </a:ext>
              </a:extLst>
            </xdr14:cNvPr>
            <xdr14:cNvContentPartPr/>
          </xdr14:nvContentPartPr>
          <xdr14:nvPr macro=""/>
          <xdr14:xfrm>
            <a:off x="11187360" y="3207600"/>
            <a:ext cx="183240" cy="213840"/>
          </xdr14:xfrm>
        </xdr:contentPart>
      </mc:Choice>
      <mc:Fallback xmlns="">
        <xdr:pic>
          <xdr:nvPicPr>
            <xdr:cNvPr id="44" name="Ink 43">
              <a:extLst>
                <a:ext uri="{FF2B5EF4-FFF2-40B4-BE49-F238E27FC236}">
                  <a16:creationId xmlns:a16="http://schemas.microsoft.com/office/drawing/2014/main" id="{947C0E50-C78C-0F25-4076-F93AB0EFD5B8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11178720" y="3198960"/>
              <a:ext cx="200880" cy="231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301255</xdr:colOff>
      <xdr:row>14</xdr:row>
      <xdr:rowOff>111207</xdr:rowOff>
    </xdr:from>
    <xdr:ext cx="192600" cy="217856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73EECE31-B0B9-427E-B958-70059FD3923C}"/>
                </a:ext>
              </a:extLst>
            </xdr14:cNvPr>
            <xdr14:cNvContentPartPr/>
          </xdr14:nvContentPartPr>
          <xdr14:nvPr macro=""/>
          <xdr14:xfrm>
            <a:off x="11270880" y="2738520"/>
            <a:ext cx="192600" cy="216360"/>
          </xdr14:xfrm>
        </xdr:contentPart>
      </mc:Choice>
      <mc:Fallback xmlns="">
        <xdr:pic>
          <xdr:nvPicPr>
            <xdr:cNvPr id="45" name="Ink 44">
              <a:extLst>
                <a:ext uri="{FF2B5EF4-FFF2-40B4-BE49-F238E27FC236}">
                  <a16:creationId xmlns:a16="http://schemas.microsoft.com/office/drawing/2014/main" id="{5E2411C5-C08A-A3D3-AD36-E6B0757C1011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11261897" y="2729520"/>
              <a:ext cx="210207" cy="234000"/>
            </a:xfrm>
            <a:prstGeom prst="rect">
              <a:avLst/>
            </a:prstGeom>
          </xdr:spPr>
        </xdr:pic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21166</xdr:colOff>
      <xdr:row>12</xdr:row>
      <xdr:rowOff>84668</xdr:rowOff>
    </xdr:from>
    <xdr:to>
      <xdr:col>28</xdr:col>
      <xdr:colOff>84666</xdr:colOff>
      <xdr:row>25</xdr:row>
      <xdr:rowOff>91722</xdr:rowOff>
    </xdr:to>
    <xdr:graphicFrame macro="">
      <xdr:nvGraphicFramePr>
        <xdr:cNvPr id="25" name="Chart 1">
          <a:extLst>
            <a:ext uri="{FF2B5EF4-FFF2-40B4-BE49-F238E27FC236}">
              <a16:creationId xmlns:a16="http://schemas.microsoft.com/office/drawing/2014/main" id="{EBE33525-BC16-4BC8-A6AF-15B154C6B4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98778</xdr:colOff>
      <xdr:row>12</xdr:row>
      <xdr:rowOff>98778</xdr:rowOff>
    </xdr:from>
    <xdr:to>
      <xdr:col>35</xdr:col>
      <xdr:colOff>201934</xdr:colOff>
      <xdr:row>25</xdr:row>
      <xdr:rowOff>68773</xdr:rowOff>
    </xdr:to>
    <xdr:graphicFrame macro="">
      <xdr:nvGraphicFramePr>
        <xdr:cNvPr id="29" name="Chart 2">
          <a:extLst>
            <a:ext uri="{FF2B5EF4-FFF2-40B4-BE49-F238E27FC236}">
              <a16:creationId xmlns:a16="http://schemas.microsoft.com/office/drawing/2014/main" id="{F2C33BEB-86CD-4510-9404-FC2DD57034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35</xdr:col>
      <xdr:colOff>232833</xdr:colOff>
      <xdr:row>12</xdr:row>
      <xdr:rowOff>119945</xdr:rowOff>
    </xdr:from>
    <xdr:to>
      <xdr:col>42</xdr:col>
      <xdr:colOff>370892</xdr:colOff>
      <xdr:row>25</xdr:row>
      <xdr:rowOff>25322</xdr:rowOff>
    </xdr:to>
    <xdr:graphicFrame macro="">
      <xdr:nvGraphicFramePr>
        <xdr:cNvPr id="33" name="Chart 3">
          <a:extLst>
            <a:ext uri="{FF2B5EF4-FFF2-40B4-BE49-F238E27FC236}">
              <a16:creationId xmlns:a16="http://schemas.microsoft.com/office/drawing/2014/main" id="{0DABFC37-1118-4CF8-A9C2-40AB0FB5F8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13039</xdr:colOff>
      <xdr:row>4</xdr:row>
      <xdr:rowOff>72307</xdr:rowOff>
    </xdr:from>
    <xdr:to>
      <xdr:col>24</xdr:col>
      <xdr:colOff>603898</xdr:colOff>
      <xdr:row>8</xdr:row>
      <xdr:rowOff>50742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E3135A7-EB42-4CF2-8101-FAC80E4C3115}"/>
            </a:ext>
          </a:extLst>
        </xdr:cNvPr>
        <xdr:cNvCxnSpPr>
          <a:stCxn id="10" idx="7"/>
          <a:endCxn id="11" idx="3"/>
        </xdr:cNvCxnSpPr>
      </xdr:nvCxnSpPr>
      <xdr:spPr>
        <a:xfrm flipV="1">
          <a:off x="18955089" y="815257"/>
          <a:ext cx="590859" cy="715035"/>
        </a:xfrm>
        <a:prstGeom prst="line">
          <a:avLst/>
        </a:prstGeom>
        <a:solidFill>
          <a:srgbClr val="004F8B">
            <a:alpha val="5000"/>
          </a:srgbClr>
        </a:solidFill>
        <a:ln w="18000">
          <a:solidFill>
            <a:srgbClr val="E08E08"/>
          </a:solidFill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9092</xdr:colOff>
      <xdr:row>8</xdr:row>
      <xdr:rowOff>1810</xdr:rowOff>
    </xdr:from>
    <xdr:to>
      <xdr:col>23</xdr:col>
      <xdr:colOff>540455</xdr:colOff>
      <xdr:row>8</xdr:row>
      <xdr:rowOff>180058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5B476F89-14A1-4ADA-8739-1924C34DDBB4}"/>
            </a:ext>
          </a:extLst>
        </xdr:cNvPr>
        <xdr:cNvCxnSpPr>
          <a:endCxn id="10" idx="2"/>
        </xdr:cNvCxnSpPr>
      </xdr:nvCxnSpPr>
      <xdr:spPr>
        <a:xfrm>
          <a:off x="18112942" y="1481360"/>
          <a:ext cx="531363" cy="178248"/>
        </a:xfrm>
        <a:prstGeom prst="line">
          <a:avLst/>
        </a:prstGeom>
        <a:solidFill>
          <a:srgbClr val="004F8B">
            <a:alpha val="5000"/>
          </a:srgbClr>
        </a:solidFill>
        <a:ln w="18000">
          <a:solidFill>
            <a:srgbClr val="004F8B"/>
          </a:solidFill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29086</xdr:colOff>
      <xdr:row>4</xdr:row>
      <xdr:rowOff>175824</xdr:rowOff>
    </xdr:from>
    <xdr:to>
      <xdr:col>23</xdr:col>
      <xdr:colOff>536223</xdr:colOff>
      <xdr:row>6</xdr:row>
      <xdr:rowOff>157366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687C9F2D-3716-4F95-BC8C-9D76215BE0E9}"/>
            </a:ext>
          </a:extLst>
        </xdr:cNvPr>
        <xdr:cNvCxnSpPr>
          <a:endCxn id="9" idx="2"/>
        </xdr:cNvCxnSpPr>
      </xdr:nvCxnSpPr>
      <xdr:spPr>
        <a:xfrm flipV="1">
          <a:off x="18132936" y="918774"/>
          <a:ext cx="507137" cy="349842"/>
        </a:xfrm>
        <a:prstGeom prst="line">
          <a:avLst/>
        </a:prstGeom>
        <a:solidFill>
          <a:srgbClr val="004F8B">
            <a:alpha val="5000"/>
          </a:srgbClr>
        </a:solidFill>
        <a:ln w="18000">
          <a:solidFill>
            <a:srgbClr val="004F8B"/>
          </a:solidFill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423220</xdr:colOff>
      <xdr:row>6</xdr:row>
      <xdr:rowOff>86462</xdr:rowOff>
    </xdr:from>
    <xdr:to>
      <xdr:col>23</xdr:col>
      <xdr:colOff>55203</xdr:colOff>
      <xdr:row>8</xdr:row>
      <xdr:rowOff>71222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357312B8-4B99-4A6C-B51E-3CC55673211D}"/>
            </a:ext>
          </a:extLst>
        </xdr:cNvPr>
        <xdr:cNvSpPr/>
      </xdr:nvSpPr>
      <xdr:spPr>
        <a:xfrm>
          <a:off x="17796820" y="1197712"/>
          <a:ext cx="362233" cy="353060"/>
        </a:xfrm>
        <a:prstGeom prst="ellipse">
          <a:avLst/>
        </a:prstGeom>
        <a:solidFill>
          <a:srgbClr val="004F8B">
            <a:alpha val="5000"/>
          </a:srgbClr>
        </a:solidFill>
        <a:ln w="18000">
          <a:solidFill>
            <a:srgbClr val="004F8B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>
            <a:solidFill>
              <a:srgbClr val="004F8B"/>
            </a:solidFill>
          </a:endParaRPr>
        </a:p>
      </xdr:txBody>
    </xdr:sp>
    <xdr:clientData/>
  </xdr:twoCellAnchor>
  <xdr:twoCellAnchor>
    <xdr:from>
      <xdr:col>23</xdr:col>
      <xdr:colOff>536223</xdr:colOff>
      <xdr:row>3</xdr:row>
      <xdr:rowOff>183444</xdr:rowOff>
    </xdr:from>
    <xdr:to>
      <xdr:col>24</xdr:col>
      <xdr:colOff>62371</xdr:colOff>
      <xdr:row>5</xdr:row>
      <xdr:rowOff>168204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4A861202-E6BF-4B16-97D1-8A3FF4BE84C7}"/>
            </a:ext>
          </a:extLst>
        </xdr:cNvPr>
        <xdr:cNvSpPr/>
      </xdr:nvSpPr>
      <xdr:spPr>
        <a:xfrm>
          <a:off x="18640073" y="742244"/>
          <a:ext cx="364348" cy="353060"/>
        </a:xfrm>
        <a:prstGeom prst="ellipse">
          <a:avLst/>
        </a:prstGeom>
        <a:solidFill>
          <a:srgbClr val="004F8B">
            <a:alpha val="5000"/>
          </a:srgbClr>
        </a:solidFill>
        <a:ln w="18000">
          <a:solidFill>
            <a:srgbClr val="004F8B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>
            <a:solidFill>
              <a:srgbClr val="004F8B"/>
            </a:solidFill>
          </a:endParaRPr>
        </a:p>
      </xdr:txBody>
    </xdr:sp>
    <xdr:clientData/>
  </xdr:twoCellAnchor>
  <xdr:twoCellAnchor>
    <xdr:from>
      <xdr:col>23</xdr:col>
      <xdr:colOff>540455</xdr:colOff>
      <xdr:row>7</xdr:row>
      <xdr:rowOff>187678</xdr:rowOff>
    </xdr:from>
    <xdr:to>
      <xdr:col>24</xdr:col>
      <xdr:colOff>66603</xdr:colOff>
      <xdr:row>9</xdr:row>
      <xdr:rowOff>172438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9A276C4F-FD4E-45F9-BEB1-B1E8134B6DD1}"/>
            </a:ext>
          </a:extLst>
        </xdr:cNvPr>
        <xdr:cNvSpPr/>
      </xdr:nvSpPr>
      <xdr:spPr>
        <a:xfrm>
          <a:off x="18644305" y="1476728"/>
          <a:ext cx="364348" cy="365760"/>
        </a:xfrm>
        <a:prstGeom prst="ellipse">
          <a:avLst/>
        </a:prstGeom>
        <a:solidFill>
          <a:srgbClr val="004F8B">
            <a:alpha val="5000"/>
          </a:srgbClr>
        </a:solidFill>
        <a:ln w="18000">
          <a:solidFill>
            <a:srgbClr val="E08E08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>
            <a:solidFill>
              <a:srgbClr val="004F8B"/>
            </a:solidFill>
          </a:endParaRPr>
        </a:p>
      </xdr:txBody>
    </xdr:sp>
    <xdr:clientData/>
  </xdr:twoCellAnchor>
  <xdr:twoCellAnchor>
    <xdr:from>
      <xdr:col>24</xdr:col>
      <xdr:colOff>550334</xdr:colOff>
      <xdr:row>2</xdr:row>
      <xdr:rowOff>141111</xdr:rowOff>
    </xdr:from>
    <xdr:to>
      <xdr:col>25</xdr:col>
      <xdr:colOff>309317</xdr:colOff>
      <xdr:row>4</xdr:row>
      <xdr:rowOff>125871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717D09EA-D8BA-4867-A107-D69B38EE4E60}"/>
            </a:ext>
          </a:extLst>
        </xdr:cNvPr>
        <xdr:cNvSpPr/>
      </xdr:nvSpPr>
      <xdr:spPr>
        <a:xfrm>
          <a:off x="19492384" y="515761"/>
          <a:ext cx="368583" cy="353060"/>
        </a:xfrm>
        <a:prstGeom prst="ellipse">
          <a:avLst/>
        </a:prstGeom>
        <a:solidFill>
          <a:srgbClr val="004F8B">
            <a:alpha val="5000"/>
          </a:srgbClr>
        </a:solidFill>
        <a:ln w="18000">
          <a:solidFill>
            <a:srgbClr val="004F8B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>
            <a:solidFill>
              <a:srgbClr val="004F8B"/>
            </a:solidFill>
          </a:endParaRPr>
        </a:p>
      </xdr:txBody>
    </xdr:sp>
    <xdr:clientData/>
  </xdr:twoCellAnchor>
  <xdr:twoCellAnchor>
    <xdr:from>
      <xdr:col>25</xdr:col>
      <xdr:colOff>25403</xdr:colOff>
      <xdr:row>6</xdr:row>
      <xdr:rowOff>67733</xdr:rowOff>
    </xdr:from>
    <xdr:to>
      <xdr:col>25</xdr:col>
      <xdr:colOff>391163</xdr:colOff>
      <xdr:row>8</xdr:row>
      <xdr:rowOff>52493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79CED1E1-30A8-4C66-B605-6FCC6D6D9621}"/>
            </a:ext>
          </a:extLst>
        </xdr:cNvPr>
        <xdr:cNvSpPr/>
      </xdr:nvSpPr>
      <xdr:spPr>
        <a:xfrm>
          <a:off x="19577053" y="1178983"/>
          <a:ext cx="365760" cy="353060"/>
        </a:xfrm>
        <a:prstGeom prst="ellipse">
          <a:avLst/>
        </a:prstGeom>
        <a:solidFill>
          <a:srgbClr val="004F8B">
            <a:alpha val="5000"/>
          </a:srgbClr>
        </a:solidFill>
        <a:ln w="18000">
          <a:solidFill>
            <a:srgbClr val="004F8B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>
            <a:solidFill>
              <a:srgbClr val="004F8B"/>
            </a:solidFill>
          </a:endParaRPr>
        </a:p>
      </xdr:txBody>
    </xdr:sp>
    <xdr:clientData/>
  </xdr:twoCellAnchor>
  <xdr:twoCellAnchor>
    <xdr:from>
      <xdr:col>25</xdr:col>
      <xdr:colOff>50802</xdr:colOff>
      <xdr:row>9</xdr:row>
      <xdr:rowOff>149577</xdr:rowOff>
    </xdr:from>
    <xdr:to>
      <xdr:col>25</xdr:col>
      <xdr:colOff>416562</xdr:colOff>
      <xdr:row>11</xdr:row>
      <xdr:rowOff>134337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F477D7D7-06E6-4F37-89DE-D99435A5B77A}"/>
            </a:ext>
          </a:extLst>
        </xdr:cNvPr>
        <xdr:cNvSpPr/>
      </xdr:nvSpPr>
      <xdr:spPr>
        <a:xfrm>
          <a:off x="19602452" y="1819627"/>
          <a:ext cx="365760" cy="353060"/>
        </a:xfrm>
        <a:prstGeom prst="ellipse">
          <a:avLst/>
        </a:prstGeom>
        <a:solidFill>
          <a:srgbClr val="004F8B">
            <a:alpha val="5000"/>
          </a:srgbClr>
        </a:solidFill>
        <a:ln w="18000">
          <a:solidFill>
            <a:srgbClr val="004F8B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>
            <a:solidFill>
              <a:srgbClr val="004F8B"/>
            </a:solidFill>
          </a:endParaRPr>
        </a:p>
      </xdr:txBody>
    </xdr:sp>
    <xdr:clientData/>
  </xdr:twoCellAnchor>
  <xdr:twoCellAnchor>
    <xdr:from>
      <xdr:col>24</xdr:col>
      <xdr:colOff>66603</xdr:colOff>
      <xdr:row>8</xdr:row>
      <xdr:rowOff>180058</xdr:rowOff>
    </xdr:from>
    <xdr:to>
      <xdr:col>25</xdr:col>
      <xdr:colOff>50802</xdr:colOff>
      <xdr:row>10</xdr:row>
      <xdr:rowOff>141957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FD026858-344A-4FC2-B853-A2E0467C31E9}"/>
            </a:ext>
          </a:extLst>
        </xdr:cNvPr>
        <xdr:cNvCxnSpPr>
          <a:stCxn id="10" idx="6"/>
          <a:endCxn id="13" idx="2"/>
        </xdr:cNvCxnSpPr>
      </xdr:nvCxnSpPr>
      <xdr:spPr>
        <a:xfrm>
          <a:off x="19008653" y="1659608"/>
          <a:ext cx="593799" cy="336549"/>
        </a:xfrm>
        <a:prstGeom prst="line">
          <a:avLst/>
        </a:prstGeom>
        <a:solidFill>
          <a:srgbClr val="004F8B">
            <a:alpha val="5000"/>
          </a:srgbClr>
        </a:solidFill>
        <a:ln w="18000">
          <a:solidFill>
            <a:srgbClr val="E08E08"/>
          </a:solidFill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77612</xdr:colOff>
      <xdr:row>7</xdr:row>
      <xdr:rowOff>60113</xdr:rowOff>
    </xdr:from>
    <xdr:to>
      <xdr:col>25</xdr:col>
      <xdr:colOff>25403</xdr:colOff>
      <xdr:row>9</xdr:row>
      <xdr:rowOff>15464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260BCE9E-BE66-4287-9D8E-B872C94526D8}"/>
            </a:ext>
          </a:extLst>
        </xdr:cNvPr>
        <xdr:cNvCxnSpPr>
          <a:endCxn id="12" idx="2"/>
        </xdr:cNvCxnSpPr>
      </xdr:nvCxnSpPr>
      <xdr:spPr>
        <a:xfrm flipV="1">
          <a:off x="19019662" y="1355513"/>
          <a:ext cx="557391" cy="330001"/>
        </a:xfrm>
        <a:prstGeom prst="line">
          <a:avLst/>
        </a:prstGeom>
        <a:solidFill>
          <a:srgbClr val="004F8B">
            <a:alpha val="5000"/>
          </a:srgbClr>
        </a:solidFill>
        <a:ln w="18000">
          <a:solidFill>
            <a:srgbClr val="E08E08"/>
          </a:solidFill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35276</xdr:colOff>
      <xdr:row>3</xdr:row>
      <xdr:rowOff>133491</xdr:rowOff>
    </xdr:from>
    <xdr:to>
      <xdr:col>24</xdr:col>
      <xdr:colOff>550334</xdr:colOff>
      <xdr:row>4</xdr:row>
      <xdr:rowOff>94431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514FFA8A-3ADF-4E1C-B414-06D32D6192C5}"/>
            </a:ext>
          </a:extLst>
        </xdr:cNvPr>
        <xdr:cNvCxnSpPr>
          <a:endCxn id="11" idx="2"/>
        </xdr:cNvCxnSpPr>
      </xdr:nvCxnSpPr>
      <xdr:spPr>
        <a:xfrm flipV="1">
          <a:off x="18977326" y="692291"/>
          <a:ext cx="515058" cy="145090"/>
        </a:xfrm>
        <a:prstGeom prst="line">
          <a:avLst/>
        </a:prstGeom>
        <a:solidFill>
          <a:srgbClr val="004F8B">
            <a:alpha val="5000"/>
          </a:srgbClr>
        </a:solidFill>
        <a:ln w="18000">
          <a:solidFill>
            <a:srgbClr val="004F8B"/>
          </a:solidFill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28224</xdr:colOff>
      <xdr:row>5</xdr:row>
      <xdr:rowOff>66209</xdr:rowOff>
    </xdr:from>
    <xdr:to>
      <xdr:col>25</xdr:col>
      <xdr:colOff>337599</xdr:colOff>
      <xdr:row>6</xdr:row>
      <xdr:rowOff>121297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CB1D5005-3EA1-4F5C-8BEE-66BE14459C8D}"/>
            </a:ext>
          </a:extLst>
        </xdr:cNvPr>
        <xdr:cNvCxnSpPr>
          <a:endCxn id="12" idx="7"/>
        </xdr:cNvCxnSpPr>
      </xdr:nvCxnSpPr>
      <xdr:spPr>
        <a:xfrm>
          <a:off x="18970274" y="993309"/>
          <a:ext cx="918975" cy="239238"/>
        </a:xfrm>
        <a:prstGeom prst="line">
          <a:avLst/>
        </a:prstGeom>
        <a:solidFill>
          <a:srgbClr val="004F8B">
            <a:alpha val="5000"/>
          </a:srgbClr>
        </a:solidFill>
        <a:ln w="18000">
          <a:solidFill>
            <a:srgbClr val="004F8B"/>
          </a:solidFill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5</xdr:row>
      <xdr:rowOff>136764</xdr:rowOff>
    </xdr:from>
    <xdr:to>
      <xdr:col>25</xdr:col>
      <xdr:colOff>104366</xdr:colOff>
      <xdr:row>10</xdr:row>
      <xdr:rowOff>12641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1BF21D50-1E1F-4B2B-9A6B-F5081B185AAD}"/>
            </a:ext>
          </a:extLst>
        </xdr:cNvPr>
        <xdr:cNvCxnSpPr>
          <a:endCxn id="13" idx="1"/>
        </xdr:cNvCxnSpPr>
      </xdr:nvCxnSpPr>
      <xdr:spPr>
        <a:xfrm>
          <a:off x="18942050" y="1063864"/>
          <a:ext cx="713966" cy="802977"/>
        </a:xfrm>
        <a:prstGeom prst="line">
          <a:avLst/>
        </a:prstGeom>
        <a:solidFill>
          <a:srgbClr val="004F8B">
            <a:alpha val="5000"/>
          </a:srgbClr>
        </a:solidFill>
        <a:ln w="18000">
          <a:solidFill>
            <a:srgbClr val="004F8B"/>
          </a:solidFill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25</xdr:col>
      <xdr:colOff>73996</xdr:colOff>
      <xdr:row>3</xdr:row>
      <xdr:rowOff>46980</xdr:rowOff>
    </xdr:from>
    <xdr:to>
      <xdr:col>25</xdr:col>
      <xdr:colOff>181636</xdr:colOff>
      <xdr:row>4</xdr:row>
      <xdr:rowOff>34550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EBF93C59-ED1B-4CDB-8872-15798EB89AD5}"/>
                </a:ext>
              </a:extLst>
            </xdr14:cNvPr>
            <xdr14:cNvContentPartPr/>
          </xdr14:nvContentPartPr>
          <xdr14:nvPr macro=""/>
          <xdr14:xfrm>
            <a:off x="19610829" y="618480"/>
            <a:ext cx="107640" cy="171720"/>
          </xdr14:xfrm>
        </xdr:contentPart>
      </mc:Choice>
      <mc:Fallback xmlns=""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40261D33-CBE1-4B5D-8146-3C95F3A944A8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9601829" y="609480"/>
              <a:ext cx="125280" cy="189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148156</xdr:colOff>
      <xdr:row>10</xdr:row>
      <xdr:rowOff>94440</xdr:rowOff>
    </xdr:from>
    <xdr:to>
      <xdr:col>25</xdr:col>
      <xdr:colOff>313396</xdr:colOff>
      <xdr:row>11</xdr:row>
      <xdr:rowOff>87411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7DB4532C-7187-4C82-AB76-C881261CA3D7}"/>
                </a:ext>
              </a:extLst>
            </xdr14:cNvPr>
            <xdr14:cNvContentPartPr/>
          </xdr14:nvContentPartPr>
          <xdr14:nvPr macro=""/>
          <xdr14:xfrm>
            <a:off x="19684989" y="1999440"/>
            <a:ext cx="165240" cy="177120"/>
          </xdr14:xfrm>
        </xdr:contentPart>
      </mc:Choice>
      <mc:Fallback xmlns=""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E647D48D-E38E-4C39-B006-6BCAA94C8DD5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19676349" y="1990800"/>
              <a:ext cx="182880" cy="194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113236</xdr:colOff>
      <xdr:row>6</xdr:row>
      <xdr:rowOff>164520</xdr:rowOff>
    </xdr:from>
    <xdr:to>
      <xdr:col>25</xdr:col>
      <xdr:colOff>275236</xdr:colOff>
      <xdr:row>7</xdr:row>
      <xdr:rowOff>167929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EFCE23E4-1D15-438C-AC43-4C8040B35D5E}"/>
                </a:ext>
              </a:extLst>
            </xdr14:cNvPr>
            <xdr14:cNvContentPartPr/>
          </xdr14:nvContentPartPr>
          <xdr14:nvPr macro=""/>
          <xdr14:xfrm>
            <a:off x="20863625" y="1829631"/>
            <a:ext cx="162000" cy="186854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03AAEBDB-F8BE-4E48-984C-899B227AC45B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20854625" y="1820665"/>
              <a:ext cx="179640" cy="204428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138844</xdr:colOff>
      <xdr:row>9</xdr:row>
      <xdr:rowOff>49138</xdr:rowOff>
    </xdr:from>
    <xdr:to>
      <xdr:col>33</xdr:col>
      <xdr:colOff>356243</xdr:colOff>
      <xdr:row>21</xdr:row>
      <xdr:rowOff>158752</xdr:rowOff>
    </xdr:to>
    <xdr:graphicFrame macro="">
      <xdr:nvGraphicFramePr>
        <xdr:cNvPr id="8" name="Chart 1">
          <a:extLst>
            <a:ext uri="{FF2B5EF4-FFF2-40B4-BE49-F238E27FC236}">
              <a16:creationId xmlns:a16="http://schemas.microsoft.com/office/drawing/2014/main" id="{D3C92B72-C1CB-4F45-857B-009AC11485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33</xdr:col>
      <xdr:colOff>386009</xdr:colOff>
      <xdr:row>9</xdr:row>
      <xdr:rowOff>66617</xdr:rowOff>
    </xdr:from>
    <xdr:to>
      <xdr:col>39</xdr:col>
      <xdr:colOff>571690</xdr:colOff>
      <xdr:row>21</xdr:row>
      <xdr:rowOff>145994</xdr:rowOff>
    </xdr:to>
    <xdr:graphicFrame macro="">
      <xdr:nvGraphicFramePr>
        <xdr:cNvPr id="12" name="Chart 2">
          <a:extLst>
            <a:ext uri="{FF2B5EF4-FFF2-40B4-BE49-F238E27FC236}">
              <a16:creationId xmlns:a16="http://schemas.microsoft.com/office/drawing/2014/main" id="{A596F563-AB55-4745-B041-9DC49A8E28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39</xdr:col>
      <xdr:colOff>601451</xdr:colOff>
      <xdr:row>9</xdr:row>
      <xdr:rowOff>78902</xdr:rowOff>
    </xdr:from>
    <xdr:to>
      <xdr:col>47</xdr:col>
      <xdr:colOff>571685</xdr:colOff>
      <xdr:row>21</xdr:row>
      <xdr:rowOff>158751</xdr:rowOff>
    </xdr:to>
    <xdr:graphicFrame macro="">
      <xdr:nvGraphicFramePr>
        <xdr:cNvPr id="16" name="Chart 3">
          <a:extLst>
            <a:ext uri="{FF2B5EF4-FFF2-40B4-BE49-F238E27FC236}">
              <a16:creationId xmlns:a16="http://schemas.microsoft.com/office/drawing/2014/main" id="{9E2489CD-AE8E-4746-8CED-EDD72E9047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24765</xdr:colOff>
      <xdr:row>0</xdr:row>
      <xdr:rowOff>0</xdr:rowOff>
    </xdr:from>
    <xdr:to>
      <xdr:col>21</xdr:col>
      <xdr:colOff>355433</xdr:colOff>
      <xdr:row>13</xdr:row>
      <xdr:rowOff>155883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BDF40D-0F95-4809-9E95-396F257BC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4190" y="0"/>
          <a:ext cx="6426668" cy="2622858"/>
        </a:xfrm>
        <a:prstGeom prst="rect">
          <a:avLst/>
        </a:prstGeom>
      </xdr:spPr>
    </xdr:pic>
    <xdr:clientData/>
  </xdr:twoCellAnchor>
  <xdr:twoCellAnchor>
    <xdr:from>
      <xdr:col>10</xdr:col>
      <xdr:colOff>594360</xdr:colOff>
      <xdr:row>15</xdr:row>
      <xdr:rowOff>11430</xdr:rowOff>
    </xdr:from>
    <xdr:to>
      <xdr:col>17</xdr:col>
      <xdr:colOff>289560</xdr:colOff>
      <xdr:row>30</xdr:row>
      <xdr:rowOff>11430</xdr:rowOff>
    </xdr:to>
    <xdr:graphicFrame macro="">
      <xdr:nvGraphicFramePr>
        <xdr:cNvPr id="3" name="Chart 5">
          <a:extLst>
            <a:ext uri="{FF2B5EF4-FFF2-40B4-BE49-F238E27FC236}">
              <a16:creationId xmlns:a16="http://schemas.microsoft.com/office/drawing/2014/main" id="{B8E63ADC-0062-4474-97AE-04437FB7C296}"/>
            </a:ext>
            <a:ext uri="{147F2762-F138-4A5C-976F-8EAC2B608ADB}">
              <a16:predDERef xmlns:a16="http://schemas.microsoft.com/office/drawing/2014/main" pred="{ABBDF40D-0F95-4809-9E95-396F257BCF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21</xdr:col>
      <xdr:colOff>581025</xdr:colOff>
      <xdr:row>0</xdr:row>
      <xdr:rowOff>114300</xdr:rowOff>
    </xdr:from>
    <xdr:to>
      <xdr:col>24</xdr:col>
      <xdr:colOff>516019</xdr:colOff>
      <xdr:row>9</xdr:row>
      <xdr:rowOff>55103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D1A779B3-D148-4A9A-A4C9-51B4FE8FAFC3}"/>
            </a:ext>
            <a:ext uri="{147F2762-F138-4A5C-976F-8EAC2B608ADB}">
              <a16:predDERef xmlns:a16="http://schemas.microsoft.com/office/drawing/2014/main" pred="{B8E63ADC-0062-4474-97AE-04437FB7C2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506450" y="114300"/>
          <a:ext cx="1763794" cy="164577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24765</xdr:colOff>
      <xdr:row>0</xdr:row>
      <xdr:rowOff>0</xdr:rowOff>
    </xdr:from>
    <xdr:to>
      <xdr:col>21</xdr:col>
      <xdr:colOff>355433</xdr:colOff>
      <xdr:row>14</xdr:row>
      <xdr:rowOff>89208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C245DA-8E5A-9094-D6FA-B8BAE8E031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39965" y="0"/>
          <a:ext cx="6426668" cy="2649528"/>
        </a:xfrm>
        <a:prstGeom prst="rect">
          <a:avLst/>
        </a:prstGeom>
      </xdr:spPr>
    </xdr:pic>
    <xdr:clientData/>
  </xdr:twoCellAnchor>
  <xdr:twoCellAnchor>
    <xdr:from>
      <xdr:col>10</xdr:col>
      <xdr:colOff>594360</xdr:colOff>
      <xdr:row>15</xdr:row>
      <xdr:rowOff>11430</xdr:rowOff>
    </xdr:from>
    <xdr:to>
      <xdr:col>17</xdr:col>
      <xdr:colOff>289560</xdr:colOff>
      <xdr:row>30</xdr:row>
      <xdr:rowOff>11430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BC6F449-D5E6-FCC3-0908-53CA07CBAB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21</xdr:col>
      <xdr:colOff>581025</xdr:colOff>
      <xdr:row>0</xdr:row>
      <xdr:rowOff>114300</xdr:rowOff>
    </xdr:from>
    <xdr:to>
      <xdr:col>24</xdr:col>
      <xdr:colOff>516019</xdr:colOff>
      <xdr:row>9</xdr:row>
      <xdr:rowOff>131303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300AF6E-BD01-41D3-95DB-ACD5233BDC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525500" y="114300"/>
          <a:ext cx="1763794" cy="164577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243840</xdr:colOff>
      <xdr:row>14</xdr:row>
      <xdr:rowOff>171450</xdr:rowOff>
    </xdr:from>
    <xdr:to>
      <xdr:col>19</xdr:col>
      <xdr:colOff>548640</xdr:colOff>
      <xdr:row>29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0F288A-641C-9099-E3A3-8A6E096F1B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388620</xdr:colOff>
      <xdr:row>0</xdr:row>
      <xdr:rowOff>68580</xdr:rowOff>
    </xdr:from>
    <xdr:to>
      <xdr:col>20</xdr:col>
      <xdr:colOff>83820</xdr:colOff>
      <xdr:row>15</xdr:row>
      <xdr:rowOff>68580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928C0DF-2BA1-41D0-A666-3AFEF49244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388620</xdr:colOff>
      <xdr:row>30</xdr:row>
      <xdr:rowOff>106680</xdr:rowOff>
    </xdr:from>
    <xdr:to>
      <xdr:col>20</xdr:col>
      <xdr:colOff>83820</xdr:colOff>
      <xdr:row>45</xdr:row>
      <xdr:rowOff>106680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3AAF346-737B-40EF-8C15-3CD4DFB4D7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95250</xdr:colOff>
      <xdr:row>16</xdr:row>
      <xdr:rowOff>28575</xdr:rowOff>
    </xdr:from>
    <xdr:to>
      <xdr:col>11</xdr:col>
      <xdr:colOff>439534</xdr:colOff>
      <xdr:row>45</xdr:row>
      <xdr:rowOff>19249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C14E0D0-F8B4-498F-8979-8A4E1FA850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5250" y="2924175"/>
          <a:ext cx="8008099" cy="523513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104775</xdr:colOff>
      <xdr:row>0</xdr:row>
      <xdr:rowOff>171450</xdr:rowOff>
    </xdr:from>
    <xdr:to>
      <xdr:col>15</xdr:col>
      <xdr:colOff>210934</xdr:colOff>
      <xdr:row>29</xdr:row>
      <xdr:rowOff>96475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EAECF8-E7BC-4AC6-A55E-34DE98786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3975" y="171450"/>
          <a:ext cx="8030959" cy="516187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499654</xdr:colOff>
      <xdr:row>14</xdr:row>
      <xdr:rowOff>13608</xdr:rowOff>
    </xdr:from>
    <xdr:to>
      <xdr:col>28</xdr:col>
      <xdr:colOff>194854</xdr:colOff>
      <xdr:row>29</xdr:row>
      <xdr:rowOff>13608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E4210D-B730-4531-8343-CFF5CA0B4A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470962</xdr:colOff>
      <xdr:row>0</xdr:row>
      <xdr:rowOff>0</xdr:rowOff>
    </xdr:from>
    <xdr:to>
      <xdr:col>28</xdr:col>
      <xdr:colOff>166162</xdr:colOff>
      <xdr:row>13</xdr:row>
      <xdr:rowOff>182217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09F3ABE-7ABB-4F21-B59E-0E865C0D5A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539929</xdr:colOff>
      <xdr:row>29</xdr:row>
      <xdr:rowOff>109945</xdr:rowOff>
    </xdr:from>
    <xdr:to>
      <xdr:col>28</xdr:col>
      <xdr:colOff>235129</xdr:colOff>
      <xdr:row>44</xdr:row>
      <xdr:rowOff>109945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C71D5F5-A696-4ABC-B6BA-05FC8CB3BD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12</xdr:col>
      <xdr:colOff>161109</xdr:colOff>
      <xdr:row>18</xdr:row>
      <xdr:rowOff>145868</xdr:rowOff>
    </xdr:from>
    <xdr:to>
      <xdr:col>15</xdr:col>
      <xdr:colOff>53037</xdr:colOff>
      <xdr:row>28</xdr:row>
      <xdr:rowOff>610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39DACFD-89B5-4765-8BCE-8EA1F25FF3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445138" y="3661954"/>
          <a:ext cx="1763810" cy="1705312"/>
        </a:xfrm>
        <a:prstGeom prst="rect">
          <a:avLst/>
        </a:prstGeom>
      </xdr:spPr>
    </xdr:pic>
    <xdr:clientData/>
  </xdr:twoCellAnchor>
  <xdr:twoCellAnchor>
    <xdr:from>
      <xdr:col>3</xdr:col>
      <xdr:colOff>343437</xdr:colOff>
      <xdr:row>17</xdr:row>
      <xdr:rowOff>104104</xdr:rowOff>
    </xdr:from>
    <xdr:to>
      <xdr:col>9</xdr:col>
      <xdr:colOff>246845</xdr:colOff>
      <xdr:row>32</xdr:row>
      <xdr:rowOff>110543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9027BC2-1350-61ED-5A16-7B2612D960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45720</xdr:colOff>
      <xdr:row>0</xdr:row>
      <xdr:rowOff>0</xdr:rowOff>
    </xdr:from>
    <xdr:to>
      <xdr:col>10</xdr:col>
      <xdr:colOff>590330</xdr:colOff>
      <xdr:row>9</xdr:row>
      <xdr:rowOff>39797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10B06A-DE49-46D3-8D5B-6EC9B3F1C7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98720" y="0"/>
          <a:ext cx="1763810" cy="1685717"/>
        </a:xfrm>
        <a:prstGeom prst="rect">
          <a:avLst/>
        </a:prstGeom>
      </xdr:spPr>
    </xdr:pic>
    <xdr:clientData/>
  </xdr:twoCellAnchor>
  <xdr:twoCellAnchor editAs="oneCell">
    <xdr:from>
      <xdr:col>2</xdr:col>
      <xdr:colOff>381165</xdr:colOff>
      <xdr:row>9</xdr:row>
      <xdr:rowOff>114134</xdr:rowOff>
    </xdr:from>
    <xdr:to>
      <xdr:col>15</xdr:col>
      <xdr:colOff>305869</xdr:colOff>
      <xdr:row>37</xdr:row>
      <xdr:rowOff>131886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AC0E8BE-B8A0-5D16-13C2-6DF3C850D4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15882" y="1754091"/>
          <a:ext cx="8049944" cy="5123648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426720</xdr:colOff>
      <xdr:row>0</xdr:row>
      <xdr:rowOff>0</xdr:rowOff>
    </xdr:from>
    <xdr:to>
      <xdr:col>22</xdr:col>
      <xdr:colOff>121920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E7A655-C576-1DFC-7A5E-33690A321A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144780</xdr:colOff>
      <xdr:row>0</xdr:row>
      <xdr:rowOff>0</xdr:rowOff>
    </xdr:from>
    <xdr:to>
      <xdr:col>29</xdr:col>
      <xdr:colOff>449580</xdr:colOff>
      <xdr:row>15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30D1AB5-BEA5-45ED-18F1-006CA0624E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22860</xdr:colOff>
      <xdr:row>15</xdr:row>
      <xdr:rowOff>95250</xdr:rowOff>
    </xdr:from>
    <xdr:to>
      <xdr:col>7</xdr:col>
      <xdr:colOff>327660</xdr:colOff>
      <xdr:row>30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190AB53-86C3-619C-D748-1AAE756EC2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350520</xdr:colOff>
      <xdr:row>15</xdr:row>
      <xdr:rowOff>99060</xdr:rowOff>
    </xdr:from>
    <xdr:to>
      <xdr:col>15</xdr:col>
      <xdr:colOff>45720</xdr:colOff>
      <xdr:row>30</xdr:row>
      <xdr:rowOff>99060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50B6842-20B5-4689-AA60-6FF3B44B96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83820</xdr:colOff>
      <xdr:row>15</xdr:row>
      <xdr:rowOff>99060</xdr:rowOff>
    </xdr:from>
    <xdr:to>
      <xdr:col>22</xdr:col>
      <xdr:colOff>388620</xdr:colOff>
      <xdr:row>30</xdr:row>
      <xdr:rowOff>99060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E636E0F-D152-415D-8CD3-B4F2E44A53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37353</xdr:colOff>
      <xdr:row>18</xdr:row>
      <xdr:rowOff>153765</xdr:rowOff>
    </xdr:from>
    <xdr:to>
      <xdr:col>23</xdr:col>
      <xdr:colOff>122929</xdr:colOff>
      <xdr:row>33</xdr:row>
      <xdr:rowOff>179295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669909-F2D1-25F9-B7F5-3B07AA46C4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122519</xdr:colOff>
      <xdr:row>18</xdr:row>
      <xdr:rowOff>164093</xdr:rowOff>
    </xdr:from>
    <xdr:to>
      <xdr:col>26</xdr:col>
      <xdr:colOff>1783380</xdr:colOff>
      <xdr:row>34</xdr:row>
      <xdr:rowOff>7808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590B755-4506-449B-AE47-36FA6EF450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1792344</xdr:colOff>
      <xdr:row>18</xdr:row>
      <xdr:rowOff>162337</xdr:rowOff>
    </xdr:from>
    <xdr:to>
      <xdr:col>32</xdr:col>
      <xdr:colOff>119530</xdr:colOff>
      <xdr:row>34</xdr:row>
      <xdr:rowOff>2242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B4BCAB9-FC5A-43D9-8CCE-6A0736E8B7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495084</xdr:colOff>
      <xdr:row>18</xdr:row>
      <xdr:rowOff>179549</xdr:rowOff>
    </xdr:from>
    <xdr:to>
      <xdr:col>34</xdr:col>
      <xdr:colOff>208359</xdr:colOff>
      <xdr:row>34</xdr:row>
      <xdr:rowOff>32914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2BA617B-CDE6-CE83-92AE-30F3173AB4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34</xdr:col>
      <xdr:colOff>212793</xdr:colOff>
      <xdr:row>18</xdr:row>
      <xdr:rowOff>169000</xdr:rowOff>
    </xdr:from>
    <xdr:to>
      <xdr:col>41</xdr:col>
      <xdr:colOff>293655</xdr:colOff>
      <xdr:row>34</xdr:row>
      <xdr:rowOff>47608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FDF1145-300C-DC4E-B5AE-D3EBAD6D86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41</xdr:col>
      <xdr:colOff>297656</xdr:colOff>
      <xdr:row>18</xdr:row>
      <xdr:rowOff>163860</xdr:rowOff>
    </xdr:from>
    <xdr:to>
      <xdr:col>48</xdr:col>
      <xdr:colOff>385003</xdr:colOff>
      <xdr:row>34</xdr:row>
      <xdr:rowOff>25322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49504BB-4E8E-A50D-512E-AA93EA42DB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25</xdr:col>
      <xdr:colOff>17929</xdr:colOff>
      <xdr:row>34</xdr:row>
      <xdr:rowOff>42584</xdr:rowOff>
    </xdr:from>
    <xdr:to>
      <xdr:col>27</xdr:col>
      <xdr:colOff>492993</xdr:colOff>
      <xdr:row>43</xdr:row>
      <xdr:rowOff>16263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CE699AA-481B-4DED-A5BC-0C93F7843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081811" y="6138584"/>
          <a:ext cx="1765982" cy="1594946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78366</xdr:colOff>
      <xdr:row>19</xdr:row>
      <xdr:rowOff>8892</xdr:rowOff>
    </xdr:from>
    <xdr:to>
      <xdr:col>42</xdr:col>
      <xdr:colOff>9922</xdr:colOff>
      <xdr:row>34</xdr:row>
      <xdr:rowOff>50773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062FB3-8197-4596-A39B-608388D75C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42</xdr:col>
      <xdr:colOff>22295</xdr:colOff>
      <xdr:row>19</xdr:row>
      <xdr:rowOff>18187</xdr:rowOff>
    </xdr:from>
    <xdr:to>
      <xdr:col>49</xdr:col>
      <xdr:colOff>126174</xdr:colOff>
      <xdr:row>34</xdr:row>
      <xdr:rowOff>85311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C4C4065-F75B-4314-8013-BC69F4281E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49</xdr:col>
      <xdr:colOff>127005</xdr:colOff>
      <xdr:row>19</xdr:row>
      <xdr:rowOff>26936</xdr:rowOff>
    </xdr:from>
    <xdr:to>
      <xdr:col>56</xdr:col>
      <xdr:colOff>238124</xdr:colOff>
      <xdr:row>34</xdr:row>
      <xdr:rowOff>76914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398907A-6680-47D3-973B-EEDC78B572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30</xdr:col>
      <xdr:colOff>17929</xdr:colOff>
      <xdr:row>34</xdr:row>
      <xdr:rowOff>42584</xdr:rowOff>
    </xdr:from>
    <xdr:to>
      <xdr:col>32</xdr:col>
      <xdr:colOff>492993</xdr:colOff>
      <xdr:row>43</xdr:row>
      <xdr:rowOff>16263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73F2FE7-7AC5-4041-A2E7-D852BA3DC0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083669" y="6001424"/>
          <a:ext cx="1892384" cy="1551019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127977</xdr:colOff>
      <xdr:row>19</xdr:row>
      <xdr:rowOff>28736</xdr:rowOff>
    </xdr:from>
    <xdr:to>
      <xdr:col>47</xdr:col>
      <xdr:colOff>9923</xdr:colOff>
      <xdr:row>34</xdr:row>
      <xdr:rowOff>70617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6F714D-A051-4E5C-8097-53690CEEA5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47</xdr:col>
      <xdr:colOff>22294</xdr:colOff>
      <xdr:row>19</xdr:row>
      <xdr:rowOff>28109</xdr:rowOff>
    </xdr:from>
    <xdr:to>
      <xdr:col>54</xdr:col>
      <xdr:colOff>126174</xdr:colOff>
      <xdr:row>34</xdr:row>
      <xdr:rowOff>95233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B4BE1-90B5-4FF8-9A00-37EFB7386C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54</xdr:col>
      <xdr:colOff>127004</xdr:colOff>
      <xdr:row>19</xdr:row>
      <xdr:rowOff>26938</xdr:rowOff>
    </xdr:from>
    <xdr:to>
      <xdr:col>61</xdr:col>
      <xdr:colOff>238125</xdr:colOff>
      <xdr:row>34</xdr:row>
      <xdr:rowOff>76916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1358D0D-E34C-4B1C-BBAD-06B6B2333B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36</xdr:col>
      <xdr:colOff>186599</xdr:colOff>
      <xdr:row>45</xdr:row>
      <xdr:rowOff>40599</xdr:rowOff>
    </xdr:from>
    <xdr:to>
      <xdr:col>39</xdr:col>
      <xdr:colOff>620389</xdr:colOff>
      <xdr:row>54</xdr:row>
      <xdr:rowOff>14278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942850E-9F55-4DE5-AE9B-D57F650D27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531912" y="8523802"/>
          <a:ext cx="1743477" cy="167032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45</xdr:col>
      <xdr:colOff>127976</xdr:colOff>
      <xdr:row>21</xdr:row>
      <xdr:rowOff>18814</xdr:rowOff>
    </xdr:from>
    <xdr:to>
      <xdr:col>52</xdr:col>
      <xdr:colOff>9923</xdr:colOff>
      <xdr:row>36</xdr:row>
      <xdr:rowOff>60695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61CAFA-9823-406A-91C9-A69941F358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52</xdr:col>
      <xdr:colOff>12373</xdr:colOff>
      <xdr:row>21</xdr:row>
      <xdr:rowOff>18187</xdr:rowOff>
    </xdr:from>
    <xdr:to>
      <xdr:col>59</xdr:col>
      <xdr:colOff>116252</xdr:colOff>
      <xdr:row>36</xdr:row>
      <xdr:rowOff>85311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072703A-55FC-45A9-8D3D-7AA86F762B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59</xdr:col>
      <xdr:colOff>117083</xdr:colOff>
      <xdr:row>21</xdr:row>
      <xdr:rowOff>17014</xdr:rowOff>
    </xdr:from>
    <xdr:to>
      <xdr:col>66</xdr:col>
      <xdr:colOff>228202</xdr:colOff>
      <xdr:row>36</xdr:row>
      <xdr:rowOff>66992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DF5A7AF-AC03-47F4-A514-9DF9333EA3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41</xdr:col>
      <xdr:colOff>136991</xdr:colOff>
      <xdr:row>57</xdr:row>
      <xdr:rowOff>18772</xdr:rowOff>
    </xdr:from>
    <xdr:to>
      <xdr:col>44</xdr:col>
      <xdr:colOff>588242</xdr:colOff>
      <xdr:row>65</xdr:row>
      <xdr:rowOff>171044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A337D46-B1D4-458E-86AF-F33B7EA382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1106397" y="9841428"/>
          <a:ext cx="1891908" cy="1581022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65314</xdr:colOff>
      <xdr:row>0</xdr:row>
      <xdr:rowOff>9071</xdr:rowOff>
    </xdr:from>
    <xdr:to>
      <xdr:col>28</xdr:col>
      <xdr:colOff>262164</xdr:colOff>
      <xdr:row>21</xdr:row>
      <xdr:rowOff>40821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BD1E59-C1BB-7845-E5CC-7050788BC8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222250</xdr:colOff>
      <xdr:row>0</xdr:row>
      <xdr:rowOff>0</xdr:rowOff>
    </xdr:from>
    <xdr:to>
      <xdr:col>38</xdr:col>
      <xdr:colOff>426357</xdr:colOff>
      <xdr:row>21</xdr:row>
      <xdr:rowOff>36286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15FBDC5-8207-E62D-2F33-63A11D177E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38</xdr:col>
      <xdr:colOff>439963</xdr:colOff>
      <xdr:row>0</xdr:row>
      <xdr:rowOff>0</xdr:rowOff>
    </xdr:from>
    <xdr:to>
      <xdr:col>48</xdr:col>
      <xdr:colOff>607785</xdr:colOff>
      <xdr:row>21</xdr:row>
      <xdr:rowOff>18142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43A403E-966F-6233-9D3F-83DAB69E60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22860</xdr:rowOff>
    </xdr:from>
    <xdr:to>
      <xdr:col>9</xdr:col>
      <xdr:colOff>116840</xdr:colOff>
      <xdr:row>21</xdr:row>
      <xdr:rowOff>146050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94BCFC-A595-421C-85CE-23D8C900C4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34290</xdr:colOff>
      <xdr:row>0</xdr:row>
      <xdr:rowOff>57150</xdr:rowOff>
    </xdr:from>
    <xdr:to>
      <xdr:col>17</xdr:col>
      <xdr:colOff>553720</xdr:colOff>
      <xdr:row>15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8B1830-4D7E-4D59-8C93-ECDDD3F94C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22860</xdr:colOff>
      <xdr:row>16</xdr:row>
      <xdr:rowOff>93980</xdr:rowOff>
    </xdr:from>
    <xdr:to>
      <xdr:col>17</xdr:col>
      <xdr:colOff>571500</xdr:colOff>
      <xdr:row>32</xdr:row>
      <xdr:rowOff>33020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25218D3-12A4-4263-91D0-EED2BB4CD9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584200</xdr:colOff>
      <xdr:row>0</xdr:row>
      <xdr:rowOff>63500</xdr:rowOff>
    </xdr:from>
    <xdr:to>
      <xdr:col>24</xdr:col>
      <xdr:colOff>494030</xdr:colOff>
      <xdr:row>15</xdr:row>
      <xdr:rowOff>177800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6FF27C9-928D-4CCF-BF55-9BDE27E5B7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536575</xdr:colOff>
      <xdr:row>9</xdr:row>
      <xdr:rowOff>127000</xdr:rowOff>
    </xdr:from>
    <xdr:to>
      <xdr:col>7</xdr:col>
      <xdr:colOff>346075</xdr:colOff>
      <xdr:row>24</xdr:row>
      <xdr:rowOff>107950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636BA88-6420-1526-B6C3-5E64822CB7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45</xdr:col>
      <xdr:colOff>78366</xdr:colOff>
      <xdr:row>19</xdr:row>
      <xdr:rowOff>8892</xdr:rowOff>
    </xdr:from>
    <xdr:to>
      <xdr:col>53</xdr:col>
      <xdr:colOff>346561</xdr:colOff>
      <xdr:row>34</xdr:row>
      <xdr:rowOff>50773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AA0492-5C64-448B-9A3B-C001A6601A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45</xdr:col>
      <xdr:colOff>131435</xdr:colOff>
      <xdr:row>34</xdr:row>
      <xdr:rowOff>67797</xdr:rowOff>
    </xdr:from>
    <xdr:to>
      <xdr:col>51</xdr:col>
      <xdr:colOff>656796</xdr:colOff>
      <xdr:row>49</xdr:row>
      <xdr:rowOff>134920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BD702E4-0884-4111-BA20-98E81FC952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45</xdr:col>
      <xdr:colOff>226224</xdr:colOff>
      <xdr:row>49</xdr:row>
      <xdr:rowOff>116234</xdr:rowOff>
    </xdr:from>
    <xdr:to>
      <xdr:col>53</xdr:col>
      <xdr:colOff>87346</xdr:colOff>
      <xdr:row>64</xdr:row>
      <xdr:rowOff>166212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23AD12E-8B3C-4563-A8F9-C672595128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41</xdr:col>
      <xdr:colOff>136991</xdr:colOff>
      <xdr:row>55</xdr:row>
      <xdr:rowOff>18772</xdr:rowOff>
    </xdr:from>
    <xdr:to>
      <xdr:col>43</xdr:col>
      <xdr:colOff>588242</xdr:colOff>
      <xdr:row>63</xdr:row>
      <xdr:rowOff>171044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02282B9-6493-40E7-A242-AA74DA8F2C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980191" y="9658072"/>
          <a:ext cx="1883811" cy="155435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iprbayamon-my.sharepoint.com/personal/ccaiseda_bayamon_inter_edu/Documents/Desktop/CURSOS/202610/COMP397M/Encuesta_NN_Excel/NN%20in%20Excel%2060%20Points_v2.xlsx" TargetMode="External"/><Relationship Id="rId1" Type="http://schemas.openxmlformats.org/officeDocument/2006/relationships/externalLinkPath" Target="NN%20in%20Excel%2060%20Points_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timation with 2 Neurons (2)"/>
      <sheetName val="SIR Data (60 Days)"/>
      <sheetName val="SIR_with 1 Neuron"/>
      <sheetName val="SIR Data (14 Days)"/>
      <sheetName val="Estimation"/>
      <sheetName val="Param (No DINN)"/>
      <sheetName val="Estimation with Equations"/>
      <sheetName val="Param (DINN)"/>
      <sheetName val="SIR Predicted"/>
      <sheetName val="SIR_with 2 Neurons"/>
      <sheetName val="SIR_with 3 Neurons"/>
      <sheetName val="Estimation with 4 Neurons"/>
      <sheetName val="Estimation with 5 Neurons"/>
      <sheetName val="All Models"/>
      <sheetName val="Error magnitude error"/>
      <sheetName val="Parameter Comparisson"/>
      <sheetName val="Estimation with 5 Neurons Test"/>
    </sheetNames>
    <sheetDataSet>
      <sheetData sheetId="0"/>
      <sheetData sheetId="1"/>
      <sheetData sheetId="2"/>
      <sheetData sheetId="3">
        <row r="1">
          <cell r="I1">
            <v>950</v>
          </cell>
        </row>
      </sheetData>
      <sheetData sheetId="4"/>
      <sheetData sheetId="5">
        <row r="4">
          <cell r="B4">
            <v>-1.0143552990843594</v>
          </cell>
        </row>
        <row r="5">
          <cell r="B5">
            <v>0.94193296343852229</v>
          </cell>
        </row>
        <row r="6">
          <cell r="B6">
            <v>-3.9006005525696878E-2</v>
          </cell>
        </row>
        <row r="7">
          <cell r="B7">
            <v>0.12418997252603452</v>
          </cell>
        </row>
        <row r="8">
          <cell r="B8">
            <v>1.0533610400195172</v>
          </cell>
        </row>
        <row r="9">
          <cell r="B9">
            <v>-6.6123799362581934E-2</v>
          </cell>
        </row>
      </sheetData>
      <sheetData sheetId="6"/>
      <sheetData sheetId="7">
        <row r="4">
          <cell r="B4">
            <v>0.52268115078803057</v>
          </cell>
        </row>
        <row r="5">
          <cell r="B5">
            <v>0.42685926715884231</v>
          </cell>
        </row>
        <row r="6">
          <cell r="B6">
            <v>4.3457947439852927E-3</v>
          </cell>
        </row>
        <row r="7">
          <cell r="B7">
            <v>0.11474537008752266</v>
          </cell>
        </row>
        <row r="8">
          <cell r="B8">
            <v>-0.52702740993325492</v>
          </cell>
        </row>
        <row r="9">
          <cell r="B9">
            <v>0.45839193133749007</v>
          </cell>
        </row>
        <row r="10">
          <cell r="B10">
            <v>0.42705411441170404</v>
          </cell>
        </row>
        <row r="11">
          <cell r="B11">
            <v>0.86244730052916696</v>
          </cell>
        </row>
      </sheetData>
      <sheetData sheetId="8"/>
      <sheetData sheetId="9">
        <row r="1">
          <cell r="L1" t="str">
            <v>(S1 + S2)_pred</v>
          </cell>
          <cell r="M1" t="str">
            <v>(I1+I2)_pred</v>
          </cell>
          <cell r="N1" t="str">
            <v>(R1+R2)_ pred</v>
          </cell>
          <cell r="O1" t="str">
            <v>S data</v>
          </cell>
          <cell r="P1" t="str">
            <v>I data</v>
          </cell>
          <cell r="Q1" t="str">
            <v>R data</v>
          </cell>
        </row>
        <row r="2">
          <cell r="L2">
            <v>1.0031700665587875</v>
          </cell>
          <cell r="M2">
            <v>6.7954356590806508E-2</v>
          </cell>
          <cell r="N2">
            <v>-7.2845646407314391E-2</v>
          </cell>
          <cell r="O2">
            <v>0.99916902781949102</v>
          </cell>
          <cell r="P2">
            <v>-5.1644142064485399E-4</v>
          </cell>
          <cell r="Q2">
            <v>1.29646532345248E-3</v>
          </cell>
        </row>
        <row r="3">
          <cell r="L3">
            <v>1.0022602753309446</v>
          </cell>
          <cell r="M3">
            <v>6.8380262669201164E-2</v>
          </cell>
          <cell r="N3">
            <v>-7.235841873247395E-2</v>
          </cell>
          <cell r="O3">
            <v>0.98960193539692398</v>
          </cell>
          <cell r="P3">
            <v>2.1639113228485896E-3</v>
          </cell>
          <cell r="Q3">
            <v>2.6945909567850398E-3</v>
          </cell>
        </row>
        <row r="4">
          <cell r="L4">
            <v>1.0009131763628518</v>
          </cell>
          <cell r="M4">
            <v>6.9016881838911415E-2</v>
          </cell>
          <cell r="N4">
            <v>-7.1642962130842536E-2</v>
          </cell>
          <cell r="O4">
            <v>1.0027006748148801</v>
          </cell>
          <cell r="P4">
            <v>3.31005964809079E-3</v>
          </cell>
          <cell r="Q4">
            <v>-4.7185297244242705E-3</v>
          </cell>
        </row>
        <row r="5">
          <cell r="L5">
            <v>0.99892072972090151</v>
          </cell>
          <cell r="M5">
            <v>6.9966127156508406E-2</v>
          </cell>
          <cell r="N5">
            <v>-7.0592364549533437E-2</v>
          </cell>
          <cell r="O5">
            <v>0.99110329365628103</v>
          </cell>
          <cell r="P5">
            <v>1.5165637719900501E-3</v>
          </cell>
          <cell r="Q5">
            <v>2.4789689316632598E-3</v>
          </cell>
        </row>
        <row r="6">
          <cell r="L6">
            <v>0.9959785289307066</v>
          </cell>
          <cell r="M6">
            <v>7.1377565850503144E-2</v>
          </cell>
          <cell r="N6">
            <v>-6.9050635804051241E-2</v>
          </cell>
          <cell r="O6">
            <v>0.99855053119660397</v>
          </cell>
          <cell r="P6">
            <v>2.0051112150917699E-3</v>
          </cell>
          <cell r="Q6">
            <v>3.86363487767975E-3</v>
          </cell>
        </row>
        <row r="7">
          <cell r="L7">
            <v>0.99164424599745882</v>
          </cell>
          <cell r="M7">
            <v>7.3469074005490853E-2</v>
          </cell>
          <cell r="N7">
            <v>-6.6791649073631554E-2</v>
          </cell>
          <cell r="O7">
            <v>0.99334815329542803</v>
          </cell>
          <cell r="P7">
            <v>5.7859344004262394E-3</v>
          </cell>
          <cell r="Q7">
            <v>-4.6798608314981898E-3</v>
          </cell>
        </row>
        <row r="8">
          <cell r="L8">
            <v>0.9852817776408016</v>
          </cell>
          <cell r="M8">
            <v>7.6554611213517809E-2</v>
          </cell>
          <cell r="N8">
            <v>-6.3490849080469758E-2</v>
          </cell>
          <cell r="O8">
            <v>0.98283073740154103</v>
          </cell>
          <cell r="P8">
            <v>1.2651330839959601E-2</v>
          </cell>
          <cell r="Q8">
            <v>3.0346095032803499E-3</v>
          </cell>
        </row>
        <row r="9">
          <cell r="L9">
            <v>0.9759904789202094</v>
          </cell>
          <cell r="M9">
            <v>8.1079407718707142E-2</v>
          </cell>
          <cell r="N9">
            <v>-5.8689403375861815E-2</v>
          </cell>
          <cell r="O9">
            <v>0.97539398785926001</v>
          </cell>
          <cell r="P9">
            <v>2.03539996715329E-2</v>
          </cell>
          <cell r="Q9">
            <v>7.4668309922445502E-3</v>
          </cell>
        </row>
        <row r="10">
          <cell r="L10">
            <v>0.9625247170068949</v>
          </cell>
          <cell r="M10">
            <v>8.765991808489626E-2</v>
          </cell>
          <cell r="N10">
            <v>-5.1753403649025476E-2</v>
          </cell>
          <cell r="O10">
            <v>0.96249140793574095</v>
          </cell>
          <cell r="P10">
            <v>3.3533967396357001E-2</v>
          </cell>
          <cell r="Q10">
            <v>9.1761695406187595E-3</v>
          </cell>
        </row>
        <row r="11">
          <cell r="L11">
            <v>0.94322222783599852</v>
          </cell>
          <cell r="M11">
            <v>9.7119240178764388E-2</v>
          </cell>
          <cell r="N11">
            <v>-4.1837369480479225E-2</v>
          </cell>
          <cell r="O11">
            <v>0.94450237023887595</v>
          </cell>
          <cell r="P11">
            <v>4.7496166004264602E-2</v>
          </cell>
          <cell r="Q11">
            <v>7.5225339506602403E-3</v>
          </cell>
        </row>
        <row r="12">
          <cell r="L12">
            <v>0.91598463674689734</v>
          </cell>
          <cell r="M12">
            <v>0.11049620562373441</v>
          </cell>
          <cell r="N12">
            <v>-2.7873788001664845E-2</v>
          </cell>
          <cell r="O12">
            <v>0.91819898168117797</v>
          </cell>
          <cell r="P12">
            <v>6.7597221336325009E-2</v>
          </cell>
          <cell r="Q12">
            <v>3.2927993138720797E-3</v>
          </cell>
        </row>
        <row r="13">
          <cell r="L13">
            <v>0.87839058210803911</v>
          </cell>
          <cell r="M13">
            <v>0.12898773121129081</v>
          </cell>
          <cell r="N13">
            <v>-8.629026169817422E-3</v>
          </cell>
          <cell r="O13">
            <v>0.89021613947898592</v>
          </cell>
          <cell r="P13">
            <v>9.5969397639399309E-2</v>
          </cell>
          <cell r="Q13">
            <v>1.96514990734073E-2</v>
          </cell>
        </row>
        <row r="14">
          <cell r="L14">
            <v>0.82805605596415255</v>
          </cell>
          <cell r="M14">
            <v>0.15376686035897014</v>
          </cell>
          <cell r="N14">
            <v>1.7116902075178686E-2</v>
          </cell>
          <cell r="O14">
            <v>0.83105634839519704</v>
          </cell>
          <cell r="P14">
            <v>0.139820372745182</v>
          </cell>
          <cell r="Q14">
            <v>2.4532806481925299E-2</v>
          </cell>
        </row>
        <row r="15">
          <cell r="L15">
            <v>0.76333837272081939</v>
          </cell>
          <cell r="M15">
            <v>0.18562805246289615</v>
          </cell>
          <cell r="N15">
            <v>5.0218375446110297E-2</v>
          </cell>
          <cell r="O15">
            <v>0.77338802087821101</v>
          </cell>
          <cell r="P15">
            <v>0.19576330278256401</v>
          </cell>
          <cell r="Q15">
            <v>3.84479753657469E-2</v>
          </cell>
        </row>
        <row r="16">
          <cell r="L16">
            <v>0.68432657327905422</v>
          </cell>
          <cell r="M16">
            <v>0.22448836726382537</v>
          </cell>
          <cell r="N16">
            <v>9.0668775962887249E-2</v>
          </cell>
          <cell r="O16">
            <v>0.68790871012265198</v>
          </cell>
          <cell r="P16">
            <v>0.25894601239861498</v>
          </cell>
          <cell r="Q16">
            <v>6.3388110834698502E-2</v>
          </cell>
        </row>
        <row r="17">
          <cell r="L17">
            <v>0.59374055969905326</v>
          </cell>
          <cell r="M17">
            <v>0.26893405763865763</v>
          </cell>
          <cell r="N17">
            <v>0.13715130833596101</v>
          </cell>
          <cell r="O17">
            <v>0.59497831839092707</v>
          </cell>
          <cell r="P17">
            <v>0.33076845698165103</v>
          </cell>
          <cell r="Q17">
            <v>7.3720662375898097E-2</v>
          </cell>
        </row>
        <row r="18">
          <cell r="L18">
            <v>0.49707381973943576</v>
          </cell>
          <cell r="M18">
            <v>0.31614635560468041</v>
          </cell>
          <cell r="N18">
            <v>0.18696993094653358</v>
          </cell>
          <cell r="O18">
            <v>0.48898600704502004</v>
          </cell>
          <cell r="P18">
            <v>0.40789980280525601</v>
          </cell>
          <cell r="Q18">
            <v>9.9755417736937704E-2</v>
          </cell>
        </row>
        <row r="19">
          <cell r="L19">
            <v>0.40150022863601276</v>
          </cell>
          <cell r="M19">
            <v>0.36244708277516979</v>
          </cell>
          <cell r="N19">
            <v>0.23660111600028921</v>
          </cell>
          <cell r="O19">
            <v>0.39651123517081099</v>
          </cell>
          <cell r="P19">
            <v>0.47372642816447597</v>
          </cell>
          <cell r="Q19">
            <v>0.13353312106332502</v>
          </cell>
        </row>
        <row r="20">
          <cell r="L20">
            <v>0.31387533202126772</v>
          </cell>
          <cell r="M20">
            <v>0.4042982456634332</v>
          </cell>
          <cell r="N20">
            <v>0.28270060919294515</v>
          </cell>
          <cell r="O20">
            <v>0.31251275507811599</v>
          </cell>
          <cell r="P20">
            <v>0.52750319456345507</v>
          </cell>
          <cell r="Q20">
            <v>0.171732007304878</v>
          </cell>
        </row>
        <row r="21">
          <cell r="L21">
            <v>0.23891655699899883</v>
          </cell>
          <cell r="M21">
            <v>0.43921138582865793</v>
          </cell>
          <cell r="N21">
            <v>0.32302081912023883</v>
          </cell>
          <cell r="O21">
            <v>0.23552071001902899</v>
          </cell>
          <cell r="P21">
            <v>0.55793614971574401</v>
          </cell>
          <cell r="Q21">
            <v>0.208737490794312</v>
          </cell>
        </row>
        <row r="22">
          <cell r="L22">
            <v>0.17849009629599899</v>
          </cell>
          <cell r="M22">
            <v>0.46610123784084379</v>
          </cell>
          <cell r="N22">
            <v>0.35677298650013123</v>
          </cell>
          <cell r="O22">
            <v>0.188024971201353</v>
          </cell>
          <cell r="P22">
            <v>0.5772776209197521</v>
          </cell>
          <cell r="Q22">
            <v>0.245867937524964</v>
          </cell>
        </row>
        <row r="23">
          <cell r="L23">
            <v>0.13205216950039556</v>
          </cell>
          <cell r="M23">
            <v>0.48506016790940265</v>
          </cell>
          <cell r="N23">
            <v>0.38440977558081357</v>
          </cell>
          <cell r="O23">
            <v>0.137907399961987</v>
          </cell>
          <cell r="P23">
            <v>0.57947852857229998</v>
          </cell>
          <cell r="Q23">
            <v>0.28965693379235602</v>
          </cell>
        </row>
        <row r="24">
          <cell r="L24">
            <v>9.7636956957061649E-2</v>
          </cell>
          <cell r="M24">
            <v>0.49685914905856787</v>
          </cell>
          <cell r="N24">
            <v>0.40713256700470035</v>
          </cell>
          <cell r="O24">
            <v>9.9076317792327895E-2</v>
          </cell>
          <cell r="P24">
            <v>0.57261055388682602</v>
          </cell>
          <cell r="Q24">
            <v>0.33141838551950203</v>
          </cell>
        </row>
        <row r="25">
          <cell r="L25">
            <v>7.2783931736749796E-2</v>
          </cell>
          <cell r="M25">
            <v>0.50248126399435522</v>
          </cell>
          <cell r="N25">
            <v>0.4264270667238601</v>
          </cell>
          <cell r="O25">
            <v>7.6771548896384309E-2</v>
          </cell>
          <cell r="P25">
            <v>0.554625055849157</v>
          </cell>
          <cell r="Q25">
            <v>0.37486334043008496</v>
          </cell>
        </row>
        <row r="26">
          <cell r="L26">
            <v>5.5134711325836472E-2</v>
          </cell>
          <cell r="M26">
            <v>0.50282494515573584</v>
          </cell>
          <cell r="N26">
            <v>0.44376094145877198</v>
          </cell>
          <cell r="O26">
            <v>5.50331848909218E-2</v>
          </cell>
          <cell r="P26">
            <v>0.53385373128166391</v>
          </cell>
          <cell r="Q26">
            <v>0.41205954274061996</v>
          </cell>
        </row>
        <row r="27">
          <cell r="L27">
            <v>4.2707053373498116E-2</v>
          </cell>
          <cell r="M27">
            <v>0.49857546208308579</v>
          </cell>
          <cell r="N27">
            <v>0.46043732780555269</v>
          </cell>
          <cell r="O27">
            <v>4.1882891498532304E-2</v>
          </cell>
          <cell r="P27">
            <v>0.51004856673586696</v>
          </cell>
          <cell r="Q27">
            <v>0.44388223355148898</v>
          </cell>
        </row>
        <row r="28">
          <cell r="L28">
            <v>3.3958114768814829E-2</v>
          </cell>
          <cell r="M28">
            <v>0.49019109934882388</v>
          </cell>
          <cell r="N28">
            <v>0.47754523562236351</v>
          </cell>
          <cell r="O28">
            <v>2.6899076645389701E-2</v>
          </cell>
          <cell r="P28">
            <v>0.48054748715594703</v>
          </cell>
          <cell r="Q28">
            <v>0.487722954635535</v>
          </cell>
        </row>
        <row r="29">
          <cell r="L29">
            <v>2.7743856686115453E-2</v>
          </cell>
          <cell r="M29">
            <v>0.47795286668519199</v>
          </cell>
          <cell r="N29">
            <v>0.49595072356432612</v>
          </cell>
          <cell r="O29">
            <v>2.8643066551244298E-2</v>
          </cell>
          <cell r="P29">
            <v>0.45621581041098197</v>
          </cell>
          <cell r="Q29">
            <v>0.51359201939365806</v>
          </cell>
        </row>
        <row r="30">
          <cell r="L30">
            <v>2.324310968762755E-2</v>
          </cell>
          <cell r="M30">
            <v>0.46204442470697993</v>
          </cell>
          <cell r="N30">
            <v>0.5162933918337369</v>
          </cell>
          <cell r="O30">
            <v>1.8585382566350301E-2</v>
          </cell>
          <cell r="P30">
            <v>0.43462182741029998</v>
          </cell>
          <cell r="Q30">
            <v>0.547713142498501</v>
          </cell>
        </row>
        <row r="31">
          <cell r="L31">
            <v>1.9880735401929694E-2</v>
          </cell>
          <cell r="M31">
            <v>0.44264286159307087</v>
          </cell>
          <cell r="N31">
            <v>0.53897297879104156</v>
          </cell>
          <cell r="O31">
            <v>1.6441050975567299E-2</v>
          </cell>
          <cell r="P31">
            <v>0.40770546813070097</v>
          </cell>
          <cell r="Q31">
            <v>0.57331041777418701</v>
          </cell>
        </row>
        <row r="32">
          <cell r="L32">
            <v>1.726311971291139E-2</v>
          </cell>
          <cell r="M32">
            <v>0.42000665074420596</v>
          </cell>
          <cell r="N32">
            <v>0.56412641339163416</v>
          </cell>
          <cell r="O32">
            <v>1.6927265894710001E-2</v>
          </cell>
          <cell r="P32">
            <v>0.38076372682378795</v>
          </cell>
          <cell r="Q32">
            <v>0.602138744531867</v>
          </cell>
        </row>
        <row r="33">
          <cell r="L33">
            <v>1.5128445638777688E-2</v>
          </cell>
          <cell r="M33">
            <v>0.3945468875839433</v>
          </cell>
          <cell r="N33">
            <v>0.59160670929978365</v>
          </cell>
          <cell r="O33">
            <v>5.5360201456173194E-3</v>
          </cell>
          <cell r="P33">
            <v>0.35516465630493699</v>
          </cell>
          <cell r="Q33">
            <v>0.624921752972462</v>
          </cell>
        </row>
        <row r="34">
          <cell r="L34">
            <v>1.3309678829500626E-2</v>
          </cell>
          <cell r="M34">
            <v>0.3668664654759195</v>
          </cell>
          <cell r="N34">
            <v>0.62098104018929057</v>
          </cell>
          <cell r="O34">
            <v>5.5516744239331806E-3</v>
          </cell>
          <cell r="P34">
            <v>0.33275256354035898</v>
          </cell>
          <cell r="Q34">
            <v>0.65513191440359508</v>
          </cell>
        </row>
        <row r="35">
          <cell r="L35">
            <v>1.1706969243761689E-2</v>
          </cell>
          <cell r="M35">
            <v>0.33775419197181655</v>
          </cell>
          <cell r="N35">
            <v>0.6515642365237051</v>
          </cell>
          <cell r="O35">
            <v>1.2931474477337201E-2</v>
          </cell>
          <cell r="P35">
            <v>0.31162242112024097</v>
          </cell>
          <cell r="Q35">
            <v>0.68166378325101906</v>
          </cell>
        </row>
        <row r="36">
          <cell r="L36">
            <v>1.0266529610868824E-2</v>
          </cell>
          <cell r="M36">
            <v>0.30812992050871246</v>
          </cell>
          <cell r="N36">
            <v>0.68249455445236085</v>
          </cell>
          <cell r="O36">
            <v>8.6066661943624695E-3</v>
          </cell>
          <cell r="P36">
            <v>0.29035002727487702</v>
          </cell>
          <cell r="Q36">
            <v>0.69814062804294097</v>
          </cell>
        </row>
        <row r="37">
          <cell r="L37">
            <v>8.9640511527491196E-3</v>
          </cell>
          <cell r="M37">
            <v>0.27895108204395713</v>
          </cell>
          <cell r="N37">
            <v>0.71284332267421568</v>
          </cell>
          <cell r="O37">
            <v>7.3575980325581393E-3</v>
          </cell>
          <cell r="P37">
            <v>0.272509543831852</v>
          </cell>
          <cell r="Q37">
            <v>0.71941411557586699</v>
          </cell>
        </row>
        <row r="38">
          <cell r="L38">
            <v>7.7917500989566069E-3</v>
          </cell>
          <cell r="M38">
            <v>0.25110433397545462</v>
          </cell>
          <cell r="N38">
            <v>0.74173576710645484</v>
          </cell>
          <cell r="O38">
            <v>2.8505374714209897E-3</v>
          </cell>
          <cell r="P38">
            <v>0.25622929206750999</v>
          </cell>
          <cell r="Q38">
            <v>0.73983758563310398</v>
          </cell>
        </row>
        <row r="39">
          <cell r="L39">
            <v>6.7487992180330636E-3</v>
          </cell>
          <cell r="M39">
            <v>0.22531104976431537</v>
          </cell>
          <cell r="N39">
            <v>0.76845466851330868</v>
          </cell>
          <cell r="O39">
            <v>-2.1838521820841201E-4</v>
          </cell>
          <cell r="P39">
            <v>0.23591031536785101</v>
          </cell>
          <cell r="Q39">
            <v>0.75684413386429605</v>
          </cell>
        </row>
        <row r="40">
          <cell r="L40">
            <v>5.835042356427067E-3</v>
          </cell>
          <cell r="M40">
            <v>0.20206896945586017</v>
          </cell>
          <cell r="N40">
            <v>0.79250473796508758</v>
          </cell>
          <cell r="O40">
            <v>8.2348707294253292E-3</v>
          </cell>
          <cell r="P40">
            <v>0.22078107592961702</v>
          </cell>
          <cell r="Q40">
            <v>0.7750441208199299</v>
          </cell>
        </row>
        <row r="41">
          <cell r="L41">
            <v>5.0476560987442465E-3</v>
          </cell>
          <cell r="M41">
            <v>0.18163817785010217</v>
          </cell>
          <cell r="N41">
            <v>0.81362991742269752</v>
          </cell>
          <cell r="O41">
            <v>3.9663387236011597E-3</v>
          </cell>
          <cell r="P41">
            <v>0.204823212440885</v>
          </cell>
          <cell r="Q41">
            <v>0.78395269848070492</v>
          </cell>
        </row>
        <row r="42">
          <cell r="L42">
            <v>4.3801021263001338E-3</v>
          </cell>
          <cell r="M42">
            <v>0.16406521434696364</v>
          </cell>
          <cell r="N42">
            <v>0.83179043027514377</v>
          </cell>
          <cell r="O42">
            <v>7.9785242352294391E-3</v>
          </cell>
          <cell r="P42">
            <v>0.19286137258476199</v>
          </cell>
          <cell r="Q42">
            <v>0.80233719563429595</v>
          </cell>
        </row>
        <row r="43">
          <cell r="L43">
            <v>3.8225452770390689E-3</v>
          </cell>
          <cell r="M43">
            <v>0.14923062113531183</v>
          </cell>
          <cell r="N43">
            <v>0.84711503366780194</v>
          </cell>
          <cell r="O43">
            <v>3.1396670372780401E-3</v>
          </cell>
          <cell r="P43">
            <v>0.17630438116484701</v>
          </cell>
          <cell r="Q43">
            <v>0.81844367482675706</v>
          </cell>
        </row>
        <row r="44">
          <cell r="L44">
            <v>3.3629661763052709E-3</v>
          </cell>
          <cell r="M44">
            <v>0.13690410084219007</v>
          </cell>
          <cell r="N44">
            <v>0.85984500082869753</v>
          </cell>
          <cell r="O44">
            <v>2.6118371468564702E-3</v>
          </cell>
          <cell r="P44">
            <v>0.16677826328596299</v>
          </cell>
          <cell r="Q44">
            <v>0.83017491401183396</v>
          </cell>
        </row>
        <row r="45">
          <cell r="L45">
            <v>2.9884031625893037E-3</v>
          </cell>
          <cell r="M45">
            <v>0.12679537216848225</v>
          </cell>
          <cell r="N45">
            <v>0.87028225608386944</v>
          </cell>
          <cell r="O45">
            <v>2.39128185473625E-3</v>
          </cell>
          <cell r="P45">
            <v>0.157909899247861</v>
          </cell>
          <cell r="Q45">
            <v>0.83969352077445703</v>
          </cell>
        </row>
        <row r="46">
          <cell r="L46">
            <v>2.686002019660183E-3</v>
          </cell>
          <cell r="M46">
            <v>0.11859435825370035</v>
          </cell>
          <cell r="N46">
            <v>0.87874832044933915</v>
          </cell>
          <cell r="O46">
            <v>1.2757458204968699E-3</v>
          </cell>
          <cell r="P46">
            <v>0.14923463373831</v>
          </cell>
          <cell r="Q46">
            <v>0.84673055231667504</v>
          </cell>
        </row>
        <row r="47">
          <cell r="L47">
            <v>2.4437514573805164E-3</v>
          </cell>
          <cell r="M47">
            <v>0.11199905079099848</v>
          </cell>
          <cell r="N47">
            <v>0.88555583938212523</v>
          </cell>
          <cell r="O47">
            <v>3.5362804167817599E-3</v>
          </cell>
          <cell r="P47">
            <v>0.135577127775768</v>
          </cell>
          <cell r="Q47">
            <v>0.86534225693530897</v>
          </cell>
        </row>
        <row r="48">
          <cell r="L48">
            <v>2.2509076268006911E-3</v>
          </cell>
          <cell r="M48">
            <v>0.10673231175858877</v>
          </cell>
          <cell r="N48">
            <v>0.89099143335113484</v>
          </cell>
          <cell r="O48">
            <v>-3.1346344649783998E-3</v>
          </cell>
          <cell r="P48">
            <v>0.125187367886479</v>
          </cell>
          <cell r="Q48">
            <v>0.87833605384871605</v>
          </cell>
        </row>
        <row r="49">
          <cell r="L49">
            <v>2.0981698177773289E-3</v>
          </cell>
          <cell r="M49">
            <v>0.10255012910285766</v>
          </cell>
          <cell r="N49">
            <v>0.89530730425120408</v>
          </cell>
          <cell r="O49">
            <v>9.0828857896239103E-3</v>
          </cell>
          <cell r="P49">
            <v>0.11564560923284699</v>
          </cell>
          <cell r="Q49">
            <v>0.87802773465304806</v>
          </cell>
        </row>
        <row r="50">
          <cell r="L50">
            <v>1.9776840006371366E-3</v>
          </cell>
          <cell r="M50">
            <v>9.9243988743796141E-2</v>
          </cell>
          <cell r="N50">
            <v>0.89871887078626411</v>
          </cell>
          <cell r="O50">
            <v>1.0538230552720001E-2</v>
          </cell>
          <cell r="P50">
            <v>0.111612530534534</v>
          </cell>
          <cell r="Q50">
            <v>0.88908099354612202</v>
          </cell>
        </row>
        <row r="51">
          <cell r="L51">
            <v>1.8829424198256728E-3</v>
          </cell>
          <cell r="M51">
            <v>9.6639616880364709E-2</v>
          </cell>
          <cell r="N51">
            <v>0.90140612092418149</v>
          </cell>
          <cell r="O51">
            <v>2.5859344138377399E-3</v>
          </cell>
          <cell r="P51">
            <v>0.10342211054485</v>
          </cell>
          <cell r="Q51">
            <v>0.89472708248588406</v>
          </cell>
        </row>
        <row r="52">
          <cell r="L52">
            <v>1.8086307888309783E-3</v>
          </cell>
          <cell r="M52">
            <v>9.459376672151798E-2</v>
          </cell>
          <cell r="N52">
            <v>0.90351696338831777</v>
          </cell>
          <cell r="O52">
            <v>2.0336631835871899E-3</v>
          </cell>
          <cell r="P52">
            <v>9.4972241588527101E-2</v>
          </cell>
          <cell r="Q52">
            <v>0.90450311421663898</v>
          </cell>
        </row>
        <row r="53">
          <cell r="L53">
            <v>1.7504578133220594E-3</v>
          </cell>
          <cell r="M53">
            <v>9.2990177498294191E-2</v>
          </cell>
          <cell r="N53">
            <v>0.90517142075057344</v>
          </cell>
          <cell r="O53">
            <v>2.2949557971681501E-3</v>
          </cell>
          <cell r="P53">
            <v>8.7440881600336293E-2</v>
          </cell>
          <cell r="Q53">
            <v>0.90922037148508505</v>
          </cell>
        </row>
        <row r="54">
          <cell r="L54">
            <v>1.704988111936423E-3</v>
          </cell>
          <cell r="M54">
            <v>9.1735400989197746E-2</v>
          </cell>
          <cell r="N54">
            <v>0.90646595099753591</v>
          </cell>
          <cell r="O54">
            <v>2.3936274802814103E-3</v>
          </cell>
          <cell r="P54">
            <v>8.3053244128702103E-2</v>
          </cell>
          <cell r="Q54">
            <v>0.906309636239233</v>
          </cell>
        </row>
        <row r="55">
          <cell r="L55">
            <v>1.6694898058722263E-3</v>
          </cell>
          <cell r="M55">
            <v>9.07548827284681E-2</v>
          </cell>
          <cell r="N55">
            <v>0.90747750089686652</v>
          </cell>
          <cell r="O55">
            <v>2.3043154567460099E-3</v>
          </cell>
          <cell r="P55">
            <v>7.8073186837302994E-2</v>
          </cell>
          <cell r="Q55">
            <v>0.92630169320256595</v>
          </cell>
        </row>
        <row r="56">
          <cell r="L56">
            <v>1.6418016288075599E-3</v>
          </cell>
          <cell r="M56">
            <v>8.998948256118533E-2</v>
          </cell>
          <cell r="N56">
            <v>0.90826710249245091</v>
          </cell>
          <cell r="O56">
            <v>3.0385585864702198E-3</v>
          </cell>
          <cell r="P56">
            <v>7.1018266657233403E-2</v>
          </cell>
          <cell r="Q56">
            <v>0.92736038017037692</v>
          </cell>
        </row>
        <row r="57">
          <cell r="L57">
            <v>1.6202205367479294E-3</v>
          </cell>
          <cell r="M57">
            <v>8.9392495363937119E-2</v>
          </cell>
          <cell r="N57">
            <v>0.90888295120889673</v>
          </cell>
          <cell r="O57">
            <v>7.9515125832206497E-3</v>
          </cell>
          <cell r="P57">
            <v>6.6968684958737701E-2</v>
          </cell>
          <cell r="Q57">
            <v>0.93389441761834491</v>
          </cell>
        </row>
        <row r="58">
          <cell r="L58">
            <v>1.6034086753087262E-3</v>
          </cell>
          <cell r="M58">
            <v>8.892716282845381E-2</v>
          </cell>
          <cell r="N58">
            <v>0.90936297577023284</v>
          </cell>
          <cell r="O58">
            <v>-1.1013052498209E-4</v>
          </cell>
          <cell r="P58">
            <v>6.18422691296922E-2</v>
          </cell>
          <cell r="Q58">
            <v>0.94275156262420401</v>
          </cell>
        </row>
        <row r="59">
          <cell r="L59">
            <v>1.5903175585998408E-3</v>
          </cell>
          <cell r="M59">
            <v>8.8564631942793515E-2</v>
          </cell>
          <cell r="N59">
            <v>0.90973694624276624</v>
          </cell>
          <cell r="O59">
            <v>5.6947636442931599E-3</v>
          </cell>
          <cell r="P59">
            <v>6.0470398956274998E-2</v>
          </cell>
          <cell r="Q59">
            <v>0.93680268831874902</v>
          </cell>
        </row>
        <row r="60">
          <cell r="L60">
            <v>1.5801269797792727E-3</v>
          </cell>
          <cell r="M60">
            <v>8.8282301546040109E-2</v>
          </cell>
          <cell r="N60">
            <v>0.91002818103956651</v>
          </cell>
          <cell r="O60">
            <v>-2.2807198247528698E-3</v>
          </cell>
          <cell r="P60">
            <v>5.4975808919005206E-2</v>
          </cell>
          <cell r="Q60">
            <v>0.94398061818187207</v>
          </cell>
        </row>
        <row r="61">
          <cell r="L61">
            <v>1.5721962103565357E-3</v>
          </cell>
          <cell r="M61">
            <v>8.8062496007899949E-2</v>
          </cell>
          <cell r="N61">
            <v>0.91025491600080977</v>
          </cell>
          <cell r="O61">
            <v>-1.0788247514761E-4</v>
          </cell>
          <cell r="P61">
            <v>5.3596926243307502E-2</v>
          </cell>
          <cell r="Q61">
            <v>0.94100736181572697</v>
          </cell>
        </row>
      </sheetData>
      <sheetData sheetId="10">
        <row r="1">
          <cell r="Q1" t="str">
            <v>S Pred</v>
          </cell>
          <cell r="R1" t="str">
            <v>I Pred</v>
          </cell>
          <cell r="S1" t="str">
            <v>R Pred</v>
          </cell>
          <cell r="T1" t="str">
            <v>S Real</v>
          </cell>
          <cell r="U1" t="str">
            <v>I Real</v>
          </cell>
          <cell r="V1" t="str">
            <v>R Real</v>
          </cell>
        </row>
        <row r="2">
          <cell r="Q2">
            <v>1.055353745296796</v>
          </cell>
          <cell r="R2">
            <v>4.8729136503204984E-3</v>
          </cell>
          <cell r="S2">
            <v>-5.7226901292854127E-2</v>
          </cell>
          <cell r="T2">
            <v>0.99916902781949102</v>
          </cell>
          <cell r="U2">
            <v>-5.1644142064485399E-4</v>
          </cell>
          <cell r="V2">
            <v>1.29646532345248E-3</v>
          </cell>
        </row>
        <row r="3">
          <cell r="Q3">
            <v>1.049903679099307</v>
          </cell>
          <cell r="R3">
            <v>1.6692996635825352E-4</v>
          </cell>
          <cell r="S3">
            <v>-4.8167403784310725E-2</v>
          </cell>
          <cell r="T3">
            <v>0.98960193539692398</v>
          </cell>
          <cell r="U3">
            <v>2.1639113228485896E-3</v>
          </cell>
          <cell r="V3">
            <v>2.6945909567850398E-3</v>
          </cell>
        </row>
        <row r="4">
          <cell r="Q4">
            <v>1.0423379676534288</v>
          </cell>
          <cell r="R4">
            <v>-2.8655483701527373E-3</v>
          </cell>
          <cell r="S4">
            <v>-3.7509063186687008E-2</v>
          </cell>
          <cell r="T4">
            <v>1.0027006748148801</v>
          </cell>
          <cell r="U4">
            <v>3.31005964809079E-3</v>
          </cell>
          <cell r="V4">
            <v>-4.7185297244242705E-3</v>
          </cell>
        </row>
        <row r="5">
          <cell r="Q5">
            <v>1.0326234035489805</v>
          </cell>
          <cell r="R5">
            <v>-4.5133450773899852E-3</v>
          </cell>
          <cell r="S5">
            <v>-2.6102976967763869E-2</v>
          </cell>
          <cell r="T5">
            <v>0.99110329365628103</v>
          </cell>
          <cell r="U5">
            <v>1.5165637719900501E-3</v>
          </cell>
          <cell r="V5">
            <v>2.4789689316632598E-3</v>
          </cell>
        </row>
        <row r="6">
          <cell r="Q6">
            <v>1.0202754284761166</v>
          </cell>
          <cell r="R6">
            <v>-4.1747001360938896E-3</v>
          </cell>
          <cell r="S6">
            <v>-1.4075703345939328E-2</v>
          </cell>
          <cell r="T6">
            <v>0.99855053119660397</v>
          </cell>
          <cell r="U6">
            <v>2.0051112150917699E-3</v>
          </cell>
          <cell r="V6">
            <v>3.86363487767975E-3</v>
          </cell>
        </row>
        <row r="7">
          <cell r="Q7">
            <v>1.0047425325265893</v>
          </cell>
          <cell r="R7">
            <v>-1.1278683536879441E-3</v>
          </cell>
          <cell r="S7">
            <v>-1.6076070614650106E-3</v>
          </cell>
          <cell r="T7">
            <v>0.99334815329542803</v>
          </cell>
          <cell r="U7">
            <v>5.7859344004262394E-3</v>
          </cell>
          <cell r="V7">
            <v>-4.6798608314981898E-3</v>
          </cell>
        </row>
        <row r="8">
          <cell r="Q8">
            <v>0.98541689147519751</v>
          </cell>
          <cell r="R8">
            <v>5.4578563726357388E-3</v>
          </cell>
          <cell r="S8">
            <v>1.1066721629746645E-2</v>
          </cell>
          <cell r="T8">
            <v>0.98283073740154103</v>
          </cell>
          <cell r="U8">
            <v>1.2651330839959601E-2</v>
          </cell>
          <cell r="V8">
            <v>3.0346095032803499E-3</v>
          </cell>
        </row>
        <row r="9">
          <cell r="Q9">
            <v>0.96165606468083942</v>
          </cell>
          <cell r="R9">
            <v>1.6492115155690712E-2</v>
          </cell>
          <cell r="S9">
            <v>2.3667217887401115E-2</v>
          </cell>
          <cell r="T9">
            <v>0.97539398785926001</v>
          </cell>
          <cell r="U9">
            <v>2.03539996715329E-2</v>
          </cell>
          <cell r="V9">
            <v>7.4668309922445502E-3</v>
          </cell>
        </row>
        <row r="10">
          <cell r="Q10">
            <v>0.93281944425011121</v>
          </cell>
          <cell r="R10">
            <v>3.2906959904501321E-2</v>
          </cell>
          <cell r="S10">
            <v>3.5889223232954848E-2</v>
          </cell>
          <cell r="T10">
            <v>0.96249140793574095</v>
          </cell>
          <cell r="U10">
            <v>3.3533967396357001E-2</v>
          </cell>
          <cell r="V10">
            <v>9.1761695406187595E-3</v>
          </cell>
        </row>
        <row r="11">
          <cell r="Q11">
            <v>0.8983219947430805</v>
          </cell>
          <cell r="R11">
            <v>5.556834441242664E-2</v>
          </cell>
          <cell r="S11">
            <v>4.7439522935742495E-2</v>
          </cell>
          <cell r="T11">
            <v>0.94450237023887595</v>
          </cell>
          <cell r="U11">
            <v>4.7496166004264602E-2</v>
          </cell>
          <cell r="V11">
            <v>7.5225339506602403E-3</v>
          </cell>
        </row>
        <row r="12">
          <cell r="Q12">
            <v>0.85770563362018093</v>
          </cell>
          <cell r="R12">
            <v>8.515426622182698E-2</v>
          </cell>
          <cell r="S12">
            <v>5.8088574614095112E-2</v>
          </cell>
          <cell r="T12">
            <v>0.91819898168117797</v>
          </cell>
          <cell r="U12">
            <v>6.7597221336325009E-2</v>
          </cell>
          <cell r="V12">
            <v>3.2927993138720797E-3</v>
          </cell>
        </row>
        <row r="13">
          <cell r="Q13">
            <v>0.810724731150684</v>
          </cell>
          <cell r="R13">
            <v>0.12200581665978216</v>
          </cell>
          <cell r="S13">
            <v>6.7736101756909139E-2</v>
          </cell>
          <cell r="T13">
            <v>0.89021613947898592</v>
          </cell>
          <cell r="U13">
            <v>9.5969397639399309E-2</v>
          </cell>
          <cell r="V13">
            <v>1.96514990734073E-2</v>
          </cell>
        </row>
        <row r="14">
          <cell r="Q14">
            <v>0.75743677626637562</v>
          </cell>
          <cell r="R14">
            <v>0.16596832020280061</v>
          </cell>
          <cell r="S14">
            <v>7.6481575572400207E-2</v>
          </cell>
          <cell r="T14">
            <v>0.83105634839519704</v>
          </cell>
          <cell r="U14">
            <v>0.139820372745182</v>
          </cell>
          <cell r="V14">
            <v>2.4532806481925299E-2</v>
          </cell>
        </row>
        <row r="15">
          <cell r="Q15">
            <v>0.69828321505016344</v>
          </cell>
          <cell r="R15">
            <v>0.21625197821149289</v>
          </cell>
          <cell r="S15">
            <v>8.4684736584996756E-2</v>
          </cell>
          <cell r="T15">
            <v>0.77338802087821101</v>
          </cell>
          <cell r="U15">
            <v>0.19576330278256401</v>
          </cell>
          <cell r="V15">
            <v>3.84479753657469E-2</v>
          </cell>
        </row>
        <row r="16">
          <cell r="Q16">
            <v>0.63414080760724634</v>
          </cell>
          <cell r="R16">
            <v>0.27135073521600028</v>
          </cell>
          <cell r="S16">
            <v>9.2996530051546289E-2</v>
          </cell>
          <cell r="T16">
            <v>0.68790871012265198</v>
          </cell>
          <cell r="U16">
            <v>0.25894601239861498</v>
          </cell>
          <cell r="V16">
            <v>6.3388110834698502E-2</v>
          </cell>
        </row>
        <row r="17">
          <cell r="Q17">
            <v>0.56632327561680174</v>
          </cell>
          <cell r="R17">
            <v>0.32905866117826732</v>
          </cell>
          <cell r="S17">
            <v>0.10234081965098385</v>
          </cell>
          <cell r="T17">
            <v>0.59497831839092707</v>
          </cell>
          <cell r="U17">
            <v>0.33076845698165103</v>
          </cell>
          <cell r="V17">
            <v>7.3720662375898097E-2</v>
          </cell>
        </row>
        <row r="18">
          <cell r="Q18">
            <v>0.49651889308758657</v>
          </cell>
          <cell r="R18">
            <v>0.38661002284647394</v>
          </cell>
          <cell r="S18">
            <v>0.11383467589452545</v>
          </cell>
          <cell r="T18">
            <v>0.48898600704502004</v>
          </cell>
          <cell r="U18">
            <v>0.40789980280525601</v>
          </cell>
          <cell r="V18">
            <v>9.9755417736937704E-2</v>
          </cell>
        </row>
        <row r="19">
          <cell r="Q19">
            <v>0.42666242846883895</v>
          </cell>
          <cell r="R19">
            <v>0.44094182829421991</v>
          </cell>
          <cell r="S19">
            <v>0.1286500688087493</v>
          </cell>
          <cell r="T19">
            <v>0.39651123517081099</v>
          </cell>
          <cell r="U19">
            <v>0.47372642816447597</v>
          </cell>
          <cell r="V19">
            <v>0.13353312106332502</v>
          </cell>
        </row>
        <row r="20">
          <cell r="Q20">
            <v>0.35875669886641548</v>
          </cell>
          <cell r="R20">
            <v>0.48904249096345342</v>
          </cell>
          <cell r="S20">
            <v>0.14783859149682099</v>
          </cell>
          <cell r="T20">
            <v>0.31251275507811599</v>
          </cell>
          <cell r="U20">
            <v>0.52750319456345507</v>
          </cell>
          <cell r="V20">
            <v>0.171732007304878</v>
          </cell>
        </row>
        <row r="21">
          <cell r="Q21">
            <v>0.2946742468721939</v>
          </cell>
          <cell r="R21">
            <v>0.52832011809775592</v>
          </cell>
          <cell r="S21">
            <v>0.17215617046023812</v>
          </cell>
          <cell r="T21">
            <v>0.23552071001902899</v>
          </cell>
          <cell r="U21">
            <v>0.55793614971574401</v>
          </cell>
          <cell r="V21">
            <v>0.208737490794312</v>
          </cell>
        </row>
        <row r="22">
          <cell r="Q22">
            <v>0.23597699755123847</v>
          </cell>
          <cell r="R22">
            <v>0.55691227949613165</v>
          </cell>
          <cell r="S22">
            <v>0.20192918687819317</v>
          </cell>
          <cell r="T22">
            <v>0.188024971201353</v>
          </cell>
          <cell r="U22">
            <v>0.5772776209197521</v>
          </cell>
          <cell r="V22">
            <v>0.245867937524964</v>
          </cell>
        </row>
        <row r="23">
          <cell r="Q23">
            <v>0.183787641238641</v>
          </cell>
          <cell r="R23">
            <v>0.57387266083328026</v>
          </cell>
          <cell r="S23">
            <v>0.2369937947705365</v>
          </cell>
          <cell r="T23">
            <v>0.137907399961987</v>
          </cell>
          <cell r="U23">
            <v>0.57947852857229998</v>
          </cell>
          <cell r="V23">
            <v>0.28965693379235602</v>
          </cell>
        </row>
        <row r="24">
          <cell r="Q24">
            <v>0.13873229450171687</v>
          </cell>
          <cell r="R24">
            <v>0.57920414459359382</v>
          </cell>
          <cell r="S24">
            <v>0.27671977504719436</v>
          </cell>
          <cell r="T24">
            <v>9.9076317792327895E-2</v>
          </cell>
          <cell r="U24">
            <v>0.57261055388682602</v>
          </cell>
          <cell r="V24">
            <v>0.33141838551950203</v>
          </cell>
        </row>
        <row r="25">
          <cell r="Q25">
            <v>0.10095540488200783</v>
          </cell>
          <cell r="R25">
            <v>0.57374879517554156</v>
          </cell>
          <cell r="S25">
            <v>0.32010731940716752</v>
          </cell>
          <cell r="T25">
            <v>7.6771548896384309E-2</v>
          </cell>
          <cell r="U25">
            <v>0.554625055849157</v>
          </cell>
          <cell r="V25">
            <v>0.37486334043008496</v>
          </cell>
        </row>
        <row r="26">
          <cell r="Q26">
            <v>7.0191805824572739E-2</v>
          </cell>
          <cell r="R26">
            <v>0.55897748259282132</v>
          </cell>
          <cell r="S26">
            <v>0.36592847056687638</v>
          </cell>
          <cell r="T26">
            <v>5.50331848909218E-2</v>
          </cell>
          <cell r="U26">
            <v>0.53385373128166391</v>
          </cell>
          <cell r="V26">
            <v>0.41205954274061996</v>
          </cell>
        </row>
        <row r="27">
          <cell r="Q27">
            <v>4.5872045027241626E-2</v>
          </cell>
          <cell r="R27">
            <v>0.53673600292183643</v>
          </cell>
          <cell r="S27">
            <v>0.41287940277066415</v>
          </cell>
          <cell r="T27">
            <v>4.1882891498532304E-2</v>
          </cell>
          <cell r="U27">
            <v>0.51004856673586696</v>
          </cell>
          <cell r="V27">
            <v>0.44388223355148898</v>
          </cell>
        </row>
        <row r="28">
          <cell r="Q28">
            <v>2.7236538556800305E-2</v>
          </cell>
          <cell r="R28">
            <v>0.50900020310028715</v>
          </cell>
          <cell r="S28">
            <v>0.4597147163333748</v>
          </cell>
          <cell r="T28">
            <v>2.6899076645389701E-2</v>
          </cell>
          <cell r="U28">
            <v>0.48054748715594703</v>
          </cell>
          <cell r="V28">
            <v>0.487722954635535</v>
          </cell>
        </row>
        <row r="29">
          <cell r="Q29">
            <v>1.3439515659250389E-2</v>
          </cell>
          <cell r="R29">
            <v>0.47767631545116807</v>
          </cell>
          <cell r="S29">
            <v>0.50534605161919544</v>
          </cell>
          <cell r="T29">
            <v>2.8643066551244298E-2</v>
          </cell>
          <cell r="U29">
            <v>0.45621581041098197</v>
          </cell>
          <cell r="V29">
            <v>0.51359201939365806</v>
          </cell>
        </row>
        <row r="30">
          <cell r="Q30">
            <v>3.6316304850894099E-3</v>
          </cell>
          <cell r="R30">
            <v>0.44446300774307801</v>
          </cell>
          <cell r="S30">
            <v>0.54889940599394826</v>
          </cell>
          <cell r="T30">
            <v>1.8585382566350301E-2</v>
          </cell>
          <cell r="U30">
            <v>0.43462182741029998</v>
          </cell>
          <cell r="V30">
            <v>0.547713142498501</v>
          </cell>
        </row>
        <row r="31">
          <cell r="Q31">
            <v>-2.9824511300189371E-3</v>
          </cell>
          <cell r="R31">
            <v>0.41077512306668496</v>
          </cell>
          <cell r="S31">
            <v>0.58973487865950069</v>
          </cell>
          <cell r="T31">
            <v>1.6441050975567299E-2</v>
          </cell>
          <cell r="U31">
            <v>0.40770546813070097</v>
          </cell>
          <cell r="V31">
            <v>0.57331041777418701</v>
          </cell>
        </row>
        <row r="32">
          <cell r="Q32">
            <v>-7.1098625323120501E-3</v>
          </cell>
          <cell r="R32">
            <v>0.37771871957883008</v>
          </cell>
          <cell r="S32">
            <v>0.62743776368013027</v>
          </cell>
          <cell r="T32">
            <v>1.6927265894710001E-2</v>
          </cell>
          <cell r="U32">
            <v>0.38076372682378795</v>
          </cell>
          <cell r="V32">
            <v>0.602138744531867</v>
          </cell>
        </row>
        <row r="33">
          <cell r="Q33">
            <v>-9.3542517434048733E-3</v>
          </cell>
          <cell r="R33">
            <v>0.34610277835244219</v>
          </cell>
          <cell r="S33">
            <v>0.66179134783263116</v>
          </cell>
          <cell r="T33">
            <v>5.5360201456173194E-3</v>
          </cell>
          <cell r="U33">
            <v>0.35516465630493699</v>
          </cell>
          <cell r="V33">
            <v>0.624921752972462</v>
          </cell>
        </row>
        <row r="34">
          <cell r="Q34">
            <v>-1.0214040541148606E-2</v>
          </cell>
          <cell r="R34">
            <v>0.31647314936328641</v>
          </cell>
          <cell r="S34">
            <v>0.69274069535042138</v>
          </cell>
          <cell r="T34">
            <v>5.5516744239331806E-3</v>
          </cell>
          <cell r="U34">
            <v>0.33275256354035898</v>
          </cell>
          <cell r="V34">
            <v>0.65513191440359508</v>
          </cell>
        </row>
        <row r="35">
          <cell r="Q35">
            <v>-1.0089264426504485E-2</v>
          </cell>
          <cell r="R35">
            <v>0.28915692587656672</v>
          </cell>
          <cell r="S35">
            <v>0.72035443995521042</v>
          </cell>
          <cell r="T35">
            <v>1.2931474477337201E-2</v>
          </cell>
          <cell r="U35">
            <v>0.31162242112024097</v>
          </cell>
          <cell r="V35">
            <v>0.68166378325101906</v>
          </cell>
        </row>
        <row r="36">
          <cell r="Q36">
            <v>-9.2930278680691814E-3</v>
          </cell>
          <cell r="R36">
            <v>0.26430884670891786</v>
          </cell>
          <cell r="S36">
            <v>0.74478914158803367</v>
          </cell>
          <cell r="T36">
            <v>8.6066661943624695E-3</v>
          </cell>
          <cell r="U36">
            <v>0.29035002727487702</v>
          </cell>
          <cell r="V36">
            <v>0.69814062804294097</v>
          </cell>
        </row>
        <row r="37">
          <cell r="Q37">
            <v>-8.0647401758344728E-3</v>
          </cell>
          <cell r="R37">
            <v>0.24195451853237415</v>
          </cell>
          <cell r="S37">
            <v>0.7662586562585183</v>
          </cell>
          <cell r="T37">
            <v>7.3575980325581393E-3</v>
          </cell>
          <cell r="U37">
            <v>0.272509543831852</v>
          </cell>
          <cell r="V37">
            <v>0.71941411557586699</v>
          </cell>
        </row>
        <row r="38">
          <cell r="Q38">
            <v>-6.583305585519561E-3</v>
          </cell>
          <cell r="R38">
            <v>0.22202776912746813</v>
          </cell>
          <cell r="S38">
            <v>0.78500941985298223</v>
          </cell>
          <cell r="T38">
            <v>2.8505374714209897E-3</v>
          </cell>
          <cell r="U38">
            <v>0.25622929206750999</v>
          </cell>
          <cell r="V38">
            <v>0.73983758563310398</v>
          </cell>
        </row>
        <row r="39">
          <cell r="Q39">
            <v>-4.9792252521276836E-3</v>
          </cell>
          <cell r="R39">
            <v>0.20440119451950345</v>
          </cell>
          <cell r="S39">
            <v>0.8013015532038974</v>
          </cell>
          <cell r="T39">
            <v>-2.1838521820841201E-4</v>
          </cell>
          <cell r="U39">
            <v>0.23591031536785101</v>
          </cell>
          <cell r="V39">
            <v>0.75684413386429605</v>
          </cell>
        </row>
        <row r="40">
          <cell r="Q40">
            <v>-3.3451204875687424E-3</v>
          </cell>
          <cell r="R40">
            <v>0.18891004546447121</v>
          </cell>
          <cell r="S40">
            <v>0.81539514911780131</v>
          </cell>
          <cell r="T40">
            <v>8.2348707294253292E-3</v>
          </cell>
          <cell r="U40">
            <v>0.22078107592961702</v>
          </cell>
          <cell r="V40">
            <v>0.7750441208199299</v>
          </cell>
        </row>
        <row r="41">
          <cell r="Q41">
            <v>-1.7445414423162831E-3</v>
          </cell>
          <cell r="R41">
            <v>0.1753701766011293</v>
          </cell>
          <cell r="S41">
            <v>0.82754087080181904</v>
          </cell>
          <cell r="T41">
            <v>3.9663387236011597E-3</v>
          </cell>
          <cell r="U41">
            <v>0.204823212440885</v>
          </cell>
          <cell r="V41">
            <v>0.78395269848070492</v>
          </cell>
        </row>
        <row r="42">
          <cell r="Q42">
            <v>-2.1913242674997946E-4</v>
          </cell>
          <cell r="R42">
            <v>0.16359101849683988</v>
          </cell>
          <cell r="S42">
            <v>0.83797395793755136</v>
          </cell>
          <cell r="T42">
            <v>7.9785242352294391E-3</v>
          </cell>
          <cell r="U42">
            <v>0.19286137258476199</v>
          </cell>
          <cell r="V42">
            <v>0.80233719563429595</v>
          </cell>
        </row>
        <row r="43">
          <cell r="Q43">
            <v>1.205669740074633E-3</v>
          </cell>
          <cell r="R43">
            <v>0.15338456188413474</v>
          </cell>
          <cell r="S43">
            <v>0.84691081252164224</v>
          </cell>
          <cell r="T43">
            <v>3.1396670372780401E-3</v>
          </cell>
          <cell r="U43">
            <v>0.17630438116484701</v>
          </cell>
          <cell r="V43">
            <v>0.81844367482675706</v>
          </cell>
        </row>
        <row r="44">
          <cell r="Q44">
            <v>2.5161876603432276E-3</v>
          </cell>
          <cell r="R44">
            <v>0.14457126043358848</v>
          </cell>
          <cell r="S44">
            <v>0.85454746120868563</v>
          </cell>
          <cell r="T44">
            <v>2.6118371468564702E-3</v>
          </cell>
          <cell r="U44">
            <v>0.16677826328596299</v>
          </cell>
          <cell r="V44">
            <v>0.83017491401183396</v>
          </cell>
        </row>
        <row r="45">
          <cell r="Q45">
            <v>3.7070866743604824E-3</v>
          </cell>
          <cell r="R45">
            <v>0.13698362623840765</v>
          </cell>
          <cell r="S45">
            <v>0.86105932730860246</v>
          </cell>
          <cell r="T45">
            <v>2.39128185473625E-3</v>
          </cell>
          <cell r="U45">
            <v>0.157909899247861</v>
          </cell>
          <cell r="V45">
            <v>0.83969352077445703</v>
          </cell>
        </row>
        <row r="46">
          <cell r="Q46">
            <v>4.778788562630254E-3</v>
          </cell>
          <cell r="R46">
            <v>0.13046814844374666</v>
          </cell>
          <cell r="S46">
            <v>0.86660187363305674</v>
          </cell>
          <cell r="T46">
            <v>1.2757458204968699E-3</v>
          </cell>
          <cell r="U46">
            <v>0.14923463373831</v>
          </cell>
          <cell r="V46">
            <v>0.84673055231667504</v>
          </cell>
        </row>
        <row r="47">
          <cell r="Q47">
            <v>5.7355412611856949E-3</v>
          </cell>
          <cell r="R47">
            <v>0.12488603041754409</v>
          </cell>
          <cell r="S47">
            <v>0.87131178783047503</v>
          </cell>
          <cell r="T47">
            <v>3.5362804167817599E-3</v>
          </cell>
          <cell r="U47">
            <v>0.135577127775768</v>
          </cell>
          <cell r="V47">
            <v>0.86534225693530897</v>
          </cell>
        </row>
        <row r="48">
          <cell r="Q48">
            <v>6.5839989215357164E-3</v>
          </cell>
          <cell r="R48">
            <v>0.12011312374778171</v>
          </cell>
          <cell r="S48">
            <v>0.87530847201551332</v>
          </cell>
          <cell r="T48">
            <v>-3.1346344649783998E-3</v>
          </cell>
          <cell r="U48">
            <v>0.125187367886479</v>
          </cell>
          <cell r="V48">
            <v>0.87833605384871605</v>
          </cell>
        </row>
        <row r="49">
          <cell r="Q49">
            <v>7.3321938408286158E-3</v>
          </cell>
          <cell r="R49">
            <v>0.11603934086046053</v>
          </cell>
          <cell r="S49">
            <v>0.87869566923671094</v>
          </cell>
          <cell r="T49">
            <v>9.0828857896239103E-3</v>
          </cell>
          <cell r="U49">
            <v>0.11564560923284699</v>
          </cell>
          <cell r="V49">
            <v>0.87802773465304806</v>
          </cell>
        </row>
        <row r="50">
          <cell r="Q50">
            <v>7.9888058085968439E-3</v>
          </cell>
          <cell r="R50">
            <v>0.11256775138594222</v>
          </cell>
          <cell r="S50">
            <v>0.88156311311265512</v>
          </cell>
          <cell r="T50">
            <v>1.0538230552720001E-2</v>
          </cell>
          <cell r="U50">
            <v>0.111612530534534</v>
          </cell>
          <cell r="V50">
            <v>0.88908099354612202</v>
          </cell>
        </row>
        <row r="51">
          <cell r="Q51">
            <v>8.5626547226569372E-3</v>
          </cell>
          <cell r="R51">
            <v>0.10961350814598347</v>
          </cell>
          <cell r="S51">
            <v>0.8839881267945735</v>
          </cell>
          <cell r="T51">
            <v>2.5859344138377399E-3</v>
          </cell>
          <cell r="U51">
            <v>0.10342211054485</v>
          </cell>
          <cell r="V51">
            <v>0.89472708248588406</v>
          </cell>
        </row>
        <row r="52">
          <cell r="Q52">
            <v>9.0623589879790245E-3</v>
          </cell>
          <cell r="R52">
            <v>0.10710270385055409</v>
          </cell>
          <cell r="S52">
            <v>0.88603712619677033</v>
          </cell>
          <cell r="T52">
            <v>2.0336631835871899E-3</v>
          </cell>
          <cell r="U52">
            <v>9.4972241588527101E-2</v>
          </cell>
          <cell r="V52">
            <v>0.90450311421663898</v>
          </cell>
        </row>
        <row r="53">
          <cell r="Q53">
            <v>9.4961155930581853E-3</v>
          </cell>
          <cell r="R53">
            <v>0.10497122639667822</v>
          </cell>
          <cell r="S53">
            <v>0.88776700274067366</v>
          </cell>
          <cell r="T53">
            <v>2.2949557971681501E-3</v>
          </cell>
          <cell r="U53">
            <v>8.7440881600336293E-2</v>
          </cell>
          <cell r="V53">
            <v>0.90922037148508505</v>
          </cell>
        </row>
        <row r="54">
          <cell r="Q54">
            <v>9.8715683335290905E-3</v>
          </cell>
          <cell r="R54">
            <v>0.10316365649122083</v>
          </cell>
          <cell r="S54">
            <v>0.88922637480758837</v>
          </cell>
          <cell r="T54">
            <v>2.3936274802814103E-3</v>
          </cell>
          <cell r="U54">
            <v>8.3053244128702103E-2</v>
          </cell>
          <cell r="V54">
            <v>0.906309636239233</v>
          </cell>
        </row>
        <row r="55">
          <cell r="Q55">
            <v>1.0195738907849972E-2</v>
          </cell>
          <cell r="R55">
            <v>0.10163223403220911</v>
          </cell>
          <cell r="S55">
            <v>0.89045670637919905</v>
          </cell>
          <cell r="T55">
            <v>2.3043154567460099E-3</v>
          </cell>
          <cell r="U55">
            <v>7.8073186837302994E-2</v>
          </cell>
          <cell r="V55">
            <v>0.92630169320256595</v>
          </cell>
        </row>
        <row r="56">
          <cell r="Q56">
            <v>1.0475001990178257E-2</v>
          </cell>
          <cell r="R56">
            <v>0.10033590755505095</v>
          </cell>
          <cell r="S56">
            <v>0.89149329726860671</v>
          </cell>
          <cell r="T56">
            <v>3.0385585864702198E-3</v>
          </cell>
          <cell r="U56">
            <v>7.1018266657233403E-2</v>
          </cell>
          <cell r="V56">
            <v>0.92736038017037692</v>
          </cell>
        </row>
        <row r="57">
          <cell r="Q57">
            <v>1.0715090276349315E-2</v>
          </cell>
          <cell r="R57">
            <v>9.923947272995548E-2</v>
          </cell>
          <cell r="S57">
            <v>0.89236615289328114</v>
          </cell>
          <cell r="T57">
            <v>7.9515125832206497E-3</v>
          </cell>
          <cell r="U57">
            <v>6.6968684958737701E-2</v>
          </cell>
          <cell r="V57">
            <v>0.93389441761834491</v>
          </cell>
        </row>
        <row r="58">
          <cell r="Q58">
            <v>1.0921119221285025E-2</v>
          </cell>
          <cell r="R58">
            <v>9.8312800349393825E-2</v>
          </cell>
          <cell r="S58">
            <v>0.89310074344539103</v>
          </cell>
          <cell r="T58">
            <v>-1.1013052498209E-4</v>
          </cell>
          <cell r="U58">
            <v>6.18422691296922E-2</v>
          </cell>
          <cell r="V58">
            <v>0.94275156262420401</v>
          </cell>
        </row>
        <row r="59">
          <cell r="Q59">
            <v>1.1097624000774964E-2</v>
          </cell>
          <cell r="R59">
            <v>9.7530150687669348E-2</v>
          </cell>
          <cell r="S59">
            <v>0.89371866310662007</v>
          </cell>
          <cell r="T59">
            <v>5.6947636442931599E-3</v>
          </cell>
          <cell r="U59">
            <v>6.0470398956274998E-2</v>
          </cell>
          <cell r="V59">
            <v>0.93680268831874902</v>
          </cell>
        </row>
        <row r="60">
          <cell r="Q60">
            <v>1.1248603345557662E-2</v>
          </cell>
          <cell r="R60">
            <v>9.6869568966875264E-2</v>
          </cell>
          <cell r="S60">
            <v>0.89423820001687027</v>
          </cell>
          <cell r="T60">
            <v>-2.2807198247528698E-3</v>
          </cell>
          <cell r="U60">
            <v>5.4975808919005206E-2</v>
          </cell>
          <cell r="V60">
            <v>0.94398061818187207</v>
          </cell>
        </row>
        <row r="61">
          <cell r="Q61">
            <v>1.1377566474685352E-2</v>
          </cell>
          <cell r="R61">
            <v>9.6312355496433355E-2</v>
          </cell>
          <cell r="S61">
            <v>0.89467482730922399</v>
          </cell>
          <cell r="T61">
            <v>-1.0788247514761E-4</v>
          </cell>
          <cell r="U61">
            <v>5.3596926243307502E-2</v>
          </cell>
          <cell r="V61">
            <v>0.94100736181572697</v>
          </cell>
        </row>
      </sheetData>
      <sheetData sheetId="11"/>
      <sheetData sheetId="12"/>
      <sheetData sheetId="13"/>
      <sheetData sheetId="14"/>
      <sheetData sheetId="15"/>
      <sheetData sheetId="16"/>
    </sheetDataSet>
  </externalBook>
</externalLink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7T14:21:59.30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349 91 1432,'1'1'944,"-1"-1"-755,0 0 0,0 1 0,1-1 0,-1 0-1,0 0 1,0 0 0,1 0 0,-1 0 0,0 0-1,0 0 1,1 1 0,-1-1 0,0 0 0,1 0 0,-1 0-1,0 0 1,1 0 0,-1 0 0,0 0 0,0 0-1,1 0 1,-1-1 0,0 1 0,1 0 0,-1 0-1,0 0 1,0 0 0,1 0 0,-1 0 0,0-1 0,1 0 755,-1 1-756,1 0 1,-1 0 0,0 0 0,0-1 0,0 1-1,0 0 1,0-1 0,0 1 0,1 0 0,-1 0-1,0-1 1,0 1 0,0 0 0,0-1 0,0 1 0,0 0-1,0 0 1,0-1 0,0 1 0,0 0 0,0-1-1,-1 1 1,4-11-448,-1 7 316,-1-1-1,1 1 1,-1 0-1,0-1 1,0 1-1,0-1 0,-1 0 1,0-6-1,0 6-6,0 5-38,0-1 0,0 0 0,-1 0 0,1 0 0,0 0 0,-1 0 0,1 1 0,-1-1 0,1 0 0,-1 0 0,1 1 1,-1-1-1,1 0 0,-1 1 0,0-1 0,1 0 0,-1 1 0,0-1 0,0 1 0,0-1 0,1 1 0,-1 0 0,0-1 0,0 1 0,0 0 0,0-1 0,-1 1 0,-23-4 134,24 4-138,-12-1 93,0 2-1,-24 3 1,-8 0 118,26-2-90,1 1-1,-1 1 1,1 0-1,-27 11 1,11-4 238,32-11-345,0 0 1,0 1-1,1 0 0,-1-1 1,0 1-1,0 0 1,0 0-1,0 0 0,1 0 1,-1 0-1,0 0 1,1 1-1,-1-1 1,1 0-1,-1 1 0,1 0 1,0-1-1,0 1 1,0 0-1,0-1 0,0 1 1,0 0-1,0 0 1,0 0-1,1 0 1,-1 0-1,1 0 0,-1 2 1,1 0-12,1 0 0,-1 0 1,1 0-1,0 0 0,0 0 1,1 0-1,-1 0 0,1 0 0,0-1 1,0 1-1,0-1 0,0 1 1,4 3-1,19 34 158,-22-36-146,-1-1-1,0 1 1,1 0-1,0-1 1,0 1-1,0-1 1,1 0 0,-1 0-1,1-1 1,0 1-1,0-1 1,0 1-1,1-1 1,-1 0-1,1-1 1,-1 1-1,1-1 1,9 3-1,9 0 41,-10-3-27,0 1 0,0 1-1,23 10 1,-33-14-26,-1 1 1,0 0 0,-1 0-1,1 0 1,0 1-1,0-1 1,0 0-1,-1 1 1,1-1 0,0 1-1,-1 0 1,0-1-1,1 1 1,-1 0-1,0 0 1,0 0 0,0 0-1,0 0 1,0 0-1,0 0 1,-1 0 0,1 0-1,-1 0 1,1 1-1,-1-1 1,0 0-1,0 0 1,0 0 0,-1 5-1,0-4 22,0 1-1,0-1 1,-1 0 0,1 0-1,-1 0 1,0 0 0,0 0-1,0 0 1,0 0 0,0-1 0,-1 1-1,1-1 1,-1 1 0,-3 1-1,0 0 33,0 1 1,0-1-1,-1-1 0,1 1 0,-12 3 0,12-5-37,0-1-1,0 1 1,0-2-1,0 1 1,0 0-1,0-1 0,0 0 1,0-1-1,0 1 1,1-1-1,-1 0 1,0-1-1,0 1 1,0-1-1,-10-5 0,4 1-35,0-1-1,1-1 1,0 0-1,0-1 0,-18-17 1,28 25-134,1 0-1,-1 1 1,1-1 0,-1 1 0,0-1 0,1 1 0,-1-1-1,0 1 1,1-1 0,-1 1 0,0 0 0,0-1 0,1 1-1,-1 0 1,0 0 0,-1-1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7T14:21:59.30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49 190 1616,'0'-1'224,"0"1"-1,-1 0 0,1 0 0,0 0 0,-1-1 1,1 1-1,0 0 0,-1 0 0,1 0 0,0-1 1,-1 1-1,1 0 0,0 0 0,-1 0 0,1 0 1,0 0-1,-1 0 0,1 0 0,-1 0 1,1 0-1,0 0 0,-1 0 0,1 0 0,0 0 1,-1 0-1,1 0 0,0 1 0,-1-1 0,1 0 1,-1 0-1,0 15 4220,2 0-5211,1 74 1509,-1 82-195,-2-165-451,0 2 139,0 1-1,1-1 0,0 1 0,0-1 1,1 0-1,3 17 0,-9-38 99,0-1 0,-6-23 0,7 19-268,1 7-52,0-1-1,1 0 1,1 0 0,0 0-1,0 0 1,1 0-1,1 0 1,0 0-1,5-23 1,4 2 8,0 0 0,16-32 1,-6 18 34,-15 33-59,2 1-1,0 0 1,0 1-1,1-1 1,0 2-1,1-1 1,1 1-1,0 0 1,0 1-1,17-12 1,-24 20 1,1 0 1,0 0-1,0 0 1,0 1 0,0 0-1,1-1 1,-1 2-1,0-1 1,0 0-1,1 1 1,-1 0-1,0 0 1,1 0 0,-1 1-1,0-1 1,0 1-1,1 0 1,-1 0-1,0 1 1,4 1-1,-3-1 5,0 0-1,0 0 0,-1 0 1,1 1-1,0-1 0,-1 1 0,0 0 1,0 1-1,0-1 0,0 1 1,-1 0-1,1 0 0,-1 0 1,0 0-1,0 0 0,3 7 1,-5-9 6,-1 0 0,1 1 0,-1-1 0,0 0 0,1 1 0,-1-1 0,0 1 0,-1-1 1,1 0-1,0 1 0,-1-1 0,1 0 0,-1 1 0,0-1 0,1 0 0,-1 0 1,0 1-1,0-1 0,-1 0 0,1 0 0,0 0 0,-1 0 0,1-1 0,-1 1 1,0 0-1,0-1 0,-2 3 0,-6 4 22,-1 0 1,0-1-1,-19 10 1,24-14-24,-7 3 16,-2 0 1,1-1 0,-21 5 0,19-6-11,1 0-1,-23 11 1,-75 38-2,113-53-11,0 0 0,0 0 1,0 0-1,0 0 1,0 0-1,0 0 1,0 0-1,0-1 0,0 1 1,0 0-1,0 0 1,0 0-1,0 0 1,0 0-1,0 0 0,0 0 1,0 0-1,0 0 1,0-1-1,-1 1 1,1 0-1,0 0 1,0 0-1,0 0 0,0 0 1,0 0-1,0 0 1,0 0-1,0 0 1,0 0-1,0 0 0,0 0 1,0 0-1,-1 0 1,1 0-1,0-1 1,0 1-1,0 0 0,0 0 1,0 0-1,0 0 1,9-9 13,3 1-14,-6 3-1,1 1 1,0 0 0,0 0 0,0 0-1,0 1 1,1 0 0,0 0 0,-1 1-1,1 0 1,14-1 0,-16 3-3,-1 0 0,1 0 0,0 1 1,0 0-1,0 0 0,-1 0 0,1 1 0,-1 0 0,1 0 0,-1 0 0,9 6 1,-5-2 2,-1 0 0,0 0 0,-1 1 0,1 0 0,-1 0 0,7 10 0,4 10 28,-1 0-1,-1 1 0,15 35 0,-31-63-27,14 34 50,-11-24-11,1-1-1,0 0 1,1 0 0,-1 0 0,2 0-1,-1-1 1,1 1 0,0-2-1,14 14 1,-19-20-15,1 1 0,-1-1 0,1 1 1,0-1-1,-1 0 0,1 1 0,0-1 0,0 0 0,0 0 0,0 0 1,0-1-1,0 1 0,0-1 0,0 1 0,0-1 0,1 1 0,-1-1 1,0 0-1,0 0 0,0 0 0,0 0 0,1-1 0,-1 1 0,0 0 0,0-1 1,0 0-1,0 1 0,0-1 0,0 0 0,0 0 0,0 0 0,0 0 1,-1-1-1,1 1 0,0 0 0,-1-1 0,1 1 0,-1-1 0,1 1 1,1-4-1,-1 2-4,0 0 0,0 0 0,-1 0 0,1 0 0,-1-1 0,0 1 0,0 0 0,0-1 0,0 1 0,0-5 0,2-36-2074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7T14:21:59.30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258 164 1160,'-4'-14'4872,"4"14"-4746,0-1 1,-1 1 0,1 0-1,0-1 1,0 1-1,0 0 1,0 0 0,0-1-1,-1 1 1,1 0-1,0 0 1,0-1 0,-1 1-1,1 0 1,0 0-1,0 0 1,-1-1-1,1 1 1,0 0 0,0 0-1,-1 0 1,1 0-1,0 0 1,-1 0 0,1-1-1,0 1 1,-1 0-1,1 0 1,0 0 0,-1 0-1,1 0 1,0 0-1,0 0 1,-1 0 0,1 1-1,0-1 1,-1 0-1,1 0 1,0 0-1,-1 0 1,1 0 0,0 0-1,0 1 1,-1-1-1,1 0 1,0 0 0,0 0-1,-1 1 1,1-1-1,0 0 1,-1 2-52,0-1 1,0 0-1,1 0 0,-1 1 1,0-1-1,1 1 1,-1-1-1,1 1 0,0-1 1,-1 1-1,1-1 0,0 3 1,-1 5 62,-7 109 1185,0 11-450,6-110-811,2-15-49,0 0 0,0 0-1,0 0 1,-1 0 0,1-1-1,-1 1 1,0 0 0,-1 0-1,1 0 1,-4 6-1,4-15-462,1 1-2771</inkml:trace>
  <inkml:trace contextRef="#ctx0" brushRef="#br0" timeOffset="1">14 601 1408,'1'-1'391,"-1"0"-1,0 0 1,0 0 0,0 0-1,0 0 1,0 0-1,0 0 1,0 0-1,0 0 1,0 0 0,0 1-1,-1-1 1,1 0-1,0 0 1,-1 0-1,1 0 1,-1 0-1,0-1 1,-4-14 4634,12 13-4452,40-15 192,77-42 0,1 0-277,71-11-139,-176 68-318,-12 3-10,-8 0-21,0 0 0,1 0 1,-1 0-1,0 1 0,0-1 1,0 0-1,0 0 0,0 0 0,0 0 1,0 0-1,0 0 0,0 0 1,0 0-1,0 0 0,0 0 0,0 0 1,0 0-1,1 0 0,-1 0 0,0 0 1,0 0-1,0 1 0,0-1 1,0 0-1,0 0 0,0 0 0,0 0 1,0 0-1,0 0 0,0 0 1,0 0-1,0 0 0,0 0 0,0 1 1,0-1-1,0 0 0,0 0 0,0 0 1,0 0-1,0 0 0,0 0 1,0 0-1,0 0 0,0 0 0,-1 0 1,1 0-1,0 0 0,0 1 1,0-1-1,0 0 0,0 0 0,0 0 1,0 0-1,0 0 0,0 0 0,0 0 1,0 0-1,0 0 0,-39 19-2235,-3 8 852,16-13-339</inkml:trace>
  <inkml:trace contextRef="#ctx0" brushRef="#br0" timeOffset="2">0 207 2761,'1'0'131,"-1"0"1,0 0-1,1 0 1,-1 0-1,1 0 1,-1 0-1,1 0 1,-1 0-1,0 0 1,1 0-1,-1-1 1,1 1-1,-1 0 1,0 0-1,1 0 1,-1-1-1,0 1 1,1 0-1,-1-1 1,0 1-1,1 0 1,-1-1-1,0 1 1,0 0-1,1-1 1,-1 1-1,0 0 1,0-1-1,0 1 1,0-1-1,1 1 1,-1-1-1,0 1 1,0 0-1,0-1 1,0 1-1,0-1 1,0 1-1,0-1 1,0 0-1,0 1 7,0-1 0,0 1 0,0-1 1,0 1-1,0-1 0,0 0 0,0 1 0,0-1 0,0 1 0,0-1 1,0 1-1,1-1 0,-1 1 0,0-1 0,0 1 0,1 0 0,-1-1 0,0 1 1,0-1-1,1 1 0,-1-1 0,1 1 0,-1 0 0,0-1 0,1 1 1,-1 0-1,1 0 0,-1-1 0,1 1 0,-1 0 0,1 0 0,-1 0 1,1-1-1,0 1 0,21-5 77,0-1 0,0-1 0,-1-1 0,0-1 1,0 0-1,-1-2 0,0-1 0,23-17 0,-19 13-134,40-22 0,-53 33-73,0 0 1,1 1 0,-1 0 0,1 0-1,0 2 1,18-3 0,-29 4-21,-1 1-1,1 0 1,0 0 0,0 0 0,0 0 0,-1 0-1,1-1 1,0 1 0,0 0 0,0 1-1,-1-1 1,1 0 0,0 0 0,0 0-1,0 0 1,-1 1 0,1-1 0,0 0-1,0 1 1,-1-1 0,1 0 0,0 1 0,-1-1-1,1 1 1,-1-1 0,1 1 0,0 0-1,-1-1 1,1 1 0,-1 0 0,1-1-1,-1 1 1,0 0 0,1-1 0,-1 1 0,0 0-1,0 0 1,1-1 0,-1 1 0,0 0-1,0 0 1,0 0 0,0-1 0,0 3-1,0 1-299,-1 0 1,0 0-1,0 0 0,-1 0 0,1 0 0,-1 0 0,-3 5 0,-8 14-1930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7T14:22:19.67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296 129 1088,'-2'-12'4869,"1"11"-4591,1-1-1,0 1 1,-1-1-1,1 0 1,0 1 0,0-1-1,0 0 1,0 1 0,0-1-1,0 1 1,0-1-1,1-2 1,0 2-236,0 0-1,0 0 1,-1 0 0,1 0 0,-1 0-1,0 0 1,1 0 0,-1 0 0,0 0-1,0 0 1,0 0 0,-1 0-1,1 0 1,0 0 0,-1 0 0,1 1-1,-2-4 1,0 2 46,0 0 0,-1 0-1,0 0 1,1 1 0,-1-1-1,0 1 1,0-1 0,0 1 0,-6-3-1,7 4-84,-3-2 42,0 0-1,-1-1 0,0 2 1,1-1-1,-1 1 0,0 0 1,0 0-1,-1 0 0,1 1 1,-9-1-1,7 2 3,1 1 0,-1-1 0,1 1 0,0 1 0,0-1 0,0 1 0,-1 1 0,2-1-1,-1 1 1,-10 6 0,12-6-29,-1-1 26,1 1 0,-1 0-1,1 0 1,0 1 0,-6 4-1,-3 1 503,11-5-542,1 0 1,0 0-1,0 0 1,0 0-1,1 0 1,-1 1-1,1-1 1,0 0-1,0 1 1,1-1-1,-1 9 1,1-11-3,0 1 8,0 0 0,1 0-1,-1 0 1,1 0 0,0 0 0,0 0 0,0-1 0,0 1 0,0 0-1,1 0 1,-1-1 0,1 1 0,-1-1 0,1 0 0,0 1-1,0-1 1,0 0 0,3 2 0,-2-2 40,0 1 0,-1 0 0,1-1 0,-1 1 0,0 0 0,0 0-1,0 0 1,0 1 0,-1-1 0,1 0 0,-1 1 0,2 4 0,-3-6 0,1-1 0,0 0 0,-1 1 0,1-1 0,0 0 0,0 0 0,0 1 0,0-1 0,0 0 0,0 0 0,0 0 0,0-1 0,1 1 0,-1 0 0,0 0 0,0 0 0,1-1 0,-1 1 0,1-1 0,0 1 0,15 8-94,2 2 46,39 24 193,-54-32-165,1 1 0,-1 0-1,1 0 1,-1 0 0,0 0 0,-1 1-1,1-1 1,-1 1 0,5 9-1,-6-10-12,-1-1-1,1 1 1,-1 0-1,0 0 1,0 0 0,0 0-1,-1 0 1,0 0-1,1 0 1,-1 0-1,-1 0 1,1 1-1,0-1 1,-1 0 0,0 0-1,0 0 1,0-1-1,-2 5 1,0-4 4,1 0 0,0 0 1,-1-1-1,0 1 1,0-1-1,0 0 0,0 0 1,-1 0-1,1 0 0,-1-1 1,0 1-1,1-1 0,-1 0 1,0 0-1,0 0 0,-7 1 1,6-2 3,-1 0 0,0 0 0,0 0 0,0-1 1,0 0-1,0-1 0,1 1 0,-1-1 0,0 0 0,0 0 1,1-1-1,-1 0 0,1 0 0,-1 0 0,-8-5 1,9 5-37,0 1 1,0 0 0,0 0-1,0 0 1,-1 0 0,1 1-1,0 0 1,-10 1 0,-3 0-1075,16-1-122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7T14:22:19.67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145 101 3249,'0'0'359,"0"-1"1,0 0 0,0 0 0,0 1-1,0-1 1,0 0 0,-1 0-1,1 0 1,0 1 0,0-1 0,-1 0-1,1 1 1,0-1 0,-1 0 0,1 1-1,-2-2 1,2 2-241,0-1-1,-1 1 1,1 0-1,-1-1 1,1 1-1,-1 0 1,1 0-1,-1-1 1,1 1 0,-1 0-1,1 0 1,-1 0-1,1 0 1,-1 0-1,1 0 1,-1 0-1,1 0 1,-1 0 0,0 0-1,0 0 1,0 1-59,-1-1 1,0 1-1,1 0 1,-1 0 0,1 0-1,-1 0 1,1 0-1,-1 0 1,1 0-1,0 0 1,0 0 0,-1 1-1,1-1 1,0 0-1,0 1 1,0-1 0,-1 3-1,-5 13 36,1-1 1,1 1-1,1 0 0,0 0 0,1 1 0,-1 23 1,3-19 64,1 0 1,1 0-1,1 0 1,1 0-1,1 0 1,1 0-1,1-1 1,13 32-1,-14-39 583,-16-26 536,2 1-1285,-6-6 33,2 2-19,0-1 1,1 0-1,-11-20 1,20 32-10,1-1 0,0 0 0,0 1 0,0-1 0,0 0 0,1 0 0,-1 0 0,1 0 0,1-1 0,-1 1 0,1 0 0,0 0 0,0 0 0,0-1 0,1 1 0,-1 0 0,1 0 0,3-7 0,12-27 2,2 1 1,26-44 0,-38 72 7,-1 0 0,0 0 0,6-20 0,3-8-20,-14 37 4,1 1-1,0-1 1,0 0-1,0 0 0,-1 1 1,1-1-1,0 1 1,0-1-1,0 0 1,0 1-1,0 0 0,0-1 1,0 1-1,0 0 1,0-1-1,0 1 1,0 0-1,0 0 0,0 0 1,1 0-1,-1 0 1,0 0-1,0 0 1,0 0-1,1 1 0,29 5 31,-26-5-37,7 1 30,-1 1-1,1 1 1,0 0-1,-1 1 1,0 0-1,0 0 1,17 12-1,-27-16-1,0 0 0,0 0 0,0 0 0,0 0 0,0 1 0,0-1 0,0 0 0,0 0 0,0 1 1,-1-1-1,1 0 0,0 1 0,-1-1 0,1 1 0,-1-1 0,0 1 0,0-1 0,1 1 0,-1-1 0,0 1 0,0-1 0,0 1 0,0-1 0,-1 1 0,1-1 0,0 1 0,-1-1 0,1 1 0,-1-1 0,1 0 0,-1 1 0,0-1 0,1 0 0,-2 2 0,-1 1 9,1 0 1,-1 0-1,0 0 1,-1 0-1,1 0 0,-1-1 1,0 1-1,1-1 0,-6 3 1,-1-2 245,9-3-263,-1-1 1,0 1 0,0 0 0,0 0 0,0 0 0,1 0 0,-1 1-1,0-1 1,1 0 0,-3 3 0,-27 24 40,29-26-40,0-1-1,0 1 1,-1-1-1,1 1 1,0-1 0,-1 0-1,1 0 1,-1 0 0,1-1-1,-1 1 1,1 0-1,-1-1 1,0 0 0,1 1-1,-1-1 1,-2-1 0,-19 5 35,24-4-41,-1 0 1,0 1-1,0-1 0,1 0 0,-1 1 0,0-1 0,1 0 1,-1 0-1,0 1 0,0-1 0,1 0 0,-1 0 0,0 0 1,0 0-1,0 0 0,1 0 0,-1 0 0,0 0 0,0 0 1,1-1-1,-1 1 0,0 0 0,0 0 0,1-1 0,-1 1 1,-1-1-1,0-1 5,1 2-7,0 0 1,1-1-1,-1 1 0,1 0 1,-1-1-1,0 1 1,1 0-1,-1 0 1,0 0-1,0-1 1,1 1-1,-1 0 1,0 0-1,1 0 1,-1 0-1,0 0 0,0 0 1,1 1-1,-1-1 1,-1 0-1,2 1 0,0-1 0,-1 0 0,1 1-1,0-1 1,-1 0 0,1 1 0,0-1 0,0 0-1,0 1 1,-1-1 0,1 1 0,0-1-1,0 1 1,0-1 0,0 1 0,0-1 0,0 1-1,0-1 1,0 0 0,0 1 0,0-1-1,0 1 1,0 0 0,0 1 1,1 0 1,-1 0-1,1 0 1,-1 0-1,1 0 1,0 0-1,0 0 1,0 0-1,0-1 1,0 1-1,0 0 1,1-1-1,2 4 1,58 49 39,-47-40-19,-8-7-19,1 0 1,0 0 0,0-1 0,10 7-1,121 70 395,-127-75-309,-8-4 14,0-1 0,0 0 0,1 0 0,-1 0 0,1 0 0,0-1 0,-1 0 0,1 0 0,7 1 0,-12-3-29,22-10-140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7T14:22:19.67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251 118 1912,'-5'-8'3989,"-5"-6"1535,9 14-5489,1 0 0,0 0 0,-1-1 0,1 1 0,-1 0 0,1 0 0,0 0 0,-1 0 0,1 0 0,0 0 1,-1 0-1,1 1 0,-1-1 0,1 0 0,0 0 0,-1 0 0,1 0 0,0 0 0,-1 1 0,1-1 0,0 0 0,-1 0 0,1 0 1,0 1-1,0-1 0,-1 0 0,1 1 0,0-1 0,0 0 0,-1 0 0,1 1 0,0-1 0,0 0 0,0 1 0,0-1 0,-1 1 1,1-1-1,0 0 0,0 1 0,0-1 0,0 0 0,0 1 0,0 0 0,-8 18 241,1 1 0,1-1 0,0 2-1,2-1 1,-4 27 0,7-10-150,6 58 1,-2-56 56,-3-38-175,0 0-1,1 0 1,-1 0-1,0 0 1,0 0-1,0 0 1,0 1-1,0-1 1,0 0-1,-1 0 1,1 0-1,0 0 1,0 0-1,-1 0 1,1 0-1,-1 0 1,1 0-1,-1 0 1,1 0-1,-1 0 1,1 0-1,-1 0 1,0 0-1,0-1 1,0 1-1,1 0 1,-1-1 0,0 1-1,0 0 1,0-1-1,0 1 1,0-1-1,0 1 1,0-1-1,0 0 1,0 1-1,-2-1 1,2-5-4304</inkml:trace>
  <inkml:trace contextRef="#ctx0" brushRef="#br0" timeOffset="1">34 489 1784,'-10'-1'3768,"-2"1"1663,5 7-4561,2-4 137,8-2-316,-1 0-783,19 5 307,0-2 0,0 0 0,0-2 0,37 1 0,-18-1 93,-28-3-138,0 1 1,0-1 0,0-1-1,14-4 1,19-2 268,-35 10-41,-9 0-1085,-6-1-3359</inkml:trace>
  <inkml:trace contextRef="#ctx0" brushRef="#br0" timeOffset="2">5 105 1080,'-1'-12'5461,"1"12"-5155,0-1 0,0 0 0,-1 1 0,1-1 0,0 1 0,0-1-1,0 1 1,0-1 0,0 0 0,0 1 0,1-1 0,-1 1 0,0-1 0,0 1-1,0-1 1,0 0 0,1 1 0,-1-1 0,1 0 0,20-11 355,-9 8-509,0 0 1,0 1-1,0 1 0,1 0 0,18-1 1,43-1 953,123-22 0,-196 25-1092,5 1 17,0-1-1,0-1 1,0 1 0,0-1 0,-1 0 0,1 0 0,-1-1 0,7-3 0,-13 6 9,1 0-66,-1 0 1,1 0 0,0 0 0,-1-1-1,1 1 1,-1 0 0,1 0 0,0 1 0,-1-1-1,1 0 1,-1 0 0,1 0 0,0 0-1,-1 0 1,1 0 0,-1 0 0,1 1 0,0-1-1,-1 0 1,1 0 0,0 0 0,-1 1-1,1-1 1,0 0 0,-1 1 0,1-1 0,0 1-1,-10 15-1154,-13 23-676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A304B-DA5A-4FEB-A5E8-AAFDBA33627C}">
  <sheetPr>
    <tabColor theme="3" tint="0.749992370372631"/>
  </sheetPr>
  <dimension ref="A1:Y63"/>
  <sheetViews>
    <sheetView zoomScale="89" zoomScaleNormal="89" workbookViewId="0">
      <selection activeCell="O15" sqref="O15"/>
    </sheetView>
  </sheetViews>
  <sheetFormatPr defaultRowHeight="14.5"/>
  <cols>
    <col min="1" max="1" width="8.81640625" bestFit="1" customWidth="1"/>
    <col min="2" max="2" width="11.1796875" customWidth="1"/>
    <col min="3" max="3" width="10.453125" customWidth="1"/>
    <col min="4" max="4" width="16" customWidth="1"/>
    <col min="5" max="5" width="15.7265625" customWidth="1"/>
    <col min="6" max="6" width="15.1796875" customWidth="1"/>
    <col min="7" max="7" width="13.54296875" customWidth="1"/>
    <col min="8" max="8" width="12.453125" customWidth="1"/>
    <col min="9" max="9" width="12.81640625" customWidth="1"/>
    <col min="10" max="10" width="11.81640625" bestFit="1" customWidth="1"/>
    <col min="11" max="11" width="0" hidden="1" customWidth="1"/>
    <col min="12" max="12" width="20.81640625" customWidth="1"/>
    <col min="13" max="13" width="11.54296875" customWidth="1"/>
    <col min="14" max="14" width="9.81640625" bestFit="1" customWidth="1"/>
    <col min="15" max="15" width="14.81640625" customWidth="1"/>
    <col min="16" max="16" width="10.453125" bestFit="1" customWidth="1"/>
    <col min="17" max="17" width="8.81640625" bestFit="1" customWidth="1"/>
    <col min="19" max="19" width="13" bestFit="1" customWidth="1"/>
    <col min="21" max="21" width="36.81640625" customWidth="1"/>
    <col min="22" max="22" width="10" bestFit="1" customWidth="1"/>
    <col min="23" max="23" width="10.453125" bestFit="1" customWidth="1"/>
    <col min="24" max="24" width="4.453125" bestFit="1" customWidth="1"/>
    <col min="25" max="25" width="13.54296875" bestFit="1" customWidth="1"/>
  </cols>
  <sheetData>
    <row r="1" spans="1:25">
      <c r="A1" s="35" t="s">
        <v>123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S1" s="36" t="s">
        <v>153</v>
      </c>
      <c r="T1" s="36"/>
      <c r="U1" s="36"/>
      <c r="W1" s="36" t="s">
        <v>124</v>
      </c>
      <c r="X1" s="36"/>
      <c r="Y1" s="36"/>
    </row>
    <row r="2" spans="1:25">
      <c r="A2" s="6" t="s">
        <v>166</v>
      </c>
      <c r="B2" s="37" t="s">
        <v>167</v>
      </c>
      <c r="C2" s="38"/>
      <c r="D2" s="38"/>
      <c r="E2" s="38"/>
      <c r="F2" s="39"/>
      <c r="G2" s="40" t="s">
        <v>218</v>
      </c>
      <c r="H2" s="41"/>
      <c r="I2" s="42"/>
      <c r="J2" s="18" t="s">
        <v>217</v>
      </c>
      <c r="N2" s="43" t="s">
        <v>125</v>
      </c>
      <c r="O2" s="43"/>
      <c r="P2" s="43" t="s">
        <v>124</v>
      </c>
      <c r="Q2" s="43"/>
      <c r="S2" s="36" t="s">
        <v>216</v>
      </c>
      <c r="T2" s="36"/>
      <c r="U2" s="36"/>
      <c r="W2" s="14"/>
      <c r="X2" s="14"/>
      <c r="Y2" s="14"/>
    </row>
    <row r="3" spans="1:25" ht="15" thickBot="1">
      <c r="A3" s="5" t="s">
        <v>0</v>
      </c>
      <c r="B3" s="15" t="s">
        <v>206</v>
      </c>
      <c r="C3" s="15" t="s">
        <v>215</v>
      </c>
      <c r="D3" s="15" t="s">
        <v>196</v>
      </c>
      <c r="E3" s="15" t="s">
        <v>191</v>
      </c>
      <c r="F3" s="15" t="s">
        <v>187</v>
      </c>
      <c r="G3" s="15" t="s">
        <v>214</v>
      </c>
      <c r="H3" s="15" t="s">
        <v>213</v>
      </c>
      <c r="I3" s="15" t="s">
        <v>212</v>
      </c>
      <c r="J3" s="15" t="s">
        <v>13</v>
      </c>
      <c r="K3" s="13"/>
      <c r="L3" s="5" t="s">
        <v>211</v>
      </c>
      <c r="M3" s="5" t="s">
        <v>154</v>
      </c>
      <c r="N3" s="15" t="s">
        <v>14</v>
      </c>
      <c r="O3" s="15" t="s">
        <v>210</v>
      </c>
      <c r="P3" s="15" t="s">
        <v>209</v>
      </c>
      <c r="Q3" s="22">
        <f>SUM(J4:J63)</f>
        <v>5.0739320633252226E-2</v>
      </c>
      <c r="S3" s="5" t="s">
        <v>154</v>
      </c>
      <c r="T3" s="5" t="s">
        <v>126</v>
      </c>
      <c r="U3" s="5" t="s">
        <v>127</v>
      </c>
      <c r="W3" s="5" t="s">
        <v>154</v>
      </c>
      <c r="X3" s="5" t="s">
        <v>126</v>
      </c>
      <c r="Y3" s="5" t="s">
        <v>127</v>
      </c>
    </row>
    <row r="4" spans="1:25">
      <c r="A4" s="6">
        <v>0</v>
      </c>
      <c r="B4" s="16">
        <f t="shared" ref="B4:B35" si="0">$O$4*A4+$O$5</f>
        <v>-3.8828748726141193</v>
      </c>
      <c r="C4" s="16">
        <f t="shared" ref="C4:C35" si="1">1/(1+EXP(-B4))</f>
        <v>2.0176085241083143E-2</v>
      </c>
      <c r="D4" s="16">
        <f t="shared" ref="D4:D35" si="2">$O$6*C4+$O$7</f>
        <v>0.97406530617922926</v>
      </c>
      <c r="E4" s="16">
        <f t="shared" ref="E4:E35" si="3">$O$8*C4+$O$9</f>
        <v>0.15032239805189379</v>
      </c>
      <c r="F4" s="16">
        <f t="shared" ref="F4:F35" si="4">$O$10*C4+$O$11</f>
        <v>-0.12349641540603908</v>
      </c>
      <c r="G4" s="17">
        <v>0.99916902781949102</v>
      </c>
      <c r="H4" s="17">
        <v>-5.1644142064485399E-4</v>
      </c>
      <c r="I4" s="17">
        <v>1.29646532345248E-3</v>
      </c>
      <c r="J4" s="18">
        <f>SUM((D4-G4)^2,(E4-H4)^2,(F4-I4)^2)/60</f>
        <v>6.4926359023965226E-4</v>
      </c>
      <c r="K4" s="34">
        <f>SUM((E4-H4)^2,(F4-I4)^2,(G4-J4)^2)/60</f>
        <v>1.7256122302177119E-2</v>
      </c>
      <c r="L4" s="33" t="s">
        <v>206</v>
      </c>
      <c r="M4" s="32" t="s">
        <v>208</v>
      </c>
      <c r="N4" s="65" t="s">
        <v>207</v>
      </c>
      <c r="O4" s="66">
        <v>0.21339893735089405</v>
      </c>
      <c r="S4" s="6" t="s">
        <v>206</v>
      </c>
      <c r="T4" s="6" t="s">
        <v>205</v>
      </c>
      <c r="U4" s="6" t="s">
        <v>204</v>
      </c>
      <c r="W4" s="6" t="s">
        <v>13</v>
      </c>
      <c r="X4" s="6" t="s">
        <v>138</v>
      </c>
      <c r="Y4" s="6" t="str">
        <f ca="1">_xlfn.FORMULATEXT(Q3)</f>
        <v>=SUM(J4:J63)</v>
      </c>
    </row>
    <row r="5" spans="1:25" ht="15" thickBot="1">
      <c r="A5" s="6">
        <v>1</v>
      </c>
      <c r="B5" s="16">
        <f t="shared" si="0"/>
        <v>-3.6694759352632254</v>
      </c>
      <c r="C5" s="16">
        <f t="shared" si="1"/>
        <v>2.4856243474790946E-2</v>
      </c>
      <c r="D5" s="16">
        <f t="shared" si="2"/>
        <v>0.96919309316824986</v>
      </c>
      <c r="E5" s="16">
        <f t="shared" si="3"/>
        <v>0.15082302697593281</v>
      </c>
      <c r="F5" s="16">
        <f t="shared" si="4"/>
        <v>-0.11912765798861873</v>
      </c>
      <c r="G5" s="17">
        <v>0.98960193539692398</v>
      </c>
      <c r="H5" s="17">
        <v>2.1639113228485896E-3</v>
      </c>
      <c r="I5" s="17">
        <v>2.6945909567850398E-3</v>
      </c>
      <c r="J5" s="18">
        <f t="shared" ref="J5:J36" si="5">SUM((D5-G5)^2,(E5-H5)^2,(F5-I5)^2)/60</f>
        <v>6.2261189743313173E-4</v>
      </c>
      <c r="L5" s="28"/>
      <c r="M5" s="30" t="s">
        <v>203</v>
      </c>
      <c r="N5" s="90" t="s">
        <v>47</v>
      </c>
      <c r="O5" s="73">
        <v>-3.8828748726141193</v>
      </c>
      <c r="S5" s="6" t="s">
        <v>202</v>
      </c>
      <c r="T5" s="6" t="s">
        <v>201</v>
      </c>
      <c r="U5" s="6" t="s">
        <v>200</v>
      </c>
    </row>
    <row r="6" spans="1:25">
      <c r="A6" s="6">
        <v>2</v>
      </c>
      <c r="B6" s="16">
        <f t="shared" si="0"/>
        <v>-3.4560769979123314</v>
      </c>
      <c r="C6" s="16">
        <f t="shared" si="1"/>
        <v>3.0588146157820593E-2</v>
      </c>
      <c r="D6" s="16">
        <f t="shared" si="2"/>
        <v>0.96322597636677376</v>
      </c>
      <c r="E6" s="16">
        <f t="shared" si="3"/>
        <v>0.15143615929531343</v>
      </c>
      <c r="F6" s="16">
        <f t="shared" si="4"/>
        <v>-0.11377713539686894</v>
      </c>
      <c r="G6" s="17">
        <v>1.0027006748148801</v>
      </c>
      <c r="H6" s="17">
        <v>3.31005964809079E-3</v>
      </c>
      <c r="I6" s="17">
        <v>-4.7185297244242705E-3</v>
      </c>
      <c r="J6" s="18">
        <f t="shared" si="5"/>
        <v>5.8988954475809412E-4</v>
      </c>
      <c r="L6" s="87" t="s">
        <v>199</v>
      </c>
      <c r="M6" s="88" t="s">
        <v>198</v>
      </c>
      <c r="N6" s="89" t="s">
        <v>197</v>
      </c>
      <c r="O6" s="66">
        <v>-1.041035958119608</v>
      </c>
      <c r="S6" s="6" t="s">
        <v>196</v>
      </c>
      <c r="T6" s="6" t="s">
        <v>195</v>
      </c>
      <c r="U6" s="6" t="s">
        <v>194</v>
      </c>
    </row>
    <row r="7" spans="1:25" ht="15" thickBot="1">
      <c r="A7" s="6">
        <v>3</v>
      </c>
      <c r="B7" s="16">
        <f t="shared" si="0"/>
        <v>-3.2426780605614374</v>
      </c>
      <c r="C7" s="16">
        <f t="shared" si="1"/>
        <v>3.7590884072889699E-2</v>
      </c>
      <c r="D7" s="16">
        <f t="shared" si="2"/>
        <v>0.9559358743918992</v>
      </c>
      <c r="E7" s="16">
        <f t="shared" si="3"/>
        <v>0.15218523079518256</v>
      </c>
      <c r="F7" s="16">
        <f t="shared" si="4"/>
        <v>-0.10724033435703068</v>
      </c>
      <c r="G7" s="17">
        <v>0.99110329365628103</v>
      </c>
      <c r="H7" s="17">
        <v>1.5165637719900501E-3</v>
      </c>
      <c r="I7" s="17">
        <v>2.4789689316632598E-3</v>
      </c>
      <c r="J7" s="18">
        <f t="shared" si="5"/>
        <v>5.9960200190698127E-4</v>
      </c>
      <c r="L7" s="28"/>
      <c r="M7" s="27" t="s">
        <v>193</v>
      </c>
      <c r="N7" s="75" t="s">
        <v>192</v>
      </c>
      <c r="O7" s="73">
        <v>0.99506933640928308</v>
      </c>
      <c r="S7" s="6" t="s">
        <v>191</v>
      </c>
      <c r="T7" s="6" t="s">
        <v>40</v>
      </c>
      <c r="U7" s="6" t="s">
        <v>190</v>
      </c>
    </row>
    <row r="8" spans="1:25">
      <c r="A8" s="6">
        <v>4</v>
      </c>
      <c r="B8" s="16">
        <f t="shared" si="0"/>
        <v>-3.0292791232105429</v>
      </c>
      <c r="C8" s="16">
        <f t="shared" si="1"/>
        <v>4.612053050334753E-2</v>
      </c>
      <c r="D8" s="16">
        <f t="shared" si="2"/>
        <v>0.94705620574774607</v>
      </c>
      <c r="E8" s="16">
        <f t="shared" si="3"/>
        <v>0.15309763321870712</v>
      </c>
      <c r="F8" s="16">
        <f t="shared" si="4"/>
        <v>-9.9278219776662374E-2</v>
      </c>
      <c r="G8" s="17">
        <v>0.99855053119660397</v>
      </c>
      <c r="H8" s="17">
        <v>2.0051112150917699E-3</v>
      </c>
      <c r="I8" s="17">
        <v>3.86363487767975E-3</v>
      </c>
      <c r="J8" s="18">
        <f t="shared" si="5"/>
        <v>6.0198096567305531E-4</v>
      </c>
      <c r="L8" s="28"/>
      <c r="M8" s="27" t="s">
        <v>189</v>
      </c>
      <c r="N8" s="89" t="s">
        <v>188</v>
      </c>
      <c r="O8" s="66">
        <v>0.10696837564878926</v>
      </c>
      <c r="S8" s="6" t="s">
        <v>187</v>
      </c>
      <c r="T8" s="6" t="s">
        <v>186</v>
      </c>
      <c r="U8" s="29" t="s">
        <v>185</v>
      </c>
    </row>
    <row r="9" spans="1:25" ht="15" thickBot="1">
      <c r="A9" s="6">
        <v>5</v>
      </c>
      <c r="B9" s="16">
        <f t="shared" si="0"/>
        <v>-2.8158801858596494</v>
      </c>
      <c r="C9" s="16">
        <f t="shared" si="1"/>
        <v>5.6472048761930994E-2</v>
      </c>
      <c r="D9" s="16">
        <f t="shared" si="2"/>
        <v>0.93627990301942898</v>
      </c>
      <c r="E9" s="16">
        <f t="shared" si="3"/>
        <v>0.15420491831232658</v>
      </c>
      <c r="F9" s="16">
        <f t="shared" si="4"/>
        <v>-8.9615454135954314E-2</v>
      </c>
      <c r="G9" s="17">
        <v>0.99334815329542803</v>
      </c>
      <c r="H9" s="17">
        <v>5.7859344004262394E-3</v>
      </c>
      <c r="I9" s="17">
        <v>-4.6798608314981898E-3</v>
      </c>
      <c r="J9" s="18">
        <f t="shared" si="5"/>
        <v>5.4165058308308287E-4</v>
      </c>
      <c r="L9" s="28"/>
      <c r="M9" s="27" t="s">
        <v>184</v>
      </c>
      <c r="N9" s="75" t="s">
        <v>183</v>
      </c>
      <c r="O9" s="73">
        <v>0.14816419498670361</v>
      </c>
      <c r="S9" s="6" t="s">
        <v>13</v>
      </c>
      <c r="T9" s="6" t="s">
        <v>182</v>
      </c>
      <c r="U9" s="6" t="s">
        <v>181</v>
      </c>
    </row>
    <row r="10" spans="1:25">
      <c r="A10" s="6">
        <v>6</v>
      </c>
      <c r="B10" s="16">
        <f t="shared" si="0"/>
        <v>-2.602481248508755</v>
      </c>
      <c r="C10" s="16">
        <f t="shared" si="1"/>
        <v>6.8978902028318842E-2</v>
      </c>
      <c r="D10" s="16">
        <f t="shared" si="2"/>
        <v>0.92325981904619359</v>
      </c>
      <c r="E10" s="16">
        <f t="shared" si="3"/>
        <v>0.15554275609070986</v>
      </c>
      <c r="F10" s="16">
        <f t="shared" si="4"/>
        <v>-7.7940761690175123E-2</v>
      </c>
      <c r="G10" s="17">
        <v>0.98283073740154103</v>
      </c>
      <c r="H10" s="17">
        <v>1.2651330839959601E-2</v>
      </c>
      <c r="I10" s="17">
        <v>3.0346095032803499E-3</v>
      </c>
      <c r="J10" s="18">
        <f t="shared" si="5"/>
        <v>5.0872774106346867E-4</v>
      </c>
      <c r="L10" s="28"/>
      <c r="M10" s="27" t="s">
        <v>180</v>
      </c>
      <c r="N10" s="89" t="s">
        <v>179</v>
      </c>
      <c r="O10" s="66">
        <v>0.93346361367770392</v>
      </c>
    </row>
    <row r="11" spans="1:25" ht="15" thickBot="1">
      <c r="A11" s="6">
        <v>7</v>
      </c>
      <c r="B11" s="16">
        <f t="shared" si="0"/>
        <v>-2.389082311157861</v>
      </c>
      <c r="C11" s="16">
        <f t="shared" si="1"/>
        <v>8.4009022483643767E-2</v>
      </c>
      <c r="D11" s="16">
        <f t="shared" si="2"/>
        <v>0.90761292319733133</v>
      </c>
      <c r="E11" s="16">
        <f t="shared" si="3"/>
        <v>0.15715050366162159</v>
      </c>
      <c r="F11" s="16">
        <f t="shared" si="4"/>
        <v>-6.3910691135936337E-2</v>
      </c>
      <c r="G11" s="17">
        <v>0.97539398785926001</v>
      </c>
      <c r="H11" s="17">
        <v>2.03539996715329E-2</v>
      </c>
      <c r="I11" s="17">
        <v>7.4668309922445502E-3</v>
      </c>
      <c r="J11" s="18">
        <f t="shared" si="5"/>
        <v>4.7337178159623098E-4</v>
      </c>
      <c r="L11" s="26"/>
      <c r="M11" s="25" t="s">
        <v>178</v>
      </c>
      <c r="N11" s="75" t="s">
        <v>177</v>
      </c>
      <c r="O11" s="73">
        <v>-0.14233005684504993</v>
      </c>
    </row>
    <row r="12" spans="1:25">
      <c r="A12" s="6">
        <v>8</v>
      </c>
      <c r="B12" s="16">
        <f t="shared" si="0"/>
        <v>-2.175683373806967</v>
      </c>
      <c r="C12" s="16">
        <f t="shared" si="1"/>
        <v>0.10195548207739337</v>
      </c>
      <c r="D12" s="16">
        <f t="shared" si="2"/>
        <v>0.88893001343929734</v>
      </c>
      <c r="E12" s="16">
        <f t="shared" si="3"/>
        <v>0.15907020729301163</v>
      </c>
      <c r="F12" s="16">
        <f t="shared" si="4"/>
        <v>-4.7158324110833941E-2</v>
      </c>
      <c r="G12" s="17">
        <v>0.96249140793574095</v>
      </c>
      <c r="H12" s="17">
        <v>3.3533967396357001E-2</v>
      </c>
      <c r="I12" s="17">
        <v>9.1761695406187595E-3</v>
      </c>
      <c r="J12" s="18">
        <f t="shared" si="5"/>
        <v>4.0573669104362317E-4</v>
      </c>
    </row>
    <row r="13" spans="1:25">
      <c r="A13" s="6">
        <v>9</v>
      </c>
      <c r="B13" s="16">
        <f t="shared" si="0"/>
        <v>-1.962284436456073</v>
      </c>
      <c r="C13" s="16">
        <f t="shared" si="1"/>
        <v>0.12322003172740871</v>
      </c>
      <c r="D13" s="16">
        <f t="shared" si="2"/>
        <v>0.86679285262041161</v>
      </c>
      <c r="E13" s="16">
        <f t="shared" si="3"/>
        <v>0.1613448416279768</v>
      </c>
      <c r="F13" s="16">
        <f t="shared" si="4"/>
        <v>-2.7308640751301669E-2</v>
      </c>
      <c r="G13" s="17">
        <v>0.94450237023887595</v>
      </c>
      <c r="H13" s="17">
        <v>4.7496166004264602E-2</v>
      </c>
      <c r="I13" s="17">
        <v>7.5225339506602403E-3</v>
      </c>
      <c r="J13" s="18">
        <f t="shared" si="5"/>
        <v>3.3689168001477086E-4</v>
      </c>
    </row>
    <row r="14" spans="1:25">
      <c r="A14" s="6">
        <v>10</v>
      </c>
      <c r="B14" s="16">
        <f t="shared" si="0"/>
        <v>-1.748885499105179</v>
      </c>
      <c r="C14" s="16">
        <f t="shared" si="1"/>
        <v>0.14818782431236641</v>
      </c>
      <c r="D14" s="16">
        <f t="shared" si="2"/>
        <v>0.84080048274459851</v>
      </c>
      <c r="E14" s="16">
        <f t="shared" si="3"/>
        <v>0.16401560584432562</v>
      </c>
      <c r="F14" s="16">
        <f t="shared" si="4"/>
        <v>-4.00211485939167E-3</v>
      </c>
      <c r="G14" s="17">
        <v>0.91819898168117797</v>
      </c>
      <c r="H14" s="17">
        <v>6.7597221336325009E-2</v>
      </c>
      <c r="I14" s="17">
        <v>3.2927993138720797E-3</v>
      </c>
      <c r="J14" s="18">
        <f t="shared" si="5"/>
        <v>2.5567080469272716E-4</v>
      </c>
    </row>
    <row r="15" spans="1:25">
      <c r="A15" s="6">
        <v>11</v>
      </c>
      <c r="B15" s="16">
        <f t="shared" si="0"/>
        <v>-1.535486561754285</v>
      </c>
      <c r="C15" s="16">
        <f t="shared" si="1"/>
        <v>0.17719235405608966</v>
      </c>
      <c r="D15" s="16">
        <f t="shared" si="2"/>
        <v>0.81060572433303291</v>
      </c>
      <c r="E15" s="16">
        <f t="shared" si="3"/>
        <v>0.16711817327746867</v>
      </c>
      <c r="F15" s="16">
        <f t="shared" si="4"/>
        <v>2.3072558288206674E-2</v>
      </c>
      <c r="G15" s="17">
        <v>0.89021613947898592</v>
      </c>
      <c r="H15" s="17">
        <v>9.5969397639399309E-2</v>
      </c>
      <c r="I15" s="17">
        <v>1.96514990734073E-2</v>
      </c>
      <c r="J15" s="18">
        <f t="shared" si="5"/>
        <v>1.901945020109747E-4</v>
      </c>
    </row>
    <row r="16" spans="1:25">
      <c r="A16" s="6">
        <v>12</v>
      </c>
      <c r="B16" s="16">
        <f t="shared" si="0"/>
        <v>-1.3220876244033906</v>
      </c>
      <c r="C16" s="16">
        <f t="shared" si="1"/>
        <v>0.21047117686057107</v>
      </c>
      <c r="D16" s="16">
        <f t="shared" si="2"/>
        <v>0.775961273149677</v>
      </c>
      <c r="E16" s="16">
        <f t="shared" si="3"/>
        <v>0.17067795489636794</v>
      </c>
      <c r="F16" s="16">
        <f t="shared" si="4"/>
        <v>5.4137128482217883E-2</v>
      </c>
      <c r="G16" s="17">
        <v>0.83105634839519704</v>
      </c>
      <c r="H16" s="17">
        <v>0.139820372745182</v>
      </c>
      <c r="I16" s="17">
        <v>2.4532806481925299E-2</v>
      </c>
      <c r="J16" s="18">
        <f t="shared" si="5"/>
        <v>8.1067892893728534E-5</v>
      </c>
    </row>
    <row r="17" spans="1:10">
      <c r="A17" s="6">
        <v>13</v>
      </c>
      <c r="B17" s="16">
        <f t="shared" si="0"/>
        <v>-1.1086886870524966</v>
      </c>
      <c r="C17" s="16">
        <f t="shared" si="1"/>
        <v>0.24811543864620264</v>
      </c>
      <c r="D17" s="16">
        <f t="shared" si="2"/>
        <v>0.73677224301396671</v>
      </c>
      <c r="E17" s="16">
        <f t="shared" si="3"/>
        <v>0.17470470043207473</v>
      </c>
      <c r="F17" s="16">
        <f t="shared" si="4"/>
        <v>8.9276677122863024E-2</v>
      </c>
      <c r="G17" s="17">
        <v>0.77338802087821101</v>
      </c>
      <c r="H17" s="17">
        <v>0.19576330278256401</v>
      </c>
      <c r="I17" s="17">
        <v>3.84479753657469E-2</v>
      </c>
      <c r="J17" s="18">
        <f t="shared" si="5"/>
        <v>7.2795614064559601E-5</v>
      </c>
    </row>
    <row r="18" spans="1:10">
      <c r="A18" s="6">
        <v>14</v>
      </c>
      <c r="B18" s="16">
        <f t="shared" si="0"/>
        <v>-0.89528974970160258</v>
      </c>
      <c r="C18" s="16">
        <f t="shared" si="1"/>
        <v>0.29001941620950589</v>
      </c>
      <c r="D18" s="16">
        <f t="shared" si="2"/>
        <v>0.69314869558233072</v>
      </c>
      <c r="E18" s="16">
        <f t="shared" si="3"/>
        <v>0.17918710084524458</v>
      </c>
      <c r="F18" s="16">
        <f t="shared" si="4"/>
        <v>0.12839251544657351</v>
      </c>
      <c r="G18" s="17">
        <v>0.68790871012265198</v>
      </c>
      <c r="H18" s="17">
        <v>0.25894601239861498</v>
      </c>
      <c r="I18" s="17">
        <v>6.3388110834698502E-2</v>
      </c>
      <c r="J18" s="18">
        <f t="shared" si="5"/>
        <v>1.7690856731233939E-4</v>
      </c>
    </row>
    <row r="19" spans="1:10">
      <c r="A19" s="6">
        <v>15</v>
      </c>
      <c r="B19" s="16">
        <f t="shared" si="0"/>
        <v>-0.68189081235070859</v>
      </c>
      <c r="C19" s="16">
        <f t="shared" si="1"/>
        <v>0.33583942360879537</v>
      </c>
      <c r="D19" s="16">
        <f t="shared" si="2"/>
        <v>0.64544842027836391</v>
      </c>
      <c r="E19" s="16">
        <f t="shared" si="3"/>
        <v>0.18408839260896209</v>
      </c>
      <c r="F19" s="16">
        <f t="shared" si="4"/>
        <v>0.17116382513225339</v>
      </c>
      <c r="G19" s="17">
        <v>0.59497831839092707</v>
      </c>
      <c r="H19" s="17">
        <v>0.33076845698165103</v>
      </c>
      <c r="I19" s="17">
        <v>7.3720662375898097E-2</v>
      </c>
      <c r="J19" s="18">
        <f t="shared" si="5"/>
        <v>5.5929070728109951E-4</v>
      </c>
    </row>
    <row r="20" spans="1:10">
      <c r="A20" s="6">
        <v>16</v>
      </c>
      <c r="B20" s="16">
        <f t="shared" si="0"/>
        <v>-0.46849187499981459</v>
      </c>
      <c r="C20" s="16">
        <f t="shared" si="1"/>
        <v>0.38497325862816967</v>
      </c>
      <c r="D20" s="16">
        <f t="shared" si="2"/>
        <v>0.59429833126287879</v>
      </c>
      <c r="E20" s="16">
        <f t="shared" si="3"/>
        <v>0.18934415913038016</v>
      </c>
      <c r="F20" s="16">
        <f t="shared" si="4"/>
        <v>0.21702847232328262</v>
      </c>
      <c r="G20" s="17">
        <v>0.48898600704502004</v>
      </c>
      <c r="H20" s="17">
        <v>0.40789980280525601</v>
      </c>
      <c r="I20" s="17">
        <v>9.9755417736937704E-2</v>
      </c>
      <c r="J20" s="18">
        <f t="shared" si="5"/>
        <v>1.2101704057719755E-3</v>
      </c>
    </row>
    <row r="21" spans="1:10">
      <c r="A21" s="6">
        <v>17</v>
      </c>
      <c r="B21" s="16">
        <f t="shared" si="0"/>
        <v>-0.2550929376489206</v>
      </c>
      <c r="C21" s="16">
        <f t="shared" si="1"/>
        <v>0.43657035310874059</v>
      </c>
      <c r="D21" s="16">
        <f t="shared" si="2"/>
        <v>0.54058390057410977</v>
      </c>
      <c r="E21" s="16">
        <f t="shared" si="3"/>
        <v>0.19486341651516395</v>
      </c>
      <c r="F21" s="16">
        <f t="shared" si="4"/>
        <v>0.26519248259238626</v>
      </c>
      <c r="G21" s="17">
        <v>0.39651123517081099</v>
      </c>
      <c r="H21" s="17">
        <v>0.47372642816447597</v>
      </c>
      <c r="I21" s="17">
        <v>0.13353312106332502</v>
      </c>
      <c r="J21" s="18">
        <f t="shared" si="5"/>
        <v>1.9309283276795878E-3</v>
      </c>
    </row>
    <row r="22" spans="1:10">
      <c r="A22" s="6">
        <v>18</v>
      </c>
      <c r="B22" s="16">
        <f t="shared" si="0"/>
        <v>-4.1694000298026612E-2</v>
      </c>
      <c r="C22" s="16">
        <f t="shared" si="1"/>
        <v>0.48957800967177112</v>
      </c>
      <c r="D22" s="16">
        <f t="shared" si="2"/>
        <v>0.48540102403634011</v>
      </c>
      <c r="E22" s="16">
        <f t="shared" si="3"/>
        <v>0.2005335594346602</v>
      </c>
      <c r="F22" s="16">
        <f t="shared" si="4"/>
        <v>0.3146732012402994</v>
      </c>
      <c r="G22" s="17">
        <v>0.31251275507811599</v>
      </c>
      <c r="H22" s="17">
        <v>0.52750319456345507</v>
      </c>
      <c r="I22" s="17">
        <v>0.171732007304878</v>
      </c>
      <c r="J22" s="18">
        <f t="shared" si="5"/>
        <v>2.6205280127218704E-3</v>
      </c>
    </row>
    <row r="23" spans="1:10">
      <c r="A23" s="6">
        <v>19</v>
      </c>
      <c r="B23" s="16">
        <f t="shared" si="0"/>
        <v>0.17170493705286782</v>
      </c>
      <c r="C23" s="16">
        <f t="shared" si="1"/>
        <v>0.54282107957821046</v>
      </c>
      <c r="D23" s="16">
        <f t="shared" si="2"/>
        <v>0.42997307374306071</v>
      </c>
      <c r="E23" s="16">
        <f t="shared" si="3"/>
        <v>0.20622888413710694</v>
      </c>
      <c r="F23" s="16">
        <f t="shared" si="4"/>
        <v>0.36437366967845886</v>
      </c>
      <c r="G23" s="17">
        <v>0.23552071001902899</v>
      </c>
      <c r="H23" s="17">
        <v>0.55793614971574401</v>
      </c>
      <c r="I23" s="17">
        <v>0.208737490794312</v>
      </c>
      <c r="J23" s="18">
        <f t="shared" si="5"/>
        <v>3.0955390432720539E-3</v>
      </c>
    </row>
    <row r="24" spans="1:10">
      <c r="A24" s="6">
        <v>20</v>
      </c>
      <c r="B24" s="16">
        <f t="shared" si="0"/>
        <v>0.38510387440376137</v>
      </c>
      <c r="C24" s="16">
        <f t="shared" si="1"/>
        <v>0.595103503203952</v>
      </c>
      <c r="D24" s="16">
        <f t="shared" si="2"/>
        <v>0.37554519077102166</v>
      </c>
      <c r="E24" s="16">
        <f t="shared" si="3"/>
        <v>0.21182145006733441</v>
      </c>
      <c r="F24" s="16">
        <f t="shared" si="4"/>
        <v>0.41317740976797213</v>
      </c>
      <c r="G24" s="17">
        <v>0.188024971201353</v>
      </c>
      <c r="H24" s="17">
        <v>0.5772776209197521</v>
      </c>
      <c r="I24" s="17">
        <v>0.245867937524964</v>
      </c>
      <c r="J24" s="18">
        <f t="shared" si="5"/>
        <v>3.2785750843967025E-3</v>
      </c>
    </row>
    <row r="25" spans="1:10">
      <c r="A25" s="6">
        <v>21</v>
      </c>
      <c r="B25" s="16">
        <f t="shared" si="0"/>
        <v>0.59850281175465581</v>
      </c>
      <c r="C25" s="16">
        <f t="shared" si="1"/>
        <v>0.64531369850011333</v>
      </c>
      <c r="D25" s="16">
        <f t="shared" si="2"/>
        <v>0.32327457200350973</v>
      </c>
      <c r="E25" s="16">
        <f t="shared" si="3"/>
        <v>0.21719235309917329</v>
      </c>
      <c r="F25" s="16">
        <f t="shared" si="4"/>
        <v>0.46004680011259014</v>
      </c>
      <c r="G25" s="17">
        <v>0.137907399961987</v>
      </c>
      <c r="H25" s="17">
        <v>0.57947852857229998</v>
      </c>
      <c r="I25" s="17">
        <v>0.28965693379235602</v>
      </c>
      <c r="J25" s="18">
        <f t="shared" si="5"/>
        <v>3.2440827992373982E-3</v>
      </c>
    </row>
    <row r="26" spans="1:10">
      <c r="A26" s="6">
        <v>22</v>
      </c>
      <c r="B26" s="16">
        <f t="shared" si="0"/>
        <v>0.81190174910554935</v>
      </c>
      <c r="C26" s="16">
        <f t="shared" si="1"/>
        <v>0.69251460738435133</v>
      </c>
      <c r="D26" s="16">
        <f t="shared" si="2"/>
        <v>0.27413672859909066</v>
      </c>
      <c r="E26" s="16">
        <f t="shared" si="3"/>
        <v>0.22224135765166669</v>
      </c>
      <c r="F26" s="16">
        <f t="shared" si="4"/>
        <v>0.50410713108854299</v>
      </c>
      <c r="G26" s="17">
        <v>9.9076317792327895E-2</v>
      </c>
      <c r="H26" s="17">
        <v>0.57261055388682602</v>
      </c>
      <c r="I26" s="17">
        <v>0.33141838551950203</v>
      </c>
      <c r="J26" s="18">
        <f t="shared" si="5"/>
        <v>3.0537687324752182E-3</v>
      </c>
    </row>
    <row r="27" spans="1:10">
      <c r="A27" s="6">
        <v>23</v>
      </c>
      <c r="B27" s="16">
        <f t="shared" si="0"/>
        <v>1.0253006864564438</v>
      </c>
      <c r="C27" s="16">
        <f t="shared" si="1"/>
        <v>0.73600382211173543</v>
      </c>
      <c r="D27" s="16">
        <f t="shared" si="2"/>
        <v>0.22886289227749901</v>
      </c>
      <c r="E27" s="16">
        <f t="shared" si="3"/>
        <v>0.22689332830929637</v>
      </c>
      <c r="F27" s="16">
        <f t="shared" si="4"/>
        <v>0.54470273062397256</v>
      </c>
      <c r="G27" s="17">
        <v>7.6771548896384309E-2</v>
      </c>
      <c r="H27" s="17">
        <v>0.554625055849157</v>
      </c>
      <c r="I27" s="17">
        <v>0.37486334043008496</v>
      </c>
      <c r="J27" s="18">
        <f t="shared" si="5"/>
        <v>2.6564213404860868E-3</v>
      </c>
    </row>
    <row r="28" spans="1:10">
      <c r="A28" s="6">
        <v>24</v>
      </c>
      <c r="B28" s="16">
        <f t="shared" si="0"/>
        <v>1.2386996238073382</v>
      </c>
      <c r="C28" s="16">
        <f t="shared" si="1"/>
        <v>0.77533758386458562</v>
      </c>
      <c r="D28" s="16">
        <f t="shared" si="2"/>
        <v>0.18791503192467229</v>
      </c>
      <c r="E28" s="16">
        <f t="shared" si="3"/>
        <v>0.23110079691215524</v>
      </c>
      <c r="F28" s="16">
        <f t="shared" si="4"/>
        <v>0.58141936600932598</v>
      </c>
      <c r="G28" s="17">
        <v>5.50331848909218E-2</v>
      </c>
      <c r="H28" s="17">
        <v>0.53385373128166391</v>
      </c>
      <c r="I28" s="17">
        <v>0.41205954274061996</v>
      </c>
      <c r="J28" s="18">
        <f t="shared" si="5"/>
        <v>2.2999945713009407E-3</v>
      </c>
    </row>
    <row r="29" spans="1:10">
      <c r="A29" s="6">
        <v>25</v>
      </c>
      <c r="B29" s="16">
        <f t="shared" si="0"/>
        <v>1.4520985611582318</v>
      </c>
      <c r="C29" s="16">
        <f t="shared" si="1"/>
        <v>0.81032119449397022</v>
      </c>
      <c r="D29" s="16">
        <f t="shared" si="2"/>
        <v>0.15149583531462751</v>
      </c>
      <c r="E29" s="16">
        <f t="shared" si="3"/>
        <v>0.23484293691551023</v>
      </c>
      <c r="F29" s="16">
        <f t="shared" si="4"/>
        <v>0.61407529360692503</v>
      </c>
      <c r="G29" s="17">
        <v>4.1882891498532304E-2</v>
      </c>
      <c r="H29" s="17">
        <v>0.51004856673586696</v>
      </c>
      <c r="I29" s="17">
        <v>0.44388223355148898</v>
      </c>
      <c r="J29" s="18">
        <f t="shared" si="5"/>
        <v>1.945313563798049E-3</v>
      </c>
    </row>
    <row r="30" spans="1:10">
      <c r="A30" s="6">
        <v>26</v>
      </c>
      <c r="B30" s="16">
        <f t="shared" si="0"/>
        <v>1.6654974985091262</v>
      </c>
      <c r="C30" s="16">
        <f t="shared" si="1"/>
        <v>0.84097459719448797</v>
      </c>
      <c r="D30" s="16">
        <f t="shared" si="2"/>
        <v>0.11958454086466785</v>
      </c>
      <c r="E30" s="16">
        <f t="shared" si="3"/>
        <v>0.23812188161049283</v>
      </c>
      <c r="F30" s="16">
        <f t="shared" si="4"/>
        <v>0.64268912966326819</v>
      </c>
      <c r="G30" s="17">
        <v>2.6899076645389701E-2</v>
      </c>
      <c r="H30" s="17">
        <v>0.48054748715594703</v>
      </c>
      <c r="I30" s="17">
        <v>0.487722954635535</v>
      </c>
      <c r="J30" s="18">
        <f t="shared" si="5"/>
        <v>1.5229214150724879E-3</v>
      </c>
    </row>
    <row r="31" spans="1:10">
      <c r="A31" s="6">
        <v>27</v>
      </c>
      <c r="B31" s="16">
        <f t="shared" si="0"/>
        <v>1.8788964358600198</v>
      </c>
      <c r="C31" s="16">
        <f t="shared" si="1"/>
        <v>0.8674843173764506</v>
      </c>
      <c r="D31" s="16">
        <f t="shared" si="2"/>
        <v>9.1986968915555689E-2</v>
      </c>
      <c r="E31" s="16">
        <f t="shared" si="3"/>
        <v>0.2409575833172613</v>
      </c>
      <c r="F31" s="16">
        <f t="shared" si="4"/>
        <v>0.66743498886190777</v>
      </c>
      <c r="G31" s="17">
        <v>2.8643066551244298E-2</v>
      </c>
      <c r="H31" s="17">
        <v>0.45621581041098197</v>
      </c>
      <c r="I31" s="17">
        <v>0.51359201939365806</v>
      </c>
      <c r="J31" s="18">
        <f t="shared" si="5"/>
        <v>1.2336035592180009E-3</v>
      </c>
    </row>
    <row r="32" spans="1:10">
      <c r="A32" s="6">
        <v>28</v>
      </c>
      <c r="B32" s="16">
        <f t="shared" si="0"/>
        <v>2.0922953732109142</v>
      </c>
      <c r="C32" s="16">
        <f t="shared" si="1"/>
        <v>0.89015207143611841</v>
      </c>
      <c r="D32" s="16">
        <f t="shared" si="2"/>
        <v>6.8389021849629805E-2</v>
      </c>
      <c r="E32" s="16">
        <f t="shared" si="3"/>
        <v>0.24338231614863021</v>
      </c>
      <c r="F32" s="16">
        <f t="shared" si="4"/>
        <v>0.68859451248040282</v>
      </c>
      <c r="G32" s="17">
        <v>1.8585382566350301E-2</v>
      </c>
      <c r="H32" s="17">
        <v>0.43462182741029998</v>
      </c>
      <c r="I32" s="17">
        <v>0.547713142498501</v>
      </c>
      <c r="J32" s="18">
        <f t="shared" si="5"/>
        <v>9.8167522602398078E-4</v>
      </c>
    </row>
    <row r="33" spans="1:10">
      <c r="A33" s="6">
        <v>29</v>
      </c>
      <c r="B33" s="16">
        <f t="shared" si="0"/>
        <v>2.3056943105618077</v>
      </c>
      <c r="C33" s="16">
        <f t="shared" si="1"/>
        <v>0.90934754258807704</v>
      </c>
      <c r="D33" s="16">
        <f t="shared" si="2"/>
        <v>4.8405846147393183E-2</v>
      </c>
      <c r="E33" s="16">
        <f t="shared" si="3"/>
        <v>0.24543562451756842</v>
      </c>
      <c r="F33" s="16">
        <f t="shared" si="4"/>
        <v>0.70651278634815617</v>
      </c>
      <c r="G33" s="17">
        <v>1.6441050975567299E-2</v>
      </c>
      <c r="H33" s="17">
        <v>0.40770546813070097</v>
      </c>
      <c r="I33" s="17">
        <v>0.57331041777418701</v>
      </c>
      <c r="J33" s="18">
        <f t="shared" si="5"/>
        <v>7.5160202117204673E-4</v>
      </c>
    </row>
    <row r="34" spans="1:10">
      <c r="A34" s="6">
        <v>30</v>
      </c>
      <c r="B34" s="16">
        <f t="shared" si="0"/>
        <v>2.5190932479127022</v>
      </c>
      <c r="C34" s="16">
        <f t="shared" si="1"/>
        <v>0.9254695351210801</v>
      </c>
      <c r="D34" s="16">
        <f t="shared" si="2"/>
        <v>3.1622272204001267E-2</v>
      </c>
      <c r="E34" s="16">
        <f t="shared" si="3"/>
        <v>0.24716016787104567</v>
      </c>
      <c r="F34" s="16">
        <f t="shared" si="4"/>
        <v>0.72156207975769815</v>
      </c>
      <c r="G34" s="17">
        <v>1.6927265894710001E-2</v>
      </c>
      <c r="H34" s="17">
        <v>0.38076372682378795</v>
      </c>
      <c r="I34" s="17">
        <v>0.602138744531867</v>
      </c>
      <c r="J34" s="18">
        <f t="shared" si="5"/>
        <v>5.3879645286217064E-4</v>
      </c>
    </row>
    <row r="35" spans="1:10">
      <c r="A35" s="6">
        <v>31</v>
      </c>
      <c r="B35" s="16">
        <f t="shared" si="0"/>
        <v>2.7324921852635957</v>
      </c>
      <c r="C35" s="16">
        <f t="shared" si="1"/>
        <v>0.93891692526624471</v>
      </c>
      <c r="D35" s="16">
        <f t="shared" si="2"/>
        <v>1.7623055520021635E-2</v>
      </c>
      <c r="E35" s="16">
        <f t="shared" si="3"/>
        <v>0.24859861335158945</v>
      </c>
      <c r="F35" s="16">
        <f t="shared" si="4"/>
        <v>0.73411472915713749</v>
      </c>
      <c r="G35" s="17">
        <v>5.5360201456173194E-3</v>
      </c>
      <c r="H35" s="17">
        <v>0.35516465630493699</v>
      </c>
      <c r="I35" s="17">
        <v>0.624921752972462</v>
      </c>
      <c r="J35" s="18">
        <f t="shared" si="5"/>
        <v>3.9042539971573205E-4</v>
      </c>
    </row>
    <row r="36" spans="1:10">
      <c r="A36" s="6">
        <v>32</v>
      </c>
      <c r="B36" s="16">
        <f t="shared" ref="B36:B67" si="6">$O$4*A36+$O$5</f>
        <v>2.9458911226144902</v>
      </c>
      <c r="C36" s="16">
        <f t="shared" ref="C36:C67" si="7">1/(1+EXP(-B36))</f>
        <v>0.95006893175720941</v>
      </c>
      <c r="D36" s="16">
        <f t="shared" ref="D36:D67" si="8">$O$6*C36+$O$7</f>
        <v>6.0134157577440561E-3</v>
      </c>
      <c r="E36" s="16">
        <f t="shared" ref="E36:E63" si="9">$O$8*C36+$O$9</f>
        <v>0.24979152537115273</v>
      </c>
      <c r="F36" s="16">
        <f t="shared" ref="F36:F63" si="10">$O$10*C36+$O$11</f>
        <v>0.74452472143595061</v>
      </c>
      <c r="G36" s="17">
        <v>5.5516744239331806E-3</v>
      </c>
      <c r="H36" s="17">
        <v>0.33275256354035898</v>
      </c>
      <c r="I36" s="17">
        <v>0.65513191440359508</v>
      </c>
      <c r="J36" s="18">
        <f t="shared" si="5"/>
        <v>2.4789701680492997E-4</v>
      </c>
    </row>
    <row r="37" spans="1:10">
      <c r="A37" s="6">
        <v>33</v>
      </c>
      <c r="B37" s="16">
        <f t="shared" si="6"/>
        <v>3.1592900599653846</v>
      </c>
      <c r="C37" s="16">
        <f t="shared" si="7"/>
        <v>0.9592732194549678</v>
      </c>
      <c r="D37" s="16">
        <f t="shared" si="8"/>
        <v>-3.5685787045003359E-3</v>
      </c>
      <c r="E37" s="16">
        <f t="shared" si="9"/>
        <v>0.25077609307518606</v>
      </c>
      <c r="F37" s="16">
        <f t="shared" si="10"/>
        <v>0.75311658909162937</v>
      </c>
      <c r="G37" s="17">
        <v>1.2931474477337201E-2</v>
      </c>
      <c r="H37" s="17">
        <v>0.31162242112024097</v>
      </c>
      <c r="I37" s="17">
        <v>0.68166378325101906</v>
      </c>
      <c r="J37" s="18">
        <f t="shared" ref="J37:J68" si="11">SUM((D37-G37)^2,(E37-H37)^2,(F37-I37)^2)/60</f>
        <v>1.5133384756776429E-4</v>
      </c>
    </row>
    <row r="38" spans="1:10">
      <c r="A38" s="6">
        <v>34</v>
      </c>
      <c r="B38" s="16">
        <f t="shared" si="6"/>
        <v>3.3726889973162781</v>
      </c>
      <c r="C38" s="16">
        <f t="shared" si="7"/>
        <v>0.9668400098106863</v>
      </c>
      <c r="D38" s="16">
        <f t="shared" si="8"/>
        <v>-1.1445879552355986E-2</v>
      </c>
      <c r="E38" s="16">
        <f t="shared" si="9"/>
        <v>0.25158550034841221</v>
      </c>
      <c r="F38" s="16">
        <f t="shared" si="10"/>
        <v>0.76017991256102002</v>
      </c>
      <c r="G38" s="17">
        <v>8.6066661943624695E-3</v>
      </c>
      <c r="H38" s="17">
        <v>0.29035002727487702</v>
      </c>
      <c r="I38" s="17">
        <v>0.69814062804294097</v>
      </c>
      <c r="J38" s="18">
        <f t="shared" si="11"/>
        <v>9.5894432704533595E-5</v>
      </c>
    </row>
    <row r="39" spans="1:10">
      <c r="A39" s="6">
        <v>35</v>
      </c>
      <c r="B39" s="16">
        <f t="shared" si="6"/>
        <v>3.5860879346671726</v>
      </c>
      <c r="C39" s="16">
        <f t="shared" si="7"/>
        <v>0.97304044673137768</v>
      </c>
      <c r="D39" s="16">
        <f t="shared" si="8"/>
        <v>-1.7900757342848017E-2</v>
      </c>
      <c r="E39" s="16">
        <f t="shared" si="9"/>
        <v>0.25224875101413136</v>
      </c>
      <c r="F39" s="16">
        <f t="shared" si="10"/>
        <v>0.76596779481538924</v>
      </c>
      <c r="G39" s="17">
        <v>7.3575980325581393E-3</v>
      </c>
      <c r="H39" s="17">
        <v>0.272509543831852</v>
      </c>
      <c r="I39" s="17">
        <v>0.71941411557586699</v>
      </c>
      <c r="J39" s="18">
        <f t="shared" si="11"/>
        <v>5.3595488210153901E-5</v>
      </c>
    </row>
    <row r="40" spans="1:10">
      <c r="A40" s="6">
        <v>36</v>
      </c>
      <c r="B40" s="16">
        <f t="shared" si="6"/>
        <v>3.7994868720180661</v>
      </c>
      <c r="C40" s="16">
        <f t="shared" si="7"/>
        <v>0.97810774415727442</v>
      </c>
      <c r="D40" s="16">
        <f t="shared" si="8"/>
        <v>-2.3175996173693481E-2</v>
      </c>
      <c r="E40" s="16">
        <f t="shared" si="9"/>
        <v>0.25279079158870882</v>
      </c>
      <c r="F40" s="16">
        <f t="shared" si="10"/>
        <v>0.77069793258214647</v>
      </c>
      <c r="G40" s="17">
        <v>2.8505374714209897E-3</v>
      </c>
      <c r="H40" s="17">
        <v>0.25622929206750999</v>
      </c>
      <c r="I40" s="17">
        <v>0.73983758563310398</v>
      </c>
      <c r="J40" s="18">
        <f t="shared" si="11"/>
        <v>2.7359412548971127E-5</v>
      </c>
    </row>
    <row r="41" spans="1:10">
      <c r="A41" s="6">
        <v>37</v>
      </c>
      <c r="B41" s="16">
        <f t="shared" si="6"/>
        <v>4.0128858093689601</v>
      </c>
      <c r="C41" s="16">
        <f t="shared" si="7"/>
        <v>0.98223998027459403</v>
      </c>
      <c r="D41" s="16">
        <f t="shared" si="8"/>
        <v>-2.7477802559263909E-2</v>
      </c>
      <c r="E41" s="16">
        <f t="shared" si="9"/>
        <v>0.25323281017397575</v>
      </c>
      <c r="F41" s="16">
        <f t="shared" si="10"/>
        <v>0.77455522464078919</v>
      </c>
      <c r="G41" s="17">
        <v>-2.1838521820841201E-4</v>
      </c>
      <c r="H41" s="17">
        <v>0.23591031536785101</v>
      </c>
      <c r="I41" s="17">
        <v>0.75684413386429605</v>
      </c>
      <c r="J41" s="18">
        <f t="shared" si="11"/>
        <v>2.2613789942920597E-5</v>
      </c>
    </row>
    <row r="42" spans="1:10">
      <c r="A42" s="6">
        <v>38</v>
      </c>
      <c r="B42" s="16">
        <f t="shared" si="6"/>
        <v>4.2262847467198554</v>
      </c>
      <c r="C42" s="16">
        <f t="shared" si="7"/>
        <v>0.98560372311409239</v>
      </c>
      <c r="D42" s="16">
        <f t="shared" si="8"/>
        <v>-3.0979579809048863E-2</v>
      </c>
      <c r="E42" s="16">
        <f t="shared" si="9"/>
        <v>0.25359262428161711</v>
      </c>
      <c r="F42" s="16">
        <f t="shared" si="10"/>
        <v>0.77769515618722984</v>
      </c>
      <c r="G42" s="17">
        <v>8.2348707294253292E-3</v>
      </c>
      <c r="H42" s="17">
        <v>0.22078107592961702</v>
      </c>
      <c r="I42" s="17">
        <v>0.7750441208199299</v>
      </c>
      <c r="J42" s="18">
        <f t="shared" si="11"/>
        <v>4.3689980413479237E-5</v>
      </c>
    </row>
    <row r="43" spans="1:10">
      <c r="A43" s="6">
        <v>39</v>
      </c>
      <c r="B43" s="16">
        <f t="shared" si="6"/>
        <v>4.439683684070749</v>
      </c>
      <c r="C43" s="16">
        <f t="shared" si="7"/>
        <v>0.98833793813248128</v>
      </c>
      <c r="D43" s="16">
        <f t="shared" si="8"/>
        <v>-3.382599596042235E-2</v>
      </c>
      <c r="E43" s="16">
        <f t="shared" si="9"/>
        <v>0.25388509882080867</v>
      </c>
      <c r="F43" s="16">
        <f t="shared" si="10"/>
        <v>0.78024744641886701</v>
      </c>
      <c r="G43" s="17">
        <v>3.9663387236011597E-3</v>
      </c>
      <c r="H43" s="17">
        <v>0.204823212440885</v>
      </c>
      <c r="I43" s="17">
        <v>0.78395269848070492</v>
      </c>
      <c r="J43" s="18">
        <f t="shared" si="11"/>
        <v>6.4150969147792346E-5</v>
      </c>
    </row>
    <row r="44" spans="1:10">
      <c r="A44" s="6">
        <v>40</v>
      </c>
      <c r="B44" s="16">
        <f t="shared" si="6"/>
        <v>4.6530826214216425</v>
      </c>
      <c r="C44" s="16">
        <f t="shared" si="7"/>
        <v>0.99055783186083068</v>
      </c>
      <c r="D44" s="16">
        <f t="shared" si="8"/>
        <v>-3.6136985154838319E-2</v>
      </c>
      <c r="E44" s="16">
        <f t="shared" si="9"/>
        <v>0.25412255724704319</v>
      </c>
      <c r="F44" s="16">
        <f t="shared" si="10"/>
        <v>0.7823196364405125</v>
      </c>
      <c r="G44" s="17">
        <v>7.9785242352294391E-3</v>
      </c>
      <c r="H44" s="17">
        <v>0.19286137258476199</v>
      </c>
      <c r="I44" s="17">
        <v>0.80233719563429595</v>
      </c>
      <c r="J44" s="18">
        <f t="shared" si="11"/>
        <v>1.0166355985079829E-4</v>
      </c>
    </row>
    <row r="45" spans="1:10">
      <c r="A45" s="6">
        <v>41</v>
      </c>
      <c r="B45" s="16">
        <f t="shared" si="6"/>
        <v>4.8664815587725379</v>
      </c>
      <c r="C45" s="16">
        <f t="shared" si="7"/>
        <v>0.99235843209017061</v>
      </c>
      <c r="D45" s="16">
        <f t="shared" si="8"/>
        <v>-3.8011474739779727E-2</v>
      </c>
      <c r="E45" s="16">
        <f t="shared" si="9"/>
        <v>0.25431516452876851</v>
      </c>
      <c r="F45" s="16">
        <f t="shared" si="10"/>
        <v>0.78400043123738106</v>
      </c>
      <c r="G45" s="17">
        <v>3.1396670372780401E-3</v>
      </c>
      <c r="H45" s="17">
        <v>0.17630438116484701</v>
      </c>
      <c r="I45" s="17">
        <v>0.81844367482675706</v>
      </c>
      <c r="J45" s="18">
        <f t="shared" si="11"/>
        <v>1.4942393032608823E-4</v>
      </c>
    </row>
    <row r="46" spans="1:10">
      <c r="A46" s="6">
        <v>42</v>
      </c>
      <c r="B46" s="16">
        <f t="shared" si="6"/>
        <v>5.0798804961234314</v>
      </c>
      <c r="C46" s="16">
        <f t="shared" si="7"/>
        <v>0.99381780492282157</v>
      </c>
      <c r="D46" s="16">
        <f t="shared" si="8"/>
        <v>-3.9530734334872086E-2</v>
      </c>
      <c r="E46" s="16">
        <f t="shared" si="9"/>
        <v>0.25447127127014313</v>
      </c>
      <c r="F46" s="16">
        <f t="shared" si="10"/>
        <v>0.7853627026754505</v>
      </c>
      <c r="G46" s="17">
        <v>2.6118371468564702E-3</v>
      </c>
      <c r="H46" s="17">
        <v>0.16677826328596299</v>
      </c>
      <c r="I46" s="17">
        <v>0.83017491401183396</v>
      </c>
      <c r="J46" s="18">
        <f t="shared" si="11"/>
        <v>1.9123657108771299E-4</v>
      </c>
    </row>
    <row r="47" spans="1:10">
      <c r="A47" s="6">
        <v>43</v>
      </c>
      <c r="B47" s="16">
        <f t="shared" si="6"/>
        <v>5.2932794334743249</v>
      </c>
      <c r="C47" s="16">
        <f t="shared" si="7"/>
        <v>0.99499987367694276</v>
      </c>
      <c r="D47" s="16">
        <f t="shared" si="8"/>
        <v>-4.076131041288189E-2</v>
      </c>
      <c r="E47" s="16">
        <f t="shared" si="9"/>
        <v>0.25459771524467667</v>
      </c>
      <c r="F47" s="16">
        <f t="shared" si="10"/>
        <v>0.78646612084628797</v>
      </c>
      <c r="G47" s="17">
        <v>2.39128185473625E-3</v>
      </c>
      <c r="H47" s="17">
        <v>0.157909899247861</v>
      </c>
      <c r="I47" s="17">
        <v>0.83969352077445703</v>
      </c>
      <c r="J47" s="18">
        <f t="shared" si="11"/>
        <v>2.3406393474604384E-4</v>
      </c>
    </row>
    <row r="48" spans="1:10">
      <c r="A48" s="6">
        <v>44</v>
      </c>
      <c r="B48" s="16">
        <f t="shared" si="6"/>
        <v>5.5066783708252185</v>
      </c>
      <c r="C48" s="16">
        <f t="shared" si="7"/>
        <v>0.99595684407497864</v>
      </c>
      <c r="D48" s="16">
        <f t="shared" si="8"/>
        <v>-4.1757551008093419E-2</v>
      </c>
      <c r="E48" s="16">
        <f t="shared" si="9"/>
        <v>0.25470008081369855</v>
      </c>
      <c r="F48" s="16">
        <f t="shared" si="10"/>
        <v>0.78735941789222108</v>
      </c>
      <c r="G48" s="17">
        <v>1.2757458204968699E-3</v>
      </c>
      <c r="H48" s="17">
        <v>0.14923463373831</v>
      </c>
      <c r="I48" s="17">
        <v>0.84673055231667504</v>
      </c>
      <c r="J48" s="18">
        <f t="shared" si="11"/>
        <v>2.7499594609326205E-4</v>
      </c>
    </row>
    <row r="49" spans="1:10">
      <c r="A49" s="6">
        <v>45</v>
      </c>
      <c r="B49" s="16">
        <f t="shared" si="6"/>
        <v>5.7200773081761138</v>
      </c>
      <c r="C49" s="16">
        <f t="shared" si="7"/>
        <v>0.99673126232217157</v>
      </c>
      <c r="D49" s="16">
        <f t="shared" si="8"/>
        <v>-4.2563748250045164E-2</v>
      </c>
      <c r="E49" s="16">
        <f t="shared" si="9"/>
        <v>0.25478291907567358</v>
      </c>
      <c r="F49" s="16">
        <f t="shared" si="10"/>
        <v>0.7880823091477438</v>
      </c>
      <c r="G49" s="17">
        <v>3.5362804167817599E-3</v>
      </c>
      <c r="H49" s="17">
        <v>0.135577127775768</v>
      </c>
      <c r="I49" s="17">
        <v>0.86534225693530897</v>
      </c>
      <c r="J49" s="18">
        <f t="shared" si="11"/>
        <v>3.7173888091093679E-4</v>
      </c>
    </row>
    <row r="50" spans="1:10">
      <c r="A50" s="6">
        <v>46</v>
      </c>
      <c r="B50" s="16">
        <f t="shared" si="6"/>
        <v>5.9334762455270074</v>
      </c>
      <c r="C50" s="16">
        <f t="shared" si="7"/>
        <v>0.99735774351816942</v>
      </c>
      <c r="D50" s="16">
        <f t="shared" si="8"/>
        <v>-4.3215937702164808E-2</v>
      </c>
      <c r="E50" s="16">
        <f t="shared" si="9"/>
        <v>0.25484993275158396</v>
      </c>
      <c r="F50" s="16">
        <f t="shared" si="10"/>
        <v>0.78866710654886107</v>
      </c>
      <c r="G50" s="17">
        <v>-3.1346344649783998E-3</v>
      </c>
      <c r="H50" s="17">
        <v>0.125187367886479</v>
      </c>
      <c r="I50" s="17">
        <v>0.87833605384871605</v>
      </c>
      <c r="J50" s="18">
        <f t="shared" si="11"/>
        <v>4.4099019510755022E-4</v>
      </c>
    </row>
    <row r="51" spans="1:10">
      <c r="A51" s="6">
        <v>47</v>
      </c>
      <c r="B51" s="16">
        <f t="shared" si="6"/>
        <v>6.1468751828779009</v>
      </c>
      <c r="C51" s="16">
        <f t="shared" si="7"/>
        <v>0.99786441156125127</v>
      </c>
      <c r="D51" s="16">
        <f t="shared" si="8"/>
        <v>-4.3743397353843028E-2</v>
      </c>
      <c r="E51" s="16">
        <f t="shared" si="9"/>
        <v>0.2549041302091456</v>
      </c>
      <c r="F51" s="16">
        <f t="shared" si="10"/>
        <v>0.78914006273129123</v>
      </c>
      <c r="G51" s="17">
        <v>9.0828857896239103E-3</v>
      </c>
      <c r="H51" s="17">
        <v>0.11564560923284699</v>
      </c>
      <c r="I51" s="17">
        <v>0.87802773465304806</v>
      </c>
      <c r="J51" s="18">
        <f t="shared" si="11"/>
        <v>5.0140950124883028E-4</v>
      </c>
    </row>
    <row r="52" spans="1:10">
      <c r="A52" s="6">
        <v>48</v>
      </c>
      <c r="B52" s="16">
        <f t="shared" si="6"/>
        <v>6.3602741202287962</v>
      </c>
      <c r="C52" s="16">
        <f t="shared" si="7"/>
        <v>0.99827409118875698</v>
      </c>
      <c r="D52" s="16">
        <f t="shared" si="8"/>
        <v>-4.4169888577385574E-2</v>
      </c>
      <c r="E52" s="16">
        <f t="shared" si="9"/>
        <v>0.25494795297343625</v>
      </c>
      <c r="F52" s="16">
        <f t="shared" si="10"/>
        <v>0.78952248375683287</v>
      </c>
      <c r="G52" s="17">
        <v>1.0538230552720001E-2</v>
      </c>
      <c r="H52" s="17">
        <v>0.111612530534534</v>
      </c>
      <c r="I52" s="17">
        <v>0.88908099354612202</v>
      </c>
      <c r="J52" s="18">
        <f t="shared" si="11"/>
        <v>5.5749864159927276E-4</v>
      </c>
    </row>
    <row r="53" spans="1:10">
      <c r="A53" s="6">
        <v>49</v>
      </c>
      <c r="B53" s="16">
        <f t="shared" si="6"/>
        <v>6.5736730575796898</v>
      </c>
      <c r="C53" s="16">
        <f t="shared" si="7"/>
        <v>0.99860528995886944</v>
      </c>
      <c r="D53" s="16">
        <f t="shared" si="8"/>
        <v>-4.4514678406357477E-2</v>
      </c>
      <c r="E53" s="16">
        <f t="shared" si="9"/>
        <v>0.25498338076789206</v>
      </c>
      <c r="F53" s="16">
        <f t="shared" si="10"/>
        <v>0.78983164575762765</v>
      </c>
      <c r="G53" s="17">
        <v>2.5859344138377399E-3</v>
      </c>
      <c r="H53" s="17">
        <v>0.10342211054485</v>
      </c>
      <c r="I53" s="17">
        <v>0.89472708248588406</v>
      </c>
      <c r="J53" s="18">
        <f t="shared" si="11"/>
        <v>6.032056501011926E-4</v>
      </c>
    </row>
    <row r="54" spans="1:10">
      <c r="A54" s="6">
        <v>50</v>
      </c>
      <c r="B54" s="16">
        <f t="shared" si="6"/>
        <v>6.7870719949305833</v>
      </c>
      <c r="C54" s="16">
        <f t="shared" si="7"/>
        <v>0.99887300403747725</v>
      </c>
      <c r="D54" s="16">
        <f t="shared" si="8"/>
        <v>-4.4793378388683136E-2</v>
      </c>
      <c r="E54" s="16">
        <f t="shared" si="9"/>
        <v>0.25501201770801907</v>
      </c>
      <c r="F54" s="16">
        <f t="shared" si="10"/>
        <v>0.79008154710887735</v>
      </c>
      <c r="G54" s="17">
        <v>2.0336631835871899E-3</v>
      </c>
      <c r="H54" s="17">
        <v>9.4972241588527101E-2</v>
      </c>
      <c r="I54" s="17">
        <v>0.90450311421663898</v>
      </c>
      <c r="J54" s="18">
        <f t="shared" si="11"/>
        <v>6.8162994636973746E-4</v>
      </c>
    </row>
    <row r="55" spans="1:10">
      <c r="A55" s="6">
        <v>51</v>
      </c>
      <c r="B55" s="16">
        <f t="shared" si="6"/>
        <v>7.0004709322814769</v>
      </c>
      <c r="C55" s="16">
        <f t="shared" si="7"/>
        <v>0.99908937735740277</v>
      </c>
      <c r="D55" s="16">
        <f t="shared" si="8"/>
        <v>-4.5018630795103265E-2</v>
      </c>
      <c r="E55" s="16">
        <f t="shared" si="9"/>
        <v>0.25503516281058525</v>
      </c>
      <c r="F55" s="16">
        <f t="shared" si="10"/>
        <v>0.79028352372999844</v>
      </c>
      <c r="G55" s="17">
        <v>2.2949557971681501E-3</v>
      </c>
      <c r="H55" s="17">
        <v>8.7440881600336293E-2</v>
      </c>
      <c r="I55" s="17">
        <v>0.90922037148508505</v>
      </c>
      <c r="J55" s="18">
        <f t="shared" si="11"/>
        <v>7.4120653874201704E-4</v>
      </c>
    </row>
    <row r="56" spans="1:10">
      <c r="A56" s="6">
        <v>52</v>
      </c>
      <c r="B56" s="16">
        <f t="shared" si="6"/>
        <v>7.2138698696323722</v>
      </c>
      <c r="C56" s="16">
        <f t="shared" si="7"/>
        <v>0.99926423950083543</v>
      </c>
      <c r="D56" s="16">
        <f t="shared" si="8"/>
        <v>-4.5200668574130631E-2</v>
      </c>
      <c r="E56" s="16">
        <f t="shared" si="9"/>
        <v>0.25505386753003068</v>
      </c>
      <c r="F56" s="16">
        <f t="shared" si="10"/>
        <v>0.79044675117830254</v>
      </c>
      <c r="G56" s="17">
        <v>2.3936274802814103E-3</v>
      </c>
      <c r="H56" s="17">
        <v>8.3053244128702103E-2</v>
      </c>
      <c r="I56" s="17">
        <v>0.906309636239233</v>
      </c>
      <c r="J56" s="18">
        <f t="shared" si="11"/>
        <v>7.5456066003338422E-4</v>
      </c>
    </row>
    <row r="57" spans="1:10">
      <c r="A57" s="6">
        <v>53</v>
      </c>
      <c r="B57" s="16">
        <f t="shared" si="6"/>
        <v>7.4272688069832657</v>
      </c>
      <c r="C57" s="16">
        <f t="shared" si="7"/>
        <v>0.99940554375249413</v>
      </c>
      <c r="D57" s="16">
        <f t="shared" si="8"/>
        <v>-4.5347771381142543E-2</v>
      </c>
      <c r="E57" s="16">
        <f t="shared" si="9"/>
        <v>0.2550689826163029</v>
      </c>
      <c r="F57" s="16">
        <f t="shared" si="10"/>
        <v>0.7905786535556838</v>
      </c>
      <c r="G57" s="17">
        <v>2.3043154567460099E-3</v>
      </c>
      <c r="H57" s="17">
        <v>7.8073186837302994E-2</v>
      </c>
      <c r="I57" s="17">
        <v>0.92630169320256595</v>
      </c>
      <c r="J57" s="18">
        <f t="shared" si="11"/>
        <v>8.669829432406043E-4</v>
      </c>
    </row>
    <row r="58" spans="1:10">
      <c r="A58" s="6">
        <v>54</v>
      </c>
      <c r="B58" s="16">
        <f t="shared" si="6"/>
        <v>7.6406677443341593</v>
      </c>
      <c r="C58" s="16">
        <f t="shared" si="7"/>
        <v>0.99951972328780048</v>
      </c>
      <c r="D58" s="16">
        <f t="shared" si="8"/>
        <v>-4.5466636383077796E-2</v>
      </c>
      <c r="E58" s="16">
        <f t="shared" si="9"/>
        <v>0.25508119621572695</v>
      </c>
      <c r="F58" s="16">
        <f t="shared" si="10"/>
        <v>0.79068523599731899</v>
      </c>
      <c r="G58" s="17">
        <v>3.0385585864702198E-3</v>
      </c>
      <c r="H58" s="17">
        <v>7.1018266657233403E-2</v>
      </c>
      <c r="I58" s="17">
        <v>0.92736038017037692</v>
      </c>
      <c r="J58" s="18">
        <f t="shared" si="11"/>
        <v>9.1520018352358318E-4</v>
      </c>
    </row>
    <row r="59" spans="1:10">
      <c r="A59" s="6">
        <v>55</v>
      </c>
      <c r="B59" s="16">
        <f t="shared" si="6"/>
        <v>7.8540666816850528</v>
      </c>
      <c r="C59" s="16">
        <f t="shared" si="7"/>
        <v>0.99961198042809385</v>
      </c>
      <c r="D59" s="16">
        <f t="shared" si="8"/>
        <v>-4.5562679383516436E-2</v>
      </c>
      <c r="E59" s="16">
        <f t="shared" si="9"/>
        <v>0.25509106481216615</v>
      </c>
      <c r="F59" s="16">
        <f t="shared" si="10"/>
        <v>0.79077135468088477</v>
      </c>
      <c r="G59" s="17">
        <v>7.9515125832206497E-3</v>
      </c>
      <c r="H59" s="17">
        <v>6.6968684958737701E-2</v>
      </c>
      <c r="I59" s="17">
        <v>0.93389441761834491</v>
      </c>
      <c r="J59" s="18">
        <f t="shared" si="11"/>
        <v>9.7896682813617634E-4</v>
      </c>
    </row>
    <row r="60" spans="1:10">
      <c r="A60" s="6">
        <v>56</v>
      </c>
      <c r="B60" s="16">
        <f t="shared" si="6"/>
        <v>8.0674656190359482</v>
      </c>
      <c r="C60" s="16">
        <f t="shared" si="7"/>
        <v>0.9996865213012841</v>
      </c>
      <c r="D60" s="16">
        <f t="shared" si="8"/>
        <v>-4.5640279112857174E-2</v>
      </c>
      <c r="E60" s="16">
        <f t="shared" si="9"/>
        <v>0.25509903832829073</v>
      </c>
      <c r="F60" s="16">
        <f t="shared" si="10"/>
        <v>0.7908409358737396</v>
      </c>
      <c r="G60" s="17">
        <v>-1.1013052498209E-4</v>
      </c>
      <c r="H60" s="17">
        <v>6.18422691296922E-2</v>
      </c>
      <c r="I60" s="17">
        <v>0.94275156262420401</v>
      </c>
      <c r="J60" s="18">
        <f t="shared" si="11"/>
        <v>1.0416335298538879E-3</v>
      </c>
    </row>
    <row r="61" spans="1:10">
      <c r="A61" s="6">
        <v>57</v>
      </c>
      <c r="B61" s="16">
        <f t="shared" si="6"/>
        <v>8.2808645563868417</v>
      </c>
      <c r="C61" s="16">
        <f t="shared" si="7"/>
        <v>0.99974674605625136</v>
      </c>
      <c r="D61" s="16">
        <f t="shared" si="8"/>
        <v>-4.57029752483471E-2</v>
      </c>
      <c r="E61" s="16">
        <f t="shared" si="9"/>
        <v>0.25510548047250342</v>
      </c>
      <c r="F61" s="16">
        <f t="shared" si="10"/>
        <v>0.7908971534911442</v>
      </c>
      <c r="G61" s="17">
        <v>5.6947636442931599E-3</v>
      </c>
      <c r="H61" s="17">
        <v>6.0470398956274998E-2</v>
      </c>
      <c r="I61" s="17">
        <v>0.93680268831874902</v>
      </c>
      <c r="J61" s="18">
        <f t="shared" si="11"/>
        <v>1.0302161268905719E-3</v>
      </c>
    </row>
    <row r="62" spans="1:10">
      <c r="A62" s="6">
        <v>58</v>
      </c>
      <c r="B62" s="16">
        <f t="shared" si="6"/>
        <v>8.4942634937377353</v>
      </c>
      <c r="C62" s="16">
        <f t="shared" si="7"/>
        <v>0.99979540294770741</v>
      </c>
      <c r="D62" s="16">
        <f t="shared" si="8"/>
        <v>-4.5753628821963099E-2</v>
      </c>
      <c r="E62" s="16">
        <f t="shared" si="9"/>
        <v>0.2551106852211466</v>
      </c>
      <c r="F62" s="16">
        <f t="shared" si="10"/>
        <v>0.79094257292887316</v>
      </c>
      <c r="G62" s="17">
        <v>-2.2807198247528698E-3</v>
      </c>
      <c r="H62" s="17">
        <v>5.4975808919005206E-2</v>
      </c>
      <c r="I62" s="17">
        <v>0.94398061818187207</v>
      </c>
      <c r="J62" s="18">
        <f t="shared" si="11"/>
        <v>1.0894084304002016E-3</v>
      </c>
    </row>
    <row r="63" spans="1:10">
      <c r="A63" s="6">
        <v>59</v>
      </c>
      <c r="B63" s="16">
        <f t="shared" si="6"/>
        <v>8.7076624310886306</v>
      </c>
      <c r="C63" s="16">
        <f t="shared" si="7"/>
        <v>0.99983471308769212</v>
      </c>
      <c r="D63" s="16">
        <f t="shared" si="8"/>
        <v>-4.5794552091205976E-2</v>
      </c>
      <c r="E63" s="16">
        <f t="shared" si="9"/>
        <v>0.25511489016296729</v>
      </c>
      <c r="F63" s="16">
        <f t="shared" si="10"/>
        <v>0.79097926751419745</v>
      </c>
      <c r="G63" s="17">
        <v>-1.0788247514761E-4</v>
      </c>
      <c r="H63" s="17">
        <v>5.3596926243307502E-2</v>
      </c>
      <c r="I63" s="17">
        <v>0.94100736181572697</v>
      </c>
      <c r="J63" s="18">
        <f t="shared" si="11"/>
        <v>1.0867531773780135E-3</v>
      </c>
    </row>
  </sheetData>
  <mergeCells count="8">
    <mergeCell ref="A1:Q1"/>
    <mergeCell ref="S1:U1"/>
    <mergeCell ref="W1:Y1"/>
    <mergeCell ref="B2:F2"/>
    <mergeCell ref="G2:I2"/>
    <mergeCell ref="N2:O2"/>
    <mergeCell ref="P2:Q2"/>
    <mergeCell ref="S2:U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C5C46-B31E-439F-ABDB-B09E82DDCAAB}">
  <sheetPr>
    <tabColor theme="3" tint="0.749992370372631"/>
  </sheetPr>
  <dimension ref="A1:AF61"/>
  <sheetViews>
    <sheetView zoomScale="50" zoomScaleNormal="50" workbookViewId="0"/>
  </sheetViews>
  <sheetFormatPr defaultRowHeight="14.5"/>
  <cols>
    <col min="2" max="2" width="14.26953125" customWidth="1"/>
    <col min="3" max="3" width="12.1796875" bestFit="1" customWidth="1"/>
    <col min="4" max="4" width="13.1796875" bestFit="1" customWidth="1"/>
    <col min="5" max="5" width="12.453125" bestFit="1" customWidth="1"/>
    <col min="6" max="6" width="13.26953125" bestFit="1" customWidth="1"/>
    <col min="7" max="7" width="9" bestFit="1" customWidth="1"/>
    <col min="8" max="8" width="14.7265625" customWidth="1"/>
    <col min="9" max="9" width="13.1796875" bestFit="1" customWidth="1"/>
    <col min="10" max="10" width="12.453125" bestFit="1" customWidth="1"/>
    <col min="11" max="11" width="13.26953125" bestFit="1" customWidth="1"/>
    <col min="12" max="12" width="11.453125" customWidth="1"/>
    <col min="13" max="13" width="13.26953125" customWidth="1"/>
    <col min="14" max="14" width="11.453125" customWidth="1"/>
    <col min="15" max="17" width="9" bestFit="1" customWidth="1"/>
    <col min="18" max="18" width="15.7265625" bestFit="1" customWidth="1"/>
    <col min="19" max="19" width="14.26953125" customWidth="1"/>
    <col min="20" max="20" width="9.81640625" bestFit="1" customWidth="1"/>
    <col min="21" max="21" width="9" bestFit="1" customWidth="1"/>
    <col min="22" max="22" width="0" hidden="1" customWidth="1"/>
    <col min="23" max="23" width="10.453125" bestFit="1" customWidth="1"/>
    <col min="24" max="24" width="12" bestFit="1" customWidth="1"/>
  </cols>
  <sheetData>
    <row r="1" spans="1:24" ht="15" thickBot="1">
      <c r="A1" s="5" t="s">
        <v>0</v>
      </c>
      <c r="B1" s="5" t="s">
        <v>206</v>
      </c>
      <c r="C1" s="5" t="s">
        <v>219</v>
      </c>
      <c r="D1" s="5" t="s">
        <v>220</v>
      </c>
      <c r="E1" s="5" t="s">
        <v>221</v>
      </c>
      <c r="F1" s="5" t="s">
        <v>222</v>
      </c>
      <c r="G1" s="5" t="s">
        <v>223</v>
      </c>
      <c r="H1" s="62" t="s">
        <v>224</v>
      </c>
      <c r="I1" s="5" t="s">
        <v>225</v>
      </c>
      <c r="J1" s="5" t="s">
        <v>226</v>
      </c>
      <c r="K1" s="5" t="s">
        <v>227</v>
      </c>
      <c r="L1" s="5" t="s">
        <v>228</v>
      </c>
      <c r="M1" s="5" t="s">
        <v>229</v>
      </c>
      <c r="N1" s="5" t="s">
        <v>230</v>
      </c>
      <c r="O1" s="5" t="s">
        <v>231</v>
      </c>
      <c r="P1" s="5" t="s">
        <v>232</v>
      </c>
      <c r="Q1" s="5" t="s">
        <v>233</v>
      </c>
      <c r="R1" s="5" t="s">
        <v>13</v>
      </c>
      <c r="S1" s="63" t="s">
        <v>211</v>
      </c>
      <c r="T1" s="15" t="s">
        <v>14</v>
      </c>
      <c r="U1" s="15" t="s">
        <v>15</v>
      </c>
      <c r="W1" s="15" t="s">
        <v>209</v>
      </c>
      <c r="X1" s="22">
        <f>SUM(R2:R61)</f>
        <v>4.9430426742300857E-3</v>
      </c>
    </row>
    <row r="2" spans="1:24">
      <c r="A2" s="6">
        <v>0</v>
      </c>
      <c r="B2" s="7">
        <f>$U$2*A2+$U$3</f>
        <v>6.2600220342164139</v>
      </c>
      <c r="C2" s="7">
        <f>1/(1+EXP(-B2))</f>
        <v>0.99809244204749381</v>
      </c>
      <c r="D2" s="7">
        <f>$U$4*C2+$U$5</f>
        <v>2.0849886331673519</v>
      </c>
      <c r="E2" s="7">
        <f>$U$6*C2+$U$7</f>
        <v>1.9761976298471433</v>
      </c>
      <c r="F2" s="7">
        <f>$U$6*C2+$U$7</f>
        <v>1.9761976298471433</v>
      </c>
      <c r="G2" s="7">
        <f>$U$10*A2+$U$11</f>
        <v>-4.2053171290966844</v>
      </c>
      <c r="H2" s="7">
        <f>TANH(G2)</f>
        <v>-0.99955512158666093</v>
      </c>
      <c r="I2" s="7">
        <f>$U$12*H2+$U$13</f>
        <v>-1.0818185666085645</v>
      </c>
      <c r="J2" s="7">
        <f>$U$14*H2+$U$15</f>
        <v>-1.9082432732563368</v>
      </c>
      <c r="K2" s="7">
        <f>$U$16*H2+$U$17</f>
        <v>-2.0490432762544577</v>
      </c>
      <c r="L2" s="7">
        <f>SUM(D2,I2)</f>
        <v>1.0031700665587875</v>
      </c>
      <c r="M2" s="7">
        <f>SUM(E2,J2)</f>
        <v>6.7954356590806508E-2</v>
      </c>
      <c r="N2" s="7">
        <f>SUM(F2,K2)</f>
        <v>-7.2845646407314391E-2</v>
      </c>
      <c r="O2" s="17">
        <v>0.99916902781949102</v>
      </c>
      <c r="P2" s="17">
        <v>-5.1644142064485399E-4</v>
      </c>
      <c r="Q2" s="17">
        <v>1.29646532345248E-3</v>
      </c>
      <c r="R2" s="34">
        <f>SUM((L2-O2)^2, (M2-P2)^2, (N2-Q2)^2)/60</f>
        <v>1.7002185372026404E-4</v>
      </c>
      <c r="S2" s="64" t="s">
        <v>206</v>
      </c>
      <c r="T2" s="65" t="s">
        <v>16</v>
      </c>
      <c r="U2" s="66">
        <v>-0.39494341202654537</v>
      </c>
      <c r="V2">
        <v>-0.45404349295316826</v>
      </c>
      <c r="X2">
        <v>8.2379999999999994E-5</v>
      </c>
    </row>
    <row r="3" spans="1:24">
      <c r="A3" s="6">
        <v>1</v>
      </c>
      <c r="B3" s="7">
        <f>$U$2*A3+$U$3</f>
        <v>5.8650786221898681</v>
      </c>
      <c r="C3" s="7">
        <f>1/(1+EXP(-B3))</f>
        <v>0.99717122466857455</v>
      </c>
      <c r="D3" s="7">
        <f>$U$4*C3+$U$5</f>
        <v>2.0840799284347402</v>
      </c>
      <c r="E3" s="7">
        <f>$U$6*C3+$U$7</f>
        <v>1.976653722236549</v>
      </c>
      <c r="F3" s="7">
        <f>$U$6*C3+$U$7</f>
        <v>1.976653722236549</v>
      </c>
      <c r="G3" s="7">
        <f>$U$10*A3+$U$11</f>
        <v>-4.0796165592170688</v>
      </c>
      <c r="H3" s="7">
        <f>TANH(G3)</f>
        <v>-0.99942800023570844</v>
      </c>
      <c r="I3" s="7">
        <f>$U$12*H3+$U$13</f>
        <v>-1.0818196531037956</v>
      </c>
      <c r="J3" s="7">
        <f>$U$14*H3+$U$15</f>
        <v>-1.9082734595673478</v>
      </c>
      <c r="K3" s="7">
        <f>$U$16*H3+$U$17</f>
        <v>-2.049012140969023</v>
      </c>
      <c r="L3" s="7">
        <f>SUM(D3,I3)</f>
        <v>1.0022602753309446</v>
      </c>
      <c r="M3" s="7">
        <f>SUM(E3,J3)</f>
        <v>6.8380262669201164E-2</v>
      </c>
      <c r="N3" s="7">
        <f>SUM(F3,K3)</f>
        <v>-7.235841873247395E-2</v>
      </c>
      <c r="O3" s="17">
        <v>0.98960193539692398</v>
      </c>
      <c r="P3" s="17">
        <v>2.1639113228485896E-3</v>
      </c>
      <c r="Q3" s="17">
        <v>2.6945909567850398E-3</v>
      </c>
      <c r="R3" s="34">
        <f>SUM((L3-O3)^2, (M3-P3)^2, (N3-Q3)^2)/60</f>
        <v>1.6962988364874724E-4</v>
      </c>
      <c r="S3" s="67"/>
      <c r="T3" s="68" t="s">
        <v>17</v>
      </c>
      <c r="U3" s="69">
        <v>6.2600220342164139</v>
      </c>
      <c r="V3">
        <v>7.3372783475312078</v>
      </c>
    </row>
    <row r="4" spans="1:24">
      <c r="A4" s="6">
        <v>2</v>
      </c>
      <c r="B4" s="7">
        <f>$U$2*A4+$U$3</f>
        <v>5.4701352101633232</v>
      </c>
      <c r="C4" s="7">
        <f>1/(1+EXP(-B4))</f>
        <v>0.99580699254538674</v>
      </c>
      <c r="D4" s="7">
        <f>$U$4*C4+$U$5</f>
        <v>2.0827342263072186</v>
      </c>
      <c r="E4" s="7">
        <f>$U$6*C4+$U$7</f>
        <v>1.9773291501029864</v>
      </c>
      <c r="F4" s="7">
        <f>$U$6*C4+$U$7</f>
        <v>1.9773291501029864</v>
      </c>
      <c r="G4" s="7">
        <f>$U$10*A4+$U$11</f>
        <v>-3.9539159893374531</v>
      </c>
      <c r="H4" s="7">
        <f>TANH(G4)</f>
        <v>-0.99926456807750763</v>
      </c>
      <c r="I4" s="7">
        <f>$U$12*H4+$U$13</f>
        <v>-1.0818210499443668</v>
      </c>
      <c r="J4" s="7">
        <f>$U$14*H4+$U$15</f>
        <v>-1.908312268264075</v>
      </c>
      <c r="K4" s="7">
        <f>$U$16*H4+$U$17</f>
        <v>-2.0489721122338289</v>
      </c>
      <c r="L4" s="7">
        <f>SUM(D4,I4)</f>
        <v>1.0009131763628518</v>
      </c>
      <c r="M4" s="7">
        <f>SUM(E4,J4)</f>
        <v>6.9016881838911415E-2</v>
      </c>
      <c r="N4" s="7">
        <f>SUM(F4,K4)</f>
        <v>-7.1642962130842536E-2</v>
      </c>
      <c r="O4" s="17">
        <v>1.0027006748148801</v>
      </c>
      <c r="P4" s="17">
        <v>3.31005964809079E-3</v>
      </c>
      <c r="Q4" s="17">
        <v>-4.7185297244242705E-3</v>
      </c>
      <c r="R4" s="34">
        <f>SUM((L4-O4)^2, (M4-P4)^2, (N4-Q4)^2)/60</f>
        <v>1.4665768810088943E-4</v>
      </c>
      <c r="S4" s="70" t="s">
        <v>234</v>
      </c>
      <c r="T4" s="71" t="s">
        <v>18</v>
      </c>
      <c r="U4" s="69">
        <v>0.98641727067468221</v>
      </c>
      <c r="V4">
        <v>0.94514754229000764</v>
      </c>
    </row>
    <row r="5" spans="1:24">
      <c r="A5" s="6">
        <v>3</v>
      </c>
      <c r="B5" s="7">
        <f>$U$2*A5+$U$3</f>
        <v>5.0751917981367782</v>
      </c>
      <c r="C5" s="7">
        <f>1/(1+EXP(-B5))</f>
        <v>0.993788930876082</v>
      </c>
      <c r="D5" s="7">
        <f>$U$4*C5+$U$5</f>
        <v>2.0807435754233299</v>
      </c>
      <c r="E5" s="7">
        <f>$U$6*C5+$U$7</f>
        <v>1.9783282873205243</v>
      </c>
      <c r="F5" s="7">
        <f>$U$6*C5+$U$7</f>
        <v>1.9783282873205243</v>
      </c>
      <c r="G5" s="7">
        <f>$U$10*A5+$U$11</f>
        <v>-3.8282154194578375</v>
      </c>
      <c r="H5" s="7">
        <f>TANH(G5)</f>
        <v>-0.99905446205561699</v>
      </c>
      <c r="I5" s="7">
        <f>$U$12*H5+$U$13</f>
        <v>-1.0818228457024284</v>
      </c>
      <c r="J5" s="7">
        <f>$U$14*H5+$U$15</f>
        <v>-1.9083621601640159</v>
      </c>
      <c r="K5" s="7">
        <f>$U$16*H5+$U$17</f>
        <v>-2.0489206518700578</v>
      </c>
      <c r="L5" s="7">
        <f>SUM(D5,I5)</f>
        <v>0.99892072972090151</v>
      </c>
      <c r="M5" s="7">
        <f>SUM(E5,J5)</f>
        <v>6.9966127156508406E-2</v>
      </c>
      <c r="N5" s="7">
        <f>SUM(F5,K5)</f>
        <v>-7.0592364549533437E-2</v>
      </c>
      <c r="O5" s="17">
        <v>0.99110329365628103</v>
      </c>
      <c r="P5" s="17">
        <v>1.5165637719900501E-3</v>
      </c>
      <c r="Q5" s="17">
        <v>2.4789689316632598E-3</v>
      </c>
      <c r="R5" s="34">
        <f>SUM((L5-O5)^2, (M5-P5)^2, (N5-Q5)^2)/60</f>
        <v>1.6809791351459803E-4</v>
      </c>
      <c r="S5" s="67"/>
      <c r="T5" s="71" t="s">
        <v>19</v>
      </c>
      <c r="U5" s="69">
        <v>1.1004530106018346</v>
      </c>
      <c r="V5">
        <v>2.7053990092140861E-2</v>
      </c>
    </row>
    <row r="6" spans="1:24">
      <c r="A6" s="6">
        <v>4</v>
      </c>
      <c r="B6" s="7">
        <f>$U$2*A6+$U$3</f>
        <v>4.6802483861102324</v>
      </c>
      <c r="C6" s="7">
        <f>1/(1+EXP(-B6))</f>
        <v>0.99080855695097525</v>
      </c>
      <c r="D6" s="7">
        <f>$U$4*C6+$U$5</f>
        <v>2.077803683110536</v>
      </c>
      <c r="E6" s="7">
        <f>$U$6*C6+$U$7</f>
        <v>1.9798038628968542</v>
      </c>
      <c r="F6" s="7">
        <f>$U$6*C6+$U$7</f>
        <v>1.9798038628968542</v>
      </c>
      <c r="G6" s="7">
        <f>$U$10*A6+$U$11</f>
        <v>-3.7025148495782219</v>
      </c>
      <c r="H6" s="7">
        <f>TANH(G6)</f>
        <v>-0.99878436720615482</v>
      </c>
      <c r="I6" s="7">
        <f>$U$12*H6+$U$13</f>
        <v>-1.0818251541798294</v>
      </c>
      <c r="J6" s="7">
        <f>$U$14*H6+$U$15</f>
        <v>-1.908426297046351</v>
      </c>
      <c r="K6" s="7">
        <f>$U$16*H6+$U$17</f>
        <v>-2.0488544987009054</v>
      </c>
      <c r="L6" s="7">
        <f>SUM(D6,I6)</f>
        <v>0.9959785289307066</v>
      </c>
      <c r="M6" s="7">
        <f>SUM(E6,J6)</f>
        <v>7.1377565850503144E-2</v>
      </c>
      <c r="N6" s="7">
        <f>SUM(F6,K6)</f>
        <v>-6.9050635804051241E-2</v>
      </c>
      <c r="O6" s="17">
        <v>0.99855053119660397</v>
      </c>
      <c r="P6" s="17">
        <v>2.0051112150917699E-3</v>
      </c>
      <c r="Q6" s="17">
        <v>3.86363487767975E-3</v>
      </c>
      <c r="R6" s="34">
        <f>SUM((L6-O6)^2, (M6-P6)^2, (N6-Q6)^2)/60</f>
        <v>1.689273921141121E-4</v>
      </c>
      <c r="S6" s="67"/>
      <c r="T6" s="71" t="s">
        <v>20</v>
      </c>
      <c r="U6" s="69">
        <v>-0.49509746542191235</v>
      </c>
      <c r="V6">
        <v>-0.44212350764266173</v>
      </c>
    </row>
    <row r="7" spans="1:24">
      <c r="A7" s="6">
        <v>5</v>
      </c>
      <c r="B7" s="7">
        <f>$U$2*A7+$U$3</f>
        <v>4.2853049740836866</v>
      </c>
      <c r="C7" s="7">
        <f>1/(1+EXP(-B7))</f>
        <v>0.98641760022420244</v>
      </c>
      <c r="D7" s="7">
        <f>$U$4*C7+$U$5</f>
        <v>2.0734723675604623</v>
      </c>
      <c r="E7" s="7">
        <f>$U$6*C7+$U$7</f>
        <v>1.9819778144430567</v>
      </c>
      <c r="F7" s="7">
        <f>$U$6*C7+$U$7</f>
        <v>1.9819778144430567</v>
      </c>
      <c r="G7" s="7">
        <f>$U$10*A7+$U$11</f>
        <v>-3.5768142796986062</v>
      </c>
      <c r="H7" s="7">
        <f>TANH(G7)</f>
        <v>-0.99843717952679611</v>
      </c>
      <c r="I7" s="7">
        <f>$U$12*H7+$U$13</f>
        <v>-1.0818281215630035</v>
      </c>
      <c r="J7" s="7">
        <f>$U$14*H7+$U$15</f>
        <v>-1.9085087404375658</v>
      </c>
      <c r="K7" s="7">
        <f>$U$16*H7+$U$17</f>
        <v>-2.0487694635166882</v>
      </c>
      <c r="L7" s="7">
        <f>SUM(D7,I7)</f>
        <v>0.99164424599745882</v>
      </c>
      <c r="M7" s="7">
        <f>SUM(E7,J7)</f>
        <v>7.3469074005490853E-2</v>
      </c>
      <c r="N7" s="7">
        <f>SUM(F7,K7)</f>
        <v>-6.6791649073631554E-2</v>
      </c>
      <c r="O7" s="17">
        <v>0.99334815329542803</v>
      </c>
      <c r="P7" s="17">
        <v>5.7859344004262394E-3</v>
      </c>
      <c r="Q7" s="17">
        <v>-4.6798608314981898E-3</v>
      </c>
      <c r="R7" s="34">
        <f>SUM((L7-O7)^2, (M7-P7)^2, (N7-Q7)^2)/60</f>
        <v>1.4069641542523926E-4</v>
      </c>
      <c r="S7" s="67"/>
      <c r="T7" s="71" t="s">
        <v>21</v>
      </c>
      <c r="U7" s="69">
        <v>2.4703506681616245</v>
      </c>
      <c r="V7">
        <v>-1.4636964936863254E-2</v>
      </c>
    </row>
    <row r="8" spans="1:24">
      <c r="A8" s="6">
        <v>6</v>
      </c>
      <c r="B8" s="7">
        <f>$U$2*A8+$U$3</f>
        <v>3.8903615620571417</v>
      </c>
      <c r="C8" s="7">
        <f>1/(1+EXP(-B8))</f>
        <v>0.9799713887450161</v>
      </c>
      <c r="D8" s="7">
        <f>$U$4*C8+$U$5</f>
        <v>2.0671137132269717</v>
      </c>
      <c r="E8" s="7">
        <f>$U$6*C8+$U$7</f>
        <v>1.9851693174079754</v>
      </c>
      <c r="F8" s="7">
        <f>$U$6*C8+$U$7</f>
        <v>1.9851693174079754</v>
      </c>
      <c r="G8" s="7">
        <f>$U$10*A8+$U$11</f>
        <v>-3.4511137098189906</v>
      </c>
      <c r="H8" s="7">
        <f>TANH(G8)</f>
        <v>-0.99799093387041649</v>
      </c>
      <c r="I8" s="7">
        <f>$U$12*H8+$U$13</f>
        <v>-1.0818319355861701</v>
      </c>
      <c r="J8" s="7">
        <f>$U$14*H8+$U$15</f>
        <v>-1.9086147061944576</v>
      </c>
      <c r="K8" s="7">
        <f>$U$16*H8+$U$17</f>
        <v>-2.0486601664884452</v>
      </c>
      <c r="L8" s="7">
        <f>SUM(D8,I8)</f>
        <v>0.9852817776408016</v>
      </c>
      <c r="M8" s="7">
        <f>SUM(E8,J8)</f>
        <v>7.6554611213517809E-2</v>
      </c>
      <c r="N8" s="7">
        <f>SUM(F8,K8)</f>
        <v>-6.3490849080469758E-2</v>
      </c>
      <c r="O8" s="17">
        <v>0.98283073740154103</v>
      </c>
      <c r="P8" s="17">
        <v>1.2651330839959601E-2</v>
      </c>
      <c r="Q8" s="17">
        <v>3.0346095032803499E-3</v>
      </c>
      <c r="R8" s="34">
        <f>SUM((L8-O8)^2, (M8-P8)^2, (N8-Q8)^2)/60</f>
        <v>1.4192122467557189E-4</v>
      </c>
      <c r="S8" s="67"/>
      <c r="T8" s="71" t="s">
        <v>22</v>
      </c>
      <c r="U8" s="69">
        <v>-8.245227317439964</v>
      </c>
      <c r="V8">
        <v>-6.5841423752670547E-2</v>
      </c>
    </row>
    <row r="9" spans="1:24" ht="15" thickBot="1">
      <c r="A9" s="6">
        <v>7</v>
      </c>
      <c r="B9" s="7">
        <f>$U$2*A9+$U$3</f>
        <v>3.4954181500305963</v>
      </c>
      <c r="C9" s="7">
        <f>1/(1+EXP(-B9))</f>
        <v>0.97055712023023122</v>
      </c>
      <c r="D9" s="7">
        <f>$U$4*C9+$U$5</f>
        <v>2.0578273161732188</v>
      </c>
      <c r="E9" s="7">
        <f>$U$6*C9+$U$7</f>
        <v>1.9898302978884468</v>
      </c>
      <c r="F9" s="7">
        <f>$U$6*C9+$U$7</f>
        <v>1.9898302978884468</v>
      </c>
      <c r="G9" s="7">
        <f>$U$10*A9+$U$11</f>
        <v>-3.3254131399393749</v>
      </c>
      <c r="H9" s="7">
        <f>TANH(G9)</f>
        <v>-0.99741743249392778</v>
      </c>
      <c r="I9" s="7">
        <f>$U$12*H9+$U$13</f>
        <v>-1.0818368372530094</v>
      </c>
      <c r="J9" s="7">
        <f>$U$14*H9+$U$15</f>
        <v>-1.9087508901697396</v>
      </c>
      <c r="K9" s="7">
        <f>$U$16*H9+$U$17</f>
        <v>-2.0485197012643086</v>
      </c>
      <c r="L9" s="7">
        <f>SUM(D9,I9)</f>
        <v>0.9759904789202094</v>
      </c>
      <c r="M9" s="7">
        <f>SUM(E9,J9)</f>
        <v>8.1079407718707142E-2</v>
      </c>
      <c r="N9" s="7">
        <f>SUM(F9,K9)</f>
        <v>-5.8689403375861815E-2</v>
      </c>
      <c r="O9" s="17">
        <v>0.97539398785926001</v>
      </c>
      <c r="P9" s="17">
        <v>2.03539996715329E-2</v>
      </c>
      <c r="Q9" s="17">
        <v>7.4668309922445502E-3</v>
      </c>
      <c r="R9" s="34">
        <f>SUM((L9-O9)^2, (M9-P9)^2, (N9-Q9)^2)/60</f>
        <v>1.3440963883082374E-4</v>
      </c>
      <c r="S9" s="72"/>
      <c r="T9" s="71" t="s">
        <v>23</v>
      </c>
      <c r="U9" s="73">
        <v>-5.0808450649868906</v>
      </c>
      <c r="V9">
        <v>0.58028762424438773</v>
      </c>
    </row>
    <row r="10" spans="1:24">
      <c r="A10" s="6">
        <v>8</v>
      </c>
      <c r="B10" s="7">
        <f>$U$2*A10+$U$3</f>
        <v>3.1004747380040509</v>
      </c>
      <c r="C10" s="7">
        <f>1/(1+EXP(-B10))</f>
        <v>0.95691232328913534</v>
      </c>
      <c r="D10" s="7">
        <f>$U$4*C10+$U$5</f>
        <v>2.0443678528156726</v>
      </c>
      <c r="E10" s="7">
        <f>$U$6*C10+$U$7</f>
        <v>1.9965858022701801</v>
      </c>
      <c r="F10" s="7">
        <f>$U$6*C10+$U$7</f>
        <v>1.9965858022701801</v>
      </c>
      <c r="G10" s="7">
        <f>$U$10*A10+$U$11</f>
        <v>-3.1997125700597593</v>
      </c>
      <c r="H10" s="7">
        <f>TANH(G10)</f>
        <v>-0.99668049330131003</v>
      </c>
      <c r="I10" s="7">
        <f>$U$12*H10+$U$13</f>
        <v>-1.0818431358087777</v>
      </c>
      <c r="J10" s="7">
        <f>$U$14*H10+$U$15</f>
        <v>-1.9089258841852839</v>
      </c>
      <c r="K10" s="7">
        <f>$U$16*H10+$U$17</f>
        <v>-2.0483392059192056</v>
      </c>
      <c r="L10" s="7">
        <f>SUM(D10,I10)</f>
        <v>0.9625247170068949</v>
      </c>
      <c r="M10" s="7">
        <f>SUM(E10,J10)</f>
        <v>8.765991808489626E-2</v>
      </c>
      <c r="N10" s="7">
        <f>SUM(F10,K10)</f>
        <v>-5.1753403649025476E-2</v>
      </c>
      <c r="O10" s="17">
        <v>0.96249140793574095</v>
      </c>
      <c r="P10" s="17">
        <v>3.3533967396357001E-2</v>
      </c>
      <c r="Q10" s="17">
        <v>9.1761695406187595E-3</v>
      </c>
      <c r="R10" s="34">
        <f>SUM((L10-O10)^2, (M10-P10)^2, (N10-Q10)^2)/60</f>
        <v>1.1070054227507695E-4</v>
      </c>
      <c r="S10" s="74" t="s">
        <v>223</v>
      </c>
      <c r="T10" s="65" t="s">
        <v>62</v>
      </c>
      <c r="U10" s="66">
        <v>0.12570056987961567</v>
      </c>
      <c r="V10">
        <v>-0.13593673577519041</v>
      </c>
    </row>
    <row r="11" spans="1:24">
      <c r="A11" s="6">
        <v>9</v>
      </c>
      <c r="B11" s="7">
        <f>$U$2*A11+$U$3</f>
        <v>2.7055313259775056</v>
      </c>
      <c r="C11" s="7">
        <f>1/(1+EXP(-B11))</f>
        <v>0.93735224691371954</v>
      </c>
      <c r="D11" s="7">
        <f>$U$4*C11+$U$5</f>
        <v>2.0250734556632466</v>
      </c>
      <c r="E11" s="7">
        <f>$U$6*C11+$U$7</f>
        <v>2.0062699465071074</v>
      </c>
      <c r="F11" s="7">
        <f>$U$6*C11+$U$7</f>
        <v>2.0062699465071074</v>
      </c>
      <c r="G11" s="7">
        <f>$U$10*A11+$U$11</f>
        <v>-3.0740120001801436</v>
      </c>
      <c r="H11" s="7">
        <f>TANH(G11)</f>
        <v>-0.99573371664684307</v>
      </c>
      <c r="I11" s="7">
        <f>$U$12*H11+$U$13</f>
        <v>-1.0818512278272481</v>
      </c>
      <c r="J11" s="7">
        <f>$U$14*H11+$U$15</f>
        <v>-1.9091507063283431</v>
      </c>
      <c r="K11" s="7">
        <f>$U$16*H11+$U$17</f>
        <v>-2.0481073159875867</v>
      </c>
      <c r="L11" s="7">
        <f>SUM(D11,I11)</f>
        <v>0.94322222783599852</v>
      </c>
      <c r="M11" s="7">
        <f>SUM(E11,J11)</f>
        <v>9.7119240178764388E-2</v>
      </c>
      <c r="N11" s="7">
        <f>SUM(F11,K11)</f>
        <v>-4.1837369480479225E-2</v>
      </c>
      <c r="O11" s="17">
        <v>0.94450237023887595</v>
      </c>
      <c r="P11" s="17">
        <v>4.7496166004264602E-2</v>
      </c>
      <c r="Q11" s="17">
        <v>7.5225339506602403E-3</v>
      </c>
      <c r="R11" s="34">
        <f>SUM((L11-O11)^2, (M11-P11)^2, (N11-Q11)^2)/60</f>
        <v>8.167480536384944E-5</v>
      </c>
      <c r="S11" s="67"/>
      <c r="T11" s="68" t="s">
        <v>63</v>
      </c>
      <c r="U11" s="69">
        <v>-4.2053171290966844</v>
      </c>
      <c r="V11">
        <v>4.6279142309463914</v>
      </c>
    </row>
    <row r="12" spans="1:24">
      <c r="A12" s="6">
        <v>10</v>
      </c>
      <c r="B12" s="7">
        <f>$U$2*A12+$U$3</f>
        <v>2.3105879139509602</v>
      </c>
      <c r="C12" s="7">
        <f>1/(1+EXP(-B12))</f>
        <v>0.90975013749871936</v>
      </c>
      <c r="D12" s="7">
        <f>$U$4*C12+$U$5</f>
        <v>1.9978462582292382</v>
      </c>
      <c r="E12" s="7">
        <f>$U$6*C12+$U$7</f>
        <v>2.0199356809187723</v>
      </c>
      <c r="F12" s="7">
        <f>$U$6*C12+$U$7</f>
        <v>2.0199356809187723</v>
      </c>
      <c r="G12" s="7">
        <f>$U$10*A12+$U$11</f>
        <v>-2.948311430300528</v>
      </c>
      <c r="H12" s="7">
        <f>TANH(G12)</f>
        <v>-0.99451764552288269</v>
      </c>
      <c r="I12" s="7">
        <f>$U$12*H12+$U$13</f>
        <v>-1.0818616214823409</v>
      </c>
      <c r="J12" s="7">
        <f>$U$14*H12+$U$15</f>
        <v>-1.9094394752950379</v>
      </c>
      <c r="K12" s="7">
        <f>$U$16*H12+$U$17</f>
        <v>-2.0478094689204371</v>
      </c>
      <c r="L12" s="7">
        <f>SUM(D12,I12)</f>
        <v>0.91598463674689734</v>
      </c>
      <c r="M12" s="7">
        <f>SUM(E12,J12)</f>
        <v>0.11049620562373441</v>
      </c>
      <c r="N12" s="7">
        <f>SUM(F12,K12)</f>
        <v>-2.7873788001664845E-2</v>
      </c>
      <c r="O12" s="17">
        <v>0.91819898168117797</v>
      </c>
      <c r="P12" s="17">
        <v>6.7597221336325009E-2</v>
      </c>
      <c r="Q12" s="17">
        <v>3.2927993138720797E-3</v>
      </c>
      <c r="R12" s="34">
        <f>SUM((L12-O12)^2, (M12-P12)^2, (N12-Q12)^2)/60</f>
        <v>4.6943039021272671E-5</v>
      </c>
      <c r="S12" s="70" t="s">
        <v>235</v>
      </c>
      <c r="T12" s="71" t="s">
        <v>64</v>
      </c>
      <c r="U12" s="69">
        <v>-8.5469138177901964E-3</v>
      </c>
      <c r="V12">
        <v>1.1933844411785445E-2</v>
      </c>
    </row>
    <row r="13" spans="1:24">
      <c r="A13" s="6">
        <v>11</v>
      </c>
      <c r="B13" s="7">
        <f>$U$2*A13+$U$3</f>
        <v>1.9156445019244153</v>
      </c>
      <c r="C13" s="7">
        <f>1/(1+EXP(-B13))</f>
        <v>0.87165195133923845</v>
      </c>
      <c r="D13" s="7">
        <f>$U$4*C13+$U$5</f>
        <v>1.9602655494201473</v>
      </c>
      <c r="E13" s="7">
        <f>$U$6*C13+$U$7</f>
        <v>2.0387979963235034</v>
      </c>
      <c r="F13" s="7">
        <f>$U$6*C13+$U$7</f>
        <v>2.0387979963235034</v>
      </c>
      <c r="G13" s="7">
        <f>$U$10*A13+$U$11</f>
        <v>-2.8226108604209124</v>
      </c>
      <c r="H13" s="7">
        <f>TANH(G13)</f>
        <v>-0.99295616613371618</v>
      </c>
      <c r="I13" s="7">
        <f>$U$12*H13+$U$13</f>
        <v>-1.0818749673121082</v>
      </c>
      <c r="J13" s="7">
        <f>$U$14*H13+$U$15</f>
        <v>-1.9098102651122126</v>
      </c>
      <c r="K13" s="7">
        <f>$U$16*H13+$U$17</f>
        <v>-2.0474270224933209</v>
      </c>
      <c r="L13" s="7">
        <f>SUM(D13,I13)</f>
        <v>0.87839058210803911</v>
      </c>
      <c r="M13" s="7">
        <f>SUM(E13,J13)</f>
        <v>0.12898773121129081</v>
      </c>
      <c r="N13" s="7">
        <f>SUM(F13,K13)</f>
        <v>-8.629026169817422E-3</v>
      </c>
      <c r="O13" s="17">
        <v>0.89021613947898592</v>
      </c>
      <c r="P13" s="17">
        <v>9.5969397639399309E-2</v>
      </c>
      <c r="Q13" s="17">
        <v>1.96514990734073E-2</v>
      </c>
      <c r="R13" s="34">
        <f>SUM((L13-O13)^2, (M13-P13)^2, (N13-Q13)^2)/60</f>
        <v>3.3830704450515383E-5</v>
      </c>
      <c r="S13" s="67"/>
      <c r="T13" s="71" t="s">
        <v>65</v>
      </c>
      <c r="U13" s="69">
        <v>-1.0903616780888965</v>
      </c>
      <c r="V13">
        <v>-1.4264622529671363E-2</v>
      </c>
    </row>
    <row r="14" spans="1:24">
      <c r="A14" s="6">
        <v>12</v>
      </c>
      <c r="B14" s="7">
        <f>$U$2*A14+$U$3</f>
        <v>1.5207010898978695</v>
      </c>
      <c r="C14" s="7">
        <f>1/(1+EXP(-B14))</f>
        <v>0.82064169644385221</v>
      </c>
      <c r="D14" s="7">
        <f>$U$4*C14+$U$5</f>
        <v>1.9099481530098203</v>
      </c>
      <c r="E14" s="7">
        <f>$U$6*C14+$U$7</f>
        <v>2.0640530442327347</v>
      </c>
      <c r="F14" s="7">
        <f>$U$6*C14+$U$7</f>
        <v>2.0640530442327347</v>
      </c>
      <c r="G14" s="7">
        <f>$U$10*A14+$U$11</f>
        <v>-2.6969102905412963</v>
      </c>
      <c r="H14" s="7">
        <f>TANH(G14)</f>
        <v>-0.99095196509404548</v>
      </c>
      <c r="I14" s="7">
        <f>$U$12*H14+$U$13</f>
        <v>-1.0818920970456678</v>
      </c>
      <c r="J14" s="7">
        <f>$U$14*H14+$U$15</f>
        <v>-1.9102861838737646</v>
      </c>
      <c r="K14" s="7">
        <f>$U$16*H14+$U$17</f>
        <v>-2.046936142157556</v>
      </c>
      <c r="L14" s="7">
        <f>SUM(D14,I14)</f>
        <v>0.82805605596415255</v>
      </c>
      <c r="M14" s="7">
        <f>SUM(E14,J14)</f>
        <v>0.15376686035897014</v>
      </c>
      <c r="N14" s="7">
        <f>SUM(F14,K14)</f>
        <v>1.7116902075178686E-2</v>
      </c>
      <c r="O14" s="17">
        <v>0.83105634839519704</v>
      </c>
      <c r="P14" s="17">
        <v>0.139820372745182</v>
      </c>
      <c r="Q14" s="17">
        <v>2.4532806481925299E-2</v>
      </c>
      <c r="R14" s="34">
        <f>SUM((L14-O14)^2, (M14-P14)^2, (N14-Q14)^2)/60</f>
        <v>4.308365160055545E-6</v>
      </c>
      <c r="S14" s="67"/>
      <c r="T14" s="71" t="s">
        <v>66</v>
      </c>
      <c r="U14" s="69">
        <v>-0.23746059009635131</v>
      </c>
      <c r="V14">
        <v>0.21749990604334379</v>
      </c>
    </row>
    <row r="15" spans="1:24">
      <c r="A15" s="6">
        <v>13</v>
      </c>
      <c r="B15" s="7">
        <f>$U$2*A15+$U$3</f>
        <v>1.1257576778713236</v>
      </c>
      <c r="C15" s="7">
        <f>1/(1+EXP(-B15))</f>
        <v>0.75505514409965513</v>
      </c>
      <c r="D15" s="7">
        <f>$U$4*C15+$U$5</f>
        <v>1.8452524450534953</v>
      </c>
      <c r="E15" s="7">
        <f>$U$6*C15+$U$7</f>
        <v>2.0965247800641085</v>
      </c>
      <c r="F15" s="7">
        <f>$U$6*C15+$U$7</f>
        <v>2.0965247800641085</v>
      </c>
      <c r="G15" s="7">
        <f>$U$10*A15+$U$11</f>
        <v>-2.5712097206616806</v>
      </c>
      <c r="H15" s="7">
        <f>TANH(G15)</f>
        <v>-0.98838082801736205</v>
      </c>
      <c r="I15" s="7">
        <f>$U$12*H15+$U$13</f>
        <v>-1.0819140723326759</v>
      </c>
      <c r="J15" s="7">
        <f>$U$14*H15+$U$15</f>
        <v>-1.9108967276012123</v>
      </c>
      <c r="K15" s="7">
        <f>$U$16*H15+$U$17</f>
        <v>-2.0463064046179982</v>
      </c>
      <c r="L15" s="7">
        <f>SUM(D15,I15)</f>
        <v>0.76333837272081939</v>
      </c>
      <c r="M15" s="7">
        <f>SUM(E15,J15)</f>
        <v>0.18562805246289615</v>
      </c>
      <c r="N15" s="7">
        <f>SUM(F15,K15)</f>
        <v>5.0218375446110297E-2</v>
      </c>
      <c r="O15" s="17">
        <v>0.77338802087821101</v>
      </c>
      <c r="P15" s="17">
        <v>0.19576330278256401</v>
      </c>
      <c r="Q15" s="17">
        <v>3.84479753657469E-2</v>
      </c>
      <c r="R15" s="34">
        <f>SUM((L15-O15)^2, (M15-P15)^2, (N15-Q15)^2)/60</f>
        <v>5.7043507530251827E-6</v>
      </c>
      <c r="S15" s="67"/>
      <c r="T15" s="71" t="s">
        <v>67</v>
      </c>
      <c r="U15" s="69">
        <v>-2.1455982222621355</v>
      </c>
      <c r="V15">
        <v>0.32240452447740081</v>
      </c>
    </row>
    <row r="16" spans="1:24">
      <c r="A16" s="6">
        <v>14</v>
      </c>
      <c r="B16" s="7">
        <f>$U$2*A16+$U$3</f>
        <v>0.73081426584477871</v>
      </c>
      <c r="C16" s="7">
        <f>1/(1+EXP(-B16))</f>
        <v>0.67498393217718156</v>
      </c>
      <c r="D16" s="7">
        <f>$U$4*C16+$U$5</f>
        <v>1.7662688187293147</v>
      </c>
      <c r="E16" s="7">
        <f>$U$6*C16+$U$7</f>
        <v>2.1361678341401857</v>
      </c>
      <c r="F16" s="7">
        <f>$U$6*C16+$U$7</f>
        <v>2.1361678341401857</v>
      </c>
      <c r="G16" s="7">
        <f>$U$10*A16+$U$11</f>
        <v>-2.445509150782065</v>
      </c>
      <c r="H16" s="7">
        <f>TANH(G16)</f>
        <v>-0.98508453672611951</v>
      </c>
      <c r="I16" s="7">
        <f>$U$12*H16+$U$13</f>
        <v>-1.0819422454502605</v>
      </c>
      <c r="J16" s="7">
        <f>$U$14*H16+$U$15</f>
        <v>-1.9116794668763604</v>
      </c>
      <c r="K16" s="7">
        <f>$U$16*H16+$U$17</f>
        <v>-2.0454990581772985</v>
      </c>
      <c r="L16" s="7">
        <f>SUM(D16,I16)</f>
        <v>0.68432657327905422</v>
      </c>
      <c r="M16" s="7">
        <f>SUM(E16,J16)</f>
        <v>0.22448836726382537</v>
      </c>
      <c r="N16" s="7">
        <f>SUM(F16,K16)</f>
        <v>9.0668775962887249E-2</v>
      </c>
      <c r="O16" s="17">
        <v>0.68790871012265198</v>
      </c>
      <c r="P16" s="17">
        <v>0.25894601239861498</v>
      </c>
      <c r="Q16" s="17">
        <v>6.3388110834698502E-2</v>
      </c>
      <c r="R16" s="34">
        <f>SUM((L16-O16)^2, (M16-P16)^2, (N16-Q16)^2)/60</f>
        <v>3.240659504062873E-5</v>
      </c>
      <c r="S16" s="67"/>
      <c r="T16" s="71" t="s">
        <v>68</v>
      </c>
      <c r="U16" s="69">
        <v>0.24492569659873156</v>
      </c>
      <c r="V16">
        <v>-0.23429521332582418</v>
      </c>
    </row>
    <row r="17" spans="1:32" ht="15" thickBot="1">
      <c r="A17" s="6">
        <v>15</v>
      </c>
      <c r="B17" s="7">
        <f>$U$2*A17+$U$3</f>
        <v>0.33587085381823378</v>
      </c>
      <c r="C17" s="7">
        <f>1/(1+EXP(-B17))</f>
        <v>0.58318715658077713</v>
      </c>
      <c r="D17" s="7">
        <f>$U$4*C17+$U$5</f>
        <v>1.6757188938887735</v>
      </c>
      <c r="E17" s="7">
        <f>$U$6*C17+$U$7</f>
        <v>2.1816161850718698</v>
      </c>
      <c r="F17" s="7">
        <f>$U$6*C17+$U$7</f>
        <v>2.1816161850718698</v>
      </c>
      <c r="G17" s="7">
        <f>$U$10*A17+$U$11</f>
        <v>-2.3198085809024493</v>
      </c>
      <c r="H17" s="7">
        <f>TANH(G17)</f>
        <v>-0.98086210741081659</v>
      </c>
      <c r="I17" s="7">
        <f>$U$12*H17+$U$13</f>
        <v>-1.0819783341897202</v>
      </c>
      <c r="J17" s="7">
        <f>$U$14*H17+$U$15</f>
        <v>-1.9126821274332122</v>
      </c>
      <c r="K17" s="7">
        <f>$U$16*H17+$U$17</f>
        <v>-2.0444648767359088</v>
      </c>
      <c r="L17" s="7">
        <f>SUM(D17,I17)</f>
        <v>0.59374055969905326</v>
      </c>
      <c r="M17" s="7">
        <f>SUM(E17,J17)</f>
        <v>0.26893405763865763</v>
      </c>
      <c r="N17" s="7">
        <f>SUM(F17,K17)</f>
        <v>0.13715130833596101</v>
      </c>
      <c r="O17" s="17">
        <v>0.59497831839092707</v>
      </c>
      <c r="P17" s="17">
        <v>0.33076845698165103</v>
      </c>
      <c r="Q17" s="17">
        <v>7.3720662375898097E-2</v>
      </c>
      <c r="R17" s="34">
        <f>SUM((L17-O17)^2, (M17-P17)^2, (N17-Q17)^2)/60</f>
        <v>1.3080786392664895E-4</v>
      </c>
      <c r="S17" s="72"/>
      <c r="T17" s="75" t="s">
        <v>69</v>
      </c>
      <c r="U17" s="73">
        <v>-1.8042265418110148</v>
      </c>
      <c r="V17">
        <v>0.69072401221068069</v>
      </c>
    </row>
    <row r="18" spans="1:32">
      <c r="A18" s="6">
        <v>16</v>
      </c>
      <c r="B18" s="7">
        <f>$U$2*A18+$U$3</f>
        <v>-5.9072558208312032E-2</v>
      </c>
      <c r="C18" s="7">
        <f>1/(1+EXP(-B18))</f>
        <v>0.48523615348437771</v>
      </c>
      <c r="D18" s="7">
        <f>$U$4*C18+$U$5</f>
        <v>1.5790983327545756</v>
      </c>
      <c r="E18" s="7">
        <f>$U$6*C18+$U$7</f>
        <v>2.2301114784404312</v>
      </c>
      <c r="F18" s="7">
        <f>$U$6*C18+$U$7</f>
        <v>2.2301114784404312</v>
      </c>
      <c r="G18" s="7">
        <f>$U$10*A18+$U$11</f>
        <v>-2.1941080110228337</v>
      </c>
      <c r="H18" s="7">
        <f>TANH(G18)</f>
        <v>-0.97545912495373643</v>
      </c>
      <c r="I18" s="7">
        <f>$U$12*H18+$U$13</f>
        <v>-1.0820245130151398</v>
      </c>
      <c r="J18" s="7">
        <f>$U$14*H18+$U$15</f>
        <v>-1.9139651228357508</v>
      </c>
      <c r="K18" s="7">
        <f>$U$16*H18+$U$17</f>
        <v>-2.0431415474938976</v>
      </c>
      <c r="L18" s="7">
        <f>SUM(D18,I18)</f>
        <v>0.49707381973943576</v>
      </c>
      <c r="M18" s="7">
        <f>SUM(E18,J18)</f>
        <v>0.31614635560468041</v>
      </c>
      <c r="N18" s="7">
        <f>SUM(F18,K18)</f>
        <v>0.18696993094653358</v>
      </c>
      <c r="O18" s="17">
        <v>0.48898600704502004</v>
      </c>
      <c r="P18" s="17">
        <v>0.40789980280525601</v>
      </c>
      <c r="Q18" s="17">
        <v>9.9755417736937704E-2</v>
      </c>
      <c r="R18" s="18">
        <f>SUM((L18-O18)^2, (M18-P18)^2, (N18-Q18)^2)/60</f>
        <v>2.6817465169592567E-4</v>
      </c>
      <c r="V18">
        <v>6.8694640758768272E-2</v>
      </c>
    </row>
    <row r="19" spans="1:32">
      <c r="A19" s="6">
        <v>17</v>
      </c>
      <c r="B19" s="7">
        <f>$U$2*A19+$U$3</f>
        <v>-0.45401597023485785</v>
      </c>
      <c r="C19" s="7">
        <f>1/(1+EXP(-B19))</f>
        <v>0.38840635849348865</v>
      </c>
      <c r="D19" s="7">
        <f>$U$4*C19+$U$5</f>
        <v>1.4835837506596738</v>
      </c>
      <c r="E19" s="7">
        <f>$U$6*C19+$U$7</f>
        <v>2.2780516645177435</v>
      </c>
      <c r="F19" s="7">
        <f>$U$6*C19+$U$7</f>
        <v>2.2780516645177435</v>
      </c>
      <c r="G19" s="7">
        <f>$U$10*A19+$U$11</f>
        <v>-2.0684074411432181</v>
      </c>
      <c r="H19" s="7">
        <f>TANH(G19)</f>
        <v>-0.96855499443608783</v>
      </c>
      <c r="I19" s="7">
        <f>$U$12*H19+$U$13</f>
        <v>-1.0820835220236611</v>
      </c>
      <c r="J19" s="7">
        <f>$U$14*H19+$U$15</f>
        <v>-1.9156045817425738</v>
      </c>
      <c r="K19" s="7">
        <f>$U$16*H19+$U$17</f>
        <v>-2.0414505485174543</v>
      </c>
      <c r="L19" s="7">
        <f>SUM(D19,I19)</f>
        <v>0.40150022863601276</v>
      </c>
      <c r="M19" s="7">
        <f>SUM(E19,J19)</f>
        <v>0.36244708277516979</v>
      </c>
      <c r="N19" s="7">
        <f>SUM(F19,K19)</f>
        <v>0.23660111600028921</v>
      </c>
      <c r="O19" s="17">
        <v>0.39651123517081099</v>
      </c>
      <c r="P19" s="17">
        <v>0.47372642816447597</v>
      </c>
      <c r="Q19" s="17">
        <v>0.13353312106332502</v>
      </c>
      <c r="R19" s="18">
        <f>SUM((L19-O19)^2, (M19-P19)^2, (N19-Q19)^2)/60</f>
        <v>3.8384990577323996E-4</v>
      </c>
      <c r="V19">
        <v>0.44557095497160165</v>
      </c>
    </row>
    <row r="20" spans="1:32">
      <c r="A20" s="6">
        <v>18</v>
      </c>
      <c r="B20" s="7">
        <f>$U$2*A20+$U$3</f>
        <v>-0.84895938226140277</v>
      </c>
      <c r="C20" s="7">
        <f>1/(1+EXP(-B20))</f>
        <v>0.29965119639562571</v>
      </c>
      <c r="D20" s="7">
        <f>$U$4*C20+$U$5</f>
        <v>1.3960341259048108</v>
      </c>
      <c r="E20" s="7">
        <f>$U$6*C20+$U$7</f>
        <v>2.3219941203155066</v>
      </c>
      <c r="F20" s="7">
        <f>$U$6*C20+$U$7</f>
        <v>2.3219941203155066</v>
      </c>
      <c r="G20" s="7">
        <f>$U$10*A20+$U$11</f>
        <v>-1.9427068712636024</v>
      </c>
      <c r="H20" s="7">
        <f>TANH(G20)</f>
        <v>-0.95974808922014876</v>
      </c>
      <c r="I20" s="7">
        <f>$U$12*H20+$U$13</f>
        <v>-1.0821587938835431</v>
      </c>
      <c r="J20" s="7">
        <f>$U$14*H20+$U$15</f>
        <v>-1.9176958746520734</v>
      </c>
      <c r="K20" s="7">
        <f>$U$16*H20+$U$17</f>
        <v>-2.0392935111225614</v>
      </c>
      <c r="L20" s="7">
        <f>SUM(D20,I20)</f>
        <v>0.31387533202126772</v>
      </c>
      <c r="M20" s="7">
        <f>SUM(E20,J20)</f>
        <v>0.4042982456634332</v>
      </c>
      <c r="N20" s="7">
        <f>SUM(F20,K20)</f>
        <v>0.28270060919294515</v>
      </c>
      <c r="O20" s="17">
        <v>0.31251275507811599</v>
      </c>
      <c r="P20" s="17">
        <v>0.52750319456345507</v>
      </c>
      <c r="Q20" s="17">
        <v>0.171732007304878</v>
      </c>
      <c r="R20" s="18">
        <f>SUM((L20-O20)^2, (M20-P20)^2, (N20-Q20)^2)/60</f>
        <v>4.5825577757292247E-4</v>
      </c>
    </row>
    <row r="21" spans="1:32">
      <c r="A21" s="6">
        <v>19</v>
      </c>
      <c r="B21" s="7">
        <f>$U$2*A21+$U$3</f>
        <v>-1.2439027942879477</v>
      </c>
      <c r="C21" s="7">
        <f>1/(1+EXP(-B21))</f>
        <v>0.22375737857868011</v>
      </c>
      <c r="D21" s="7">
        <f>$U$4*C21+$U$5</f>
        <v>1.3211711532727379</v>
      </c>
      <c r="E21" s="7">
        <f>$U$6*C21+$U$7</f>
        <v>2.3595689571578689</v>
      </c>
      <c r="F21" s="7">
        <f>$U$6*C21+$U$7</f>
        <v>2.3595689571578689</v>
      </c>
      <c r="G21" s="7">
        <f>$U$10*A21+$U$11</f>
        <v>-1.8170063013839868</v>
      </c>
      <c r="H21" s="7">
        <f>TANH(G21)</f>
        <v>-0.94853908533425069</v>
      </c>
      <c r="I21" s="7">
        <f>$U$12*H21+$U$13</f>
        <v>-1.0822545962737391</v>
      </c>
      <c r="J21" s="7">
        <f>$U$14*H21+$U$15</f>
        <v>-1.9203575713292109</v>
      </c>
      <c r="K21" s="7">
        <f>$U$16*H21+$U$17</f>
        <v>-2.03654813803763</v>
      </c>
      <c r="L21" s="7">
        <f>SUM(D21,I21)</f>
        <v>0.23891655699899883</v>
      </c>
      <c r="M21" s="7">
        <f>SUM(E21,J21)</f>
        <v>0.43921138582865793</v>
      </c>
      <c r="N21" s="7">
        <f>SUM(F21,K21)</f>
        <v>0.32302081912023883</v>
      </c>
      <c r="O21" s="17">
        <v>0.23552071001902899</v>
      </c>
      <c r="P21" s="17">
        <v>0.55793614971574401</v>
      </c>
      <c r="Q21" s="17">
        <v>0.208737490794312</v>
      </c>
      <c r="R21" s="18">
        <f>SUM((L21-O21)^2, (M21-P21)^2, (N21-Q21)^2)/60</f>
        <v>4.5279634116678834E-4</v>
      </c>
    </row>
    <row r="22" spans="1:32">
      <c r="A22" s="6">
        <v>20</v>
      </c>
      <c r="B22" s="7">
        <f>$U$2*A22+$U$3</f>
        <v>-1.6388462063144935</v>
      </c>
      <c r="C22" s="7">
        <f>1/(1+EXP(-B22))</f>
        <v>0.16262212062719145</v>
      </c>
      <c r="D22" s="7">
        <f>$U$4*C22+$U$5</f>
        <v>1.2608662789822378</v>
      </c>
      <c r="E22" s="7">
        <f>$U$6*C22+$U$7</f>
        <v>2.3898368684175657</v>
      </c>
      <c r="F22" s="7">
        <f>$U$6*C22+$U$7</f>
        <v>2.3898368684175657</v>
      </c>
      <c r="G22" s="7">
        <f>$U$10*A22+$U$11</f>
        <v>-1.6913057315043711</v>
      </c>
      <c r="H22" s="7">
        <f>TANH(G22)</f>
        <v>-0.93431331740307377</v>
      </c>
      <c r="I22" s="7">
        <f>$U$12*H22+$U$13</f>
        <v>-1.0823761826862388</v>
      </c>
      <c r="J22" s="7">
        <f>$U$14*H22+$U$15</f>
        <v>-1.9237356305767219</v>
      </c>
      <c r="K22" s="7">
        <f>$U$16*H22+$U$17</f>
        <v>-2.0330638819174345</v>
      </c>
      <c r="L22" s="7">
        <f>SUM(D22,I22)</f>
        <v>0.17849009629599899</v>
      </c>
      <c r="M22" s="7">
        <f>SUM(E22,J22)</f>
        <v>0.46610123784084379</v>
      </c>
      <c r="N22" s="7">
        <f>SUM(F22,K22)</f>
        <v>0.35677298650013123</v>
      </c>
      <c r="O22" s="17">
        <v>0.188024971201353</v>
      </c>
      <c r="P22" s="17">
        <v>0.5772776209197521</v>
      </c>
      <c r="Q22" s="17">
        <v>0.245867937524964</v>
      </c>
      <c r="R22" s="18">
        <f>SUM((L22-O22)^2, (M22-P22)^2, (N22-Q22)^2)/60</f>
        <v>4.1251719803588602E-4</v>
      </c>
    </row>
    <row r="23" spans="1:32">
      <c r="A23" s="6">
        <v>21</v>
      </c>
      <c r="B23" s="7">
        <f>$U$2*A23+$U$3</f>
        <v>-2.0337896183410393</v>
      </c>
      <c r="C23" s="7">
        <f>1/(1+EXP(-B23))</f>
        <v>0.11570062606203672</v>
      </c>
      <c r="D23" s="7">
        <f>$U$4*C23+$U$5</f>
        <v>1.214582106377301</v>
      </c>
      <c r="E23" s="7">
        <f>$U$6*C23+$U$7</f>
        <v>2.4130675814505818</v>
      </c>
      <c r="F23" s="7">
        <f>$U$6*C23+$U$7</f>
        <v>2.4130675814505818</v>
      </c>
      <c r="G23" s="7">
        <f>$U$10*A23+$U$11</f>
        <v>-1.5656051616247555</v>
      </c>
      <c r="H23" s="7">
        <f>TANH(G23)</f>
        <v>-0.91632387771237045</v>
      </c>
      <c r="I23" s="7">
        <f>$U$12*H23+$U$13</f>
        <v>-1.0825299368769055</v>
      </c>
      <c r="J23" s="7">
        <f>$U$14*H23+$U$15</f>
        <v>-1.9280074135411791</v>
      </c>
      <c r="K23" s="7">
        <f>$U$16*H23+$U$17</f>
        <v>-2.0286578058697682</v>
      </c>
      <c r="L23" s="7">
        <f>SUM(D23,I23)</f>
        <v>0.13205216950039556</v>
      </c>
      <c r="M23" s="7">
        <f>SUM(E23,J23)</f>
        <v>0.48506016790940265</v>
      </c>
      <c r="N23" s="7">
        <f>SUM(F23,K23)</f>
        <v>0.38440977558081357</v>
      </c>
      <c r="O23" s="17">
        <v>0.137907399961987</v>
      </c>
      <c r="P23" s="17">
        <v>0.57947852857229998</v>
      </c>
      <c r="Q23" s="17">
        <v>0.28965693379235602</v>
      </c>
      <c r="R23" s="18">
        <f>SUM((L23-O23)^2, (M23-P23)^2, (N23-Q23)^2)/60</f>
        <v>2.9878685968359622E-4</v>
      </c>
    </row>
    <row r="24" spans="1:32">
      <c r="A24" s="6">
        <v>22</v>
      </c>
      <c r="B24" s="7">
        <f>$U$2*A24+$U$3</f>
        <v>-2.4287330303675834</v>
      </c>
      <c r="C24" s="7">
        <f>1/(1+EXP(-B24))</f>
        <v>8.100773732679234E-2</v>
      </c>
      <c r="D24" s="7">
        <f>$U$4*C24+$U$5</f>
        <v>1.1803604417592608</v>
      </c>
      <c r="E24" s="7">
        <f>$U$6*C24+$U$7</f>
        <v>2.4302439427315656</v>
      </c>
      <c r="F24" s="7">
        <f>$U$6*C24+$U$7</f>
        <v>2.4302439427315656</v>
      </c>
      <c r="G24" s="7">
        <f>$U$10*A24+$U$11</f>
        <v>-1.4399045917451399</v>
      </c>
      <c r="H24" s="7">
        <f>TANH(G24)</f>
        <v>-0.89367851946729571</v>
      </c>
      <c r="I24" s="7">
        <f>$U$12*H24+$U$13</f>
        <v>-1.0827234848021992</v>
      </c>
      <c r="J24" s="7">
        <f>$U$14*H24+$U$15</f>
        <v>-1.9333847936729978</v>
      </c>
      <c r="K24" s="7">
        <f>$U$16*H24+$U$17</f>
        <v>-2.0231113757268653</v>
      </c>
      <c r="L24" s="7">
        <f>SUM(D24,I24)</f>
        <v>9.7636956957061649E-2</v>
      </c>
      <c r="M24" s="7">
        <f>SUM(E24,J24)</f>
        <v>0.49685914905856787</v>
      </c>
      <c r="N24" s="7">
        <f>SUM(F24,K24)</f>
        <v>0.40713256700470035</v>
      </c>
      <c r="O24" s="17">
        <v>9.9076317792327895E-2</v>
      </c>
      <c r="P24" s="17">
        <v>0.57261055388682602</v>
      </c>
      <c r="Q24" s="17">
        <v>0.33141838551950203</v>
      </c>
      <c r="R24" s="18">
        <f>SUM((L24-O24)^2, (M24-P24)^2, (N24-Q24)^2)/60</f>
        <v>1.912164061840383E-4</v>
      </c>
      <c r="AF24" s="4"/>
    </row>
    <row r="25" spans="1:32">
      <c r="A25" s="6">
        <v>23</v>
      </c>
      <c r="B25" s="7">
        <f>$U$2*A25+$U$3</f>
        <v>-2.8236764423941292</v>
      </c>
      <c r="C25" s="7">
        <f>1/(1+EXP(-B25))</f>
        <v>5.6058074724511055E-2</v>
      </c>
      <c r="D25" s="7">
        <f>$U$4*C25+$U$5</f>
        <v>1.1557496636708642</v>
      </c>
      <c r="E25" s="7">
        <f>$U$6*C25+$U$7</f>
        <v>2.442596457449087</v>
      </c>
      <c r="F25" s="7">
        <f>$U$6*C25+$U$7</f>
        <v>2.442596457449087</v>
      </c>
      <c r="G25" s="7">
        <f>$U$10*A25+$U$11</f>
        <v>-1.3142040218655242</v>
      </c>
      <c r="H25" s="7">
        <f>TANH(G25)</f>
        <v>-0.86533529089617589</v>
      </c>
      <c r="I25" s="7">
        <f>$U$12*H25+$U$13</f>
        <v>-1.0829657319341144</v>
      </c>
      <c r="J25" s="7">
        <f>$U$14*H25+$U$15</f>
        <v>-1.9401151934547318</v>
      </c>
      <c r="K25" s="7">
        <f>$U$16*H25+$U$17</f>
        <v>-2.0161693907252269</v>
      </c>
      <c r="L25" s="7">
        <f>SUM(D25,I25)</f>
        <v>7.2783931736749796E-2</v>
      </c>
      <c r="M25" s="7">
        <f>SUM(E25,J25)</f>
        <v>0.50248126399435522</v>
      </c>
      <c r="N25" s="7">
        <f>SUM(F25,K25)</f>
        <v>0.4264270667238601</v>
      </c>
      <c r="O25" s="17">
        <v>7.6771548896384309E-2</v>
      </c>
      <c r="P25" s="17">
        <v>0.554625055849157</v>
      </c>
      <c r="Q25" s="17">
        <v>0.37486334043008496</v>
      </c>
      <c r="R25" s="18">
        <f>SUM((L25-O25)^2, (M25-P25)^2, (N25-Q25)^2)/60</f>
        <v>8.989489981513438E-5</v>
      </c>
      <c r="AC25" t="s">
        <v>71</v>
      </c>
      <c r="AD25">
        <v>0.5</v>
      </c>
      <c r="AE25">
        <v>0.44557095497160165</v>
      </c>
      <c r="AF25" s="4">
        <f>ABS(AE25-AD25)/AD25</f>
        <v>0.1088580900567967</v>
      </c>
    </row>
    <row r="26" spans="1:32">
      <c r="A26" s="6">
        <v>24</v>
      </c>
      <c r="B26" s="7">
        <f>$U$2*A26+$U$3</f>
        <v>-3.218619854420675</v>
      </c>
      <c r="C26" s="7">
        <f>1/(1+EXP(-B26))</f>
        <v>3.8471005942681304E-2</v>
      </c>
      <c r="D26" s="7">
        <f>$U$4*C26+$U$5</f>
        <v>1.1384014752839238</v>
      </c>
      <c r="E26" s="7">
        <f>$U$6*C26+$U$7</f>
        <v>2.4513037706271716</v>
      </c>
      <c r="F26" s="7">
        <f>$U$6*C26+$U$7</f>
        <v>2.4513037706271716</v>
      </c>
      <c r="G26" s="7">
        <f>$U$10*A26+$U$11</f>
        <v>-1.1885034519859081</v>
      </c>
      <c r="H26" s="7">
        <f>TANH(G26)</f>
        <v>-0.83011415372427555</v>
      </c>
      <c r="I26" s="7">
        <f>$U$12*H26+$U$13</f>
        <v>-1.0832667639580873</v>
      </c>
      <c r="J26" s="7">
        <f>$U$14*H26+$U$15</f>
        <v>-1.9484788254714358</v>
      </c>
      <c r="K26" s="7">
        <f>$U$16*H26+$U$17</f>
        <v>-2.0075428291683997</v>
      </c>
      <c r="L26" s="7">
        <f>SUM(D26,I26)</f>
        <v>5.5134711325836472E-2</v>
      </c>
      <c r="M26" s="7">
        <f>SUM(E26,J26)</f>
        <v>0.50282494515573584</v>
      </c>
      <c r="N26" s="7">
        <f>SUM(F26,K26)</f>
        <v>0.44376094145877198</v>
      </c>
      <c r="O26" s="17">
        <v>5.50331848909218E-2</v>
      </c>
      <c r="P26" s="17">
        <v>0.53385373128166391</v>
      </c>
      <c r="Q26" s="17">
        <v>0.41205954274061996</v>
      </c>
      <c r="R26" s="18">
        <f>SUM((L26-O26)^2, (M26-P26)^2, (N26-Q26)^2)/60</f>
        <v>3.2796242612547073E-5</v>
      </c>
    </row>
    <row r="27" spans="1:32">
      <c r="A27" s="6">
        <v>25</v>
      </c>
      <c r="B27" s="7">
        <f>$U$2*A27+$U$3</f>
        <v>-3.6135632664472208</v>
      </c>
      <c r="C27" s="7">
        <f>1/(1+EXP(-B27))</f>
        <v>2.624809173135766E-2</v>
      </c>
      <c r="D27" s="7">
        <f>$U$4*C27+$U$5</f>
        <v>1.1263445816078992</v>
      </c>
      <c r="E27" s="7">
        <f>$U$6*C27+$U$7</f>
        <v>2.4573553044732677</v>
      </c>
      <c r="F27" s="7">
        <f>$U$6*C27+$U$7</f>
        <v>2.4573553044732677</v>
      </c>
      <c r="G27" s="7">
        <f>$U$10*A27+$U$11</f>
        <v>-1.0628028821062925</v>
      </c>
      <c r="H27" s="7">
        <f>TANH(G27)</f>
        <v>-0.78673425260229779</v>
      </c>
      <c r="I27" s="7">
        <f>$U$12*H27+$U$13</f>
        <v>-1.0836375282344011</v>
      </c>
      <c r="J27" s="7">
        <f>$U$14*H27+$U$15</f>
        <v>-1.9587798423901819</v>
      </c>
      <c r="K27" s="7">
        <f>$U$16*H27+$U$17</f>
        <v>-1.996917976667715</v>
      </c>
      <c r="L27" s="7">
        <f>SUM(D27,I27)</f>
        <v>4.2707053373498116E-2</v>
      </c>
      <c r="M27" s="7">
        <f>SUM(E27,J27)</f>
        <v>0.49857546208308579</v>
      </c>
      <c r="N27" s="7">
        <f>SUM(F27,K27)</f>
        <v>0.46043732780555269</v>
      </c>
      <c r="O27" s="17">
        <v>4.1882891498532304E-2</v>
      </c>
      <c r="P27" s="17">
        <v>0.51004856673586696</v>
      </c>
      <c r="Q27" s="17">
        <v>0.44388223355148898</v>
      </c>
      <c r="R27" s="18">
        <f>SUM((L27-O27)^2, (M27-P27)^2, (N27-Q27)^2)/60</f>
        <v>6.7730419821791553E-6</v>
      </c>
    </row>
    <row r="28" spans="1:32">
      <c r="A28" s="6">
        <v>26</v>
      </c>
      <c r="B28" s="7">
        <f>$U$2*A28+$U$3</f>
        <v>-4.0085066784737666</v>
      </c>
      <c r="C28" s="7">
        <f>1/(1+EXP(-B28))</f>
        <v>1.7836573461689282E-2</v>
      </c>
      <c r="D28" s="7">
        <f>$U$4*C28+$U$5</f>
        <v>1.1180473147141026</v>
      </c>
      <c r="E28" s="7">
        <f>$U$6*C28+$U$7</f>
        <v>2.4615198258489306</v>
      </c>
      <c r="F28" s="7">
        <f>$U$6*C28+$U$7</f>
        <v>2.4615198258489306</v>
      </c>
      <c r="G28" s="7">
        <f>$U$10*A28+$U$11</f>
        <v>-0.93710231222667684</v>
      </c>
      <c r="H28" s="7">
        <f>TANH(G28)</f>
        <v>-0.73388807671756251</v>
      </c>
      <c r="I28" s="7">
        <f>$U$12*H28+$U$13</f>
        <v>-1.0840891999452877</v>
      </c>
      <c r="J28" s="7">
        <f>$U$14*H28+$U$15</f>
        <v>-1.9713287265001067</v>
      </c>
      <c r="K28" s="7">
        <f>$U$16*H28+$U$17</f>
        <v>-1.9839745902265671</v>
      </c>
      <c r="L28" s="7">
        <f>SUM(D28,I28)</f>
        <v>3.3958114768814829E-2</v>
      </c>
      <c r="M28" s="7">
        <f>SUM(E28,J28)</f>
        <v>0.49019109934882388</v>
      </c>
      <c r="N28" s="7">
        <f>SUM(F28,K28)</f>
        <v>0.47754523562236351</v>
      </c>
      <c r="O28" s="17">
        <v>2.6899076645389701E-2</v>
      </c>
      <c r="P28" s="17">
        <v>0.48054748715594703</v>
      </c>
      <c r="Q28" s="17">
        <v>0.487722954635535</v>
      </c>
      <c r="R28" s="18">
        <f>SUM((L28-O28)^2, (M28-P28)^2, (N28-Q28)^2)/60</f>
        <v>4.1069206610940815E-6</v>
      </c>
    </row>
    <row r="29" spans="1:32">
      <c r="A29" s="6">
        <v>27</v>
      </c>
      <c r="B29" s="7">
        <f>$U$2*A29+$U$3</f>
        <v>-4.4034500905003107</v>
      </c>
      <c r="C29" s="7">
        <f>1/(1+EXP(-B29))</f>
        <v>1.2087167792504815E-2</v>
      </c>
      <c r="D29" s="7">
        <f>$U$4*C29+$U$5</f>
        <v>1.1123760016659041</v>
      </c>
      <c r="E29" s="7">
        <f>$U$6*C29+$U$7</f>
        <v>2.4643663420234261</v>
      </c>
      <c r="F29" s="7">
        <f>$U$6*C29+$U$7</f>
        <v>2.4643663420234261</v>
      </c>
      <c r="G29" s="7">
        <f>$U$10*A29+$U$11</f>
        <v>-0.81140174234706119</v>
      </c>
      <c r="H29" s="7">
        <f>TANH(G29)</f>
        <v>-0.67036280361011091</v>
      </c>
      <c r="I29" s="7">
        <f>$U$12*H29+$U$13</f>
        <v>-1.0846321449797887</v>
      </c>
      <c r="J29" s="7">
        <f>$U$14*H29+$U$15</f>
        <v>-1.9864134753382341</v>
      </c>
      <c r="K29" s="7">
        <f>$U$16*H29+$U$17</f>
        <v>-1.9684156184591</v>
      </c>
      <c r="L29" s="7">
        <f>SUM(D29,I29)</f>
        <v>2.7743856686115453E-2</v>
      </c>
      <c r="M29" s="7">
        <f>SUM(E29,J29)</f>
        <v>0.47795286668519199</v>
      </c>
      <c r="N29" s="7">
        <f>SUM(F29,K29)</f>
        <v>0.49595072356432612</v>
      </c>
      <c r="O29" s="17">
        <v>2.8643066551244298E-2</v>
      </c>
      <c r="P29" s="17">
        <v>0.45621581041098197</v>
      </c>
      <c r="Q29" s="17">
        <v>0.51359201939365806</v>
      </c>
      <c r="R29" s="18">
        <f>SUM((L29-O29)^2, (M29-P29)^2, (N29-Q29)^2)/60</f>
        <v>1.307539187312871E-5</v>
      </c>
    </row>
    <row r="30" spans="1:32">
      <c r="A30" s="6">
        <v>28</v>
      </c>
      <c r="B30" s="7">
        <f>$U$2*A30+$U$3</f>
        <v>-4.7983935025268565</v>
      </c>
      <c r="C30" s="7">
        <f>1/(1+EXP(-B30))</f>
        <v>8.1755875479897749E-3</v>
      </c>
      <c r="D30" s="7">
        <f>$U$4*C30+$U$5</f>
        <v>1.1085175513570846</v>
      </c>
      <c r="E30" s="7">
        <f>$U$6*C30+$U$7</f>
        <v>2.4663029554882798</v>
      </c>
      <c r="F30" s="7">
        <f>$U$6*C30+$U$7</f>
        <v>2.4663029554882798</v>
      </c>
      <c r="G30" s="7">
        <f>$U$10*A30+$U$11</f>
        <v>-0.68570117246744555</v>
      </c>
      <c r="H30" s="7">
        <f>TANH(G30)</f>
        <v>-0.59521325801256497</v>
      </c>
      <c r="I30" s="7">
        <f>$U$12*H30+$U$13</f>
        <v>-1.0852744416694571</v>
      </c>
      <c r="J30" s="7">
        <f>$U$14*H30+$U$15</f>
        <v>-2.0042585307812999</v>
      </c>
      <c r="K30" s="7">
        <f>$U$16*H30+$U$17</f>
        <v>-1.9500095636545429</v>
      </c>
      <c r="L30" s="7">
        <f>SUM(D30,I30)</f>
        <v>2.324310968762755E-2</v>
      </c>
      <c r="M30" s="7">
        <f>SUM(E30,J30)</f>
        <v>0.46204442470697993</v>
      </c>
      <c r="N30" s="7">
        <f>SUM(F30,K30)</f>
        <v>0.5162933918337369</v>
      </c>
      <c r="O30" s="17">
        <v>1.8585382566350301E-2</v>
      </c>
      <c r="P30" s="17">
        <v>0.43462182741029998</v>
      </c>
      <c r="Q30" s="17">
        <v>0.547713142498501</v>
      </c>
      <c r="R30" s="18">
        <f>SUM((L30-O30)^2, (M30-P30)^2, (N30-Q30)^2)/60</f>
        <v>2.9348233271135072E-5</v>
      </c>
    </row>
    <row r="31" spans="1:32">
      <c r="A31" s="6">
        <v>29</v>
      </c>
      <c r="B31" s="7">
        <f>$U$2*A31+$U$3</f>
        <v>-5.1933369145534023</v>
      </c>
      <c r="C31" s="7">
        <f>1/(1+EXP(-B31))</f>
        <v>5.5227740727003902E-3</v>
      </c>
      <c r="D31" s="7">
        <f>$U$4*C31+$U$5</f>
        <v>1.1059007703291808</v>
      </c>
      <c r="E31" s="7">
        <f>$U$6*C31+$U$7</f>
        <v>2.4676163567161327</v>
      </c>
      <c r="F31" s="7">
        <f>$U$6*C31+$U$7</f>
        <v>2.4676163567161327</v>
      </c>
      <c r="G31" s="7">
        <f>$U$10*A31+$U$11</f>
        <v>-0.56000060258782991</v>
      </c>
      <c r="H31" s="7">
        <f>TANH(G31)</f>
        <v>-0.50797787999317934</v>
      </c>
      <c r="I31" s="7">
        <f>$U$12*H31+$U$13</f>
        <v>-1.0860200349272511</v>
      </c>
      <c r="J31" s="7">
        <f>$U$14*H31+$U$15</f>
        <v>-2.0249734951230618</v>
      </c>
      <c r="K31" s="7">
        <f>$U$16*H31+$U$17</f>
        <v>-1.9286433779250911</v>
      </c>
      <c r="L31" s="7">
        <f>SUM(D31,I31)</f>
        <v>1.9880735401929694E-2</v>
      </c>
      <c r="M31" s="7">
        <f>SUM(E31,J31)</f>
        <v>0.44264286159307087</v>
      </c>
      <c r="N31" s="7">
        <f>SUM(F31,K31)</f>
        <v>0.53897297879104156</v>
      </c>
      <c r="O31" s="17">
        <v>1.6441050975567299E-2</v>
      </c>
      <c r="P31" s="17">
        <v>0.40770546813070097</v>
      </c>
      <c r="Q31" s="17">
        <v>0.57331041777418701</v>
      </c>
      <c r="R31" s="18">
        <f>SUM((L31-O31)^2, (M31-P31)^2, (N31-Q31)^2)/60</f>
        <v>4.0191876780310737E-5</v>
      </c>
    </row>
    <row r="32" spans="1:32">
      <c r="A32" s="6">
        <v>30</v>
      </c>
      <c r="B32" s="7">
        <f>$U$2*A32+$U$3</f>
        <v>-5.5882803265799463</v>
      </c>
      <c r="C32" s="7">
        <f>1/(1+EXP(-B32))</f>
        <v>3.727510102154984E-3</v>
      </c>
      <c r="D32" s="7">
        <f>$U$4*C32+$U$5</f>
        <v>1.1041298909432147</v>
      </c>
      <c r="E32" s="7">
        <f>$U$6*C32+$U$7</f>
        <v>2.4685051873577128</v>
      </c>
      <c r="F32" s="7">
        <f>$U$6*C32+$U$7</f>
        <v>2.4685051873577128</v>
      </c>
      <c r="G32" s="7">
        <f>$U$10*A32+$U$11</f>
        <v>-0.43430003270821427</v>
      </c>
      <c r="H32" s="7">
        <f>TANH(G32)</f>
        <v>-0.4089086345200682</v>
      </c>
      <c r="I32" s="7">
        <f>$U$12*H32+$U$13</f>
        <v>-1.0868667712303033</v>
      </c>
      <c r="J32" s="7">
        <f>$U$14*H32+$U$15</f>
        <v>-2.0484985366135069</v>
      </c>
      <c r="K32" s="7">
        <f>$U$16*H32+$U$17</f>
        <v>-1.9043787739660787</v>
      </c>
      <c r="L32" s="7">
        <f>SUM(D32,I32)</f>
        <v>1.726311971291139E-2</v>
      </c>
      <c r="M32" s="7">
        <f>SUM(E32,J32)</f>
        <v>0.42000665074420596</v>
      </c>
      <c r="N32" s="7">
        <f>SUM(F32,K32)</f>
        <v>0.56412641339163416</v>
      </c>
      <c r="O32" s="17">
        <v>1.6927265894710001E-2</v>
      </c>
      <c r="P32" s="17">
        <v>0.38076372682378795</v>
      </c>
      <c r="Q32" s="17">
        <v>0.602138744531867</v>
      </c>
      <c r="R32" s="18">
        <f>SUM((L32-O32)^2, (M32-P32)^2, (N32-Q32)^2)/60</f>
        <v>4.9750953238760519E-5</v>
      </c>
    </row>
    <row r="33" spans="1:18">
      <c r="A33" s="6">
        <v>31</v>
      </c>
      <c r="B33" s="7">
        <f>$U$2*A33+$U$3</f>
        <v>-5.9832237386064921</v>
      </c>
      <c r="C33" s="7">
        <f>1/(1+EXP(-B33))</f>
        <v>2.5143492557312122E-3</v>
      </c>
      <c r="D33" s="7">
        <f>$U$4*C33+$U$5</f>
        <v>1.1029332081321959</v>
      </c>
      <c r="E33" s="7">
        <f>$U$6*C33+$U$7</f>
        <v>2.4691058202179264</v>
      </c>
      <c r="F33" s="7">
        <f>$U$6*C33+$U$7</f>
        <v>2.4691058202179264</v>
      </c>
      <c r="G33" s="7">
        <f>$U$10*A33+$U$11</f>
        <v>-0.30859946282859863</v>
      </c>
      <c r="H33" s="7">
        <f>TANH(G33)</f>
        <v>-0.29916244038359219</v>
      </c>
      <c r="I33" s="7">
        <f>$U$12*H33+$U$13</f>
        <v>-1.0878047624934182</v>
      </c>
      <c r="J33" s="7">
        <f>$U$14*H33+$U$15</f>
        <v>-2.0745589326339831</v>
      </c>
      <c r="K33" s="7">
        <f>$U$16*H33+$U$17</f>
        <v>-1.8774991109181427</v>
      </c>
      <c r="L33" s="7">
        <f>SUM(D33,I33)</f>
        <v>1.5128445638777688E-2</v>
      </c>
      <c r="M33" s="7">
        <f>SUM(E33,J33)</f>
        <v>0.3945468875839433</v>
      </c>
      <c r="N33" s="7">
        <f>SUM(F33,K33)</f>
        <v>0.59160670929978365</v>
      </c>
      <c r="O33" s="17">
        <v>5.5360201456173194E-3</v>
      </c>
      <c r="P33" s="17">
        <v>0.35516465630493699</v>
      </c>
      <c r="Q33" s="17">
        <v>0.624921752972462</v>
      </c>
      <c r="R33" s="18">
        <f>SUM((L33-O33)^2, (M33-P33)^2, (N33-Q33)^2)/60</f>
        <v>4.5881115037790685E-5</v>
      </c>
    </row>
    <row r="34" spans="1:18">
      <c r="A34" s="6">
        <v>32</v>
      </c>
      <c r="B34" s="7">
        <f>$U$2*A34+$U$3</f>
        <v>-6.378167150633038</v>
      </c>
      <c r="C34" s="7">
        <f>1/(1+EXP(-B34))</f>
        <v>1.695353605696701E-3</v>
      </c>
      <c r="D34" s="7">
        <f>$U$4*C34+$U$5</f>
        <v>1.1021253366783945</v>
      </c>
      <c r="E34" s="7">
        <f>$U$6*C34+$U$7</f>
        <v>2.4695113028884501</v>
      </c>
      <c r="F34" s="7">
        <f>$U$6*C34+$U$7</f>
        <v>2.4695113028884501</v>
      </c>
      <c r="G34" s="7">
        <f>$U$10*A34+$U$11</f>
        <v>-0.18289889294898298</v>
      </c>
      <c r="H34" s="7">
        <f>TANH(G34)</f>
        <v>-0.18088637290160969</v>
      </c>
      <c r="I34" s="7">
        <f>$U$12*H34+$U$13</f>
        <v>-1.0888156578488939</v>
      </c>
      <c r="J34" s="7">
        <f>$U$14*H34+$U$15</f>
        <v>-2.1026448374125306</v>
      </c>
      <c r="K34" s="7">
        <f>$U$16*H34+$U$17</f>
        <v>-1.8485302626991595</v>
      </c>
      <c r="L34" s="7">
        <f>SUM(D34,I34)</f>
        <v>1.3309678829500626E-2</v>
      </c>
      <c r="M34" s="7">
        <f>SUM(E34,J34)</f>
        <v>0.3668664654759195</v>
      </c>
      <c r="N34" s="7">
        <f>SUM(F34,K34)</f>
        <v>0.62098104018929057</v>
      </c>
      <c r="O34" s="17">
        <v>5.5516744239331806E-3</v>
      </c>
      <c r="P34" s="17">
        <v>0.33275256354035898</v>
      </c>
      <c r="Q34" s="17">
        <v>0.65513191440359508</v>
      </c>
      <c r="R34" s="18">
        <f>SUM((L34-O34)^2, (M34-P34)^2, (N34-Q34)^2)/60</f>
        <v>3.9837119120451552E-5</v>
      </c>
    </row>
    <row r="35" spans="1:18">
      <c r="A35" s="6">
        <v>33</v>
      </c>
      <c r="B35" s="7">
        <f>$U$2*A35+$U$3</f>
        <v>-6.7731105626595838</v>
      </c>
      <c r="C35" s="7">
        <f>1/(1+EXP(-B35))</f>
        <v>1.1428226833707965E-3</v>
      </c>
      <c r="D35" s="7">
        <f>$U$4*C35+$U$5</f>
        <v>1.1015803106340303</v>
      </c>
      <c r="E35" s="7">
        <f>$U$6*C35+$U$7</f>
        <v>2.4697848595476608</v>
      </c>
      <c r="F35" s="7">
        <f>$U$6*C35+$U$7</f>
        <v>2.4697848595476608</v>
      </c>
      <c r="G35" s="7">
        <f>$U$10*A35+$U$11</f>
        <v>-5.7198323069367341E-2</v>
      </c>
      <c r="H35" s="7">
        <f>TANH(G35)</f>
        <v>-5.7136026996251886E-2</v>
      </c>
      <c r="I35" s="7">
        <f>$U$12*H35+$U$13</f>
        <v>-1.0898733413902686</v>
      </c>
      <c r="J35" s="7">
        <f>$U$14*H35+$U$15</f>
        <v>-2.1320306675758443</v>
      </c>
      <c r="K35" s="7">
        <f>$U$16*H35+$U$17</f>
        <v>-1.8182206230239557</v>
      </c>
      <c r="L35" s="7">
        <f>SUM(D35,I35)</f>
        <v>1.1706969243761689E-2</v>
      </c>
      <c r="M35" s="7">
        <f>SUM(E35,J35)</f>
        <v>0.33775419197181655</v>
      </c>
      <c r="N35" s="7">
        <f>SUM(F35,K35)</f>
        <v>0.6515642365237051</v>
      </c>
      <c r="O35" s="17">
        <v>1.2931474477337201E-2</v>
      </c>
      <c r="P35" s="17">
        <v>0.31162242112024097</v>
      </c>
      <c r="Q35" s="17">
        <v>0.68166378325101906</v>
      </c>
      <c r="R35" s="18">
        <f>SUM((L35-O35)^2, (M35-P35)^2, (N35-Q35)^2)/60</f>
        <v>2.6505859568267768E-5</v>
      </c>
    </row>
    <row r="36" spans="1:18">
      <c r="A36" s="6">
        <v>34</v>
      </c>
      <c r="B36" s="7">
        <f>$U$2*A36+$U$3</f>
        <v>-7.1680539746861296</v>
      </c>
      <c r="C36" s="7">
        <f>1/(1+EXP(-B36))</f>
        <v>7.7022760255027493E-4</v>
      </c>
      <c r="D36" s="7">
        <f>$U$4*C36+$U$5</f>
        <v>1.1012127764113406</v>
      </c>
      <c r="E36" s="7">
        <f>$U$6*C36+$U$7</f>
        <v>2.4699693304278041</v>
      </c>
      <c r="F36" s="7">
        <f>$U$6*C36+$U$7</f>
        <v>2.4699693304278041</v>
      </c>
      <c r="G36" s="7">
        <f>$U$10*A36+$U$11</f>
        <v>6.8502246810248302E-2</v>
      </c>
      <c r="H36" s="7">
        <f>TANH(G36)</f>
        <v>6.8395297301190872E-2</v>
      </c>
      <c r="I36" s="7">
        <f>$U$12*H36+$U$13</f>
        <v>-1.0909462468004718</v>
      </c>
      <c r="J36" s="7">
        <f>$U$14*H36+$U$15</f>
        <v>-2.1618394099190916</v>
      </c>
      <c r="K36" s="7">
        <f>$U$16*H36+$U$17</f>
        <v>-1.7874747759754432</v>
      </c>
      <c r="L36" s="7">
        <f>SUM(D36,I36)</f>
        <v>1.0266529610868824E-2</v>
      </c>
      <c r="M36" s="7">
        <f>SUM(E36,J36)</f>
        <v>0.30812992050871246</v>
      </c>
      <c r="N36" s="7">
        <f>SUM(F36,K36)</f>
        <v>0.68249455445236085</v>
      </c>
      <c r="O36" s="17">
        <v>8.6066661943624695E-3</v>
      </c>
      <c r="P36" s="17">
        <v>0.29035002727487702</v>
      </c>
      <c r="Q36" s="17">
        <v>0.69814062804294097</v>
      </c>
      <c r="R36" s="18">
        <f>SUM((L36-O36)^2, (M36-P36)^2, (N36-Q36)^2)/60</f>
        <v>9.3946561461648707E-6</v>
      </c>
    </row>
    <row r="37" spans="1:18">
      <c r="A37" s="6">
        <v>35</v>
      </c>
      <c r="B37" s="7">
        <f>$U$2*A37+$U$3</f>
        <v>-7.5629973867126736</v>
      </c>
      <c r="C37" s="7">
        <f>1/(1+EXP(-B37))</f>
        <v>5.1904676741521146E-4</v>
      </c>
      <c r="D37" s="7">
        <f>$U$4*C37+$U$5</f>
        <v>1.1009650072975008</v>
      </c>
      <c r="E37" s="7">
        <f>$U$6*C37+$U$7</f>
        <v>2.470093689422642</v>
      </c>
      <c r="F37" s="7">
        <f>$U$6*C37+$U$7</f>
        <v>2.470093689422642</v>
      </c>
      <c r="G37" s="7">
        <f>$U$10*A37+$U$11</f>
        <v>0.19420281668986394</v>
      </c>
      <c r="H37" s="7">
        <f>TANH(G37)</f>
        <v>0.19179765828961154</v>
      </c>
      <c r="I37" s="7">
        <f>$U$12*H37+$U$13</f>
        <v>-1.0920009561447517</v>
      </c>
      <c r="J37" s="7">
        <f>$U$14*H37+$U$15</f>
        <v>-2.1911426073786848</v>
      </c>
      <c r="K37" s="7">
        <f>$U$16*H37+$U$17</f>
        <v>-1.7572503667484263</v>
      </c>
      <c r="L37" s="7">
        <f>SUM(D37,I37)</f>
        <v>8.9640511527491196E-3</v>
      </c>
      <c r="M37" s="7">
        <f>SUM(E37,J37)</f>
        <v>0.27895108204395713</v>
      </c>
      <c r="N37" s="7">
        <f>SUM(F37,K37)</f>
        <v>0.71284332267421568</v>
      </c>
      <c r="O37" s="17">
        <v>7.3575980325581393E-3</v>
      </c>
      <c r="P37" s="17">
        <v>0.272509543831852</v>
      </c>
      <c r="Q37" s="17">
        <v>0.71941411557586699</v>
      </c>
      <c r="R37" s="18">
        <f>SUM((L37-O37)^2, (M37-P37)^2, (N37-Q37)^2)/60</f>
        <v>1.4541570920295513E-6</v>
      </c>
    </row>
    <row r="38" spans="1:18">
      <c r="A38" s="6">
        <v>36</v>
      </c>
      <c r="B38" s="7">
        <f>$U$2*A38+$U$3</f>
        <v>-7.9579407987392194</v>
      </c>
      <c r="C38" s="7">
        <f>1/(1+EXP(-B38))</f>
        <v>3.4975046657937612E-4</v>
      </c>
      <c r="D38" s="7">
        <f>$U$4*C38+$U$5</f>
        <v>1.100798010502495</v>
      </c>
      <c r="E38" s="7">
        <f>$U$6*C38+$U$7</f>
        <v>2.4701775075920911</v>
      </c>
      <c r="F38" s="7">
        <f>$U$6*C38+$U$7</f>
        <v>2.4701775075920911</v>
      </c>
      <c r="G38" s="7">
        <f>$U$10*A38+$U$11</f>
        <v>0.31990338656947959</v>
      </c>
      <c r="H38" s="7">
        <f>TANH(G38)</f>
        <v>0.30941956020865696</v>
      </c>
      <c r="I38" s="7">
        <f>$U$12*H38+$U$13</f>
        <v>-1.0930062604035384</v>
      </c>
      <c r="J38" s="7">
        <f>$U$14*H38+$U$15</f>
        <v>-2.2190731736166365</v>
      </c>
      <c r="K38" s="7">
        <f>$U$16*H38+$U$17</f>
        <v>-1.7284417404856363</v>
      </c>
      <c r="L38" s="7">
        <f>SUM(D38,I38)</f>
        <v>7.7917500989566069E-3</v>
      </c>
      <c r="M38" s="7">
        <f>SUM(E38,J38)</f>
        <v>0.25110433397545462</v>
      </c>
      <c r="N38" s="7">
        <f>SUM(F38,K38)</f>
        <v>0.74173576710645484</v>
      </c>
      <c r="O38" s="17">
        <v>2.8505374714209897E-3</v>
      </c>
      <c r="P38" s="17">
        <v>0.25622929206750999</v>
      </c>
      <c r="Q38" s="17">
        <v>0.73983758563310398</v>
      </c>
      <c r="R38" s="18">
        <f>SUM((L38-O38)^2, (M38-P38)^2, (N38-Q38)^2)/60</f>
        <v>9.0473117636022925E-7</v>
      </c>
    </row>
    <row r="39" spans="1:18">
      <c r="A39" s="6">
        <v>37</v>
      </c>
      <c r="B39" s="7">
        <f>$U$2*A39+$U$3</f>
        <v>-8.3528842107657653</v>
      </c>
      <c r="C39" s="7">
        <f>1/(1+EXP(-B39))</f>
        <v>2.3566013456343914E-4</v>
      </c>
      <c r="D39" s="7">
        <f>$U$4*C39+$U$5</f>
        <v>1.1006854698285775</v>
      </c>
      <c r="E39" s="7">
        <f>$U$6*C39+$U$7</f>
        <v>2.4702339934263011</v>
      </c>
      <c r="F39" s="7">
        <f>$U$6*C39+$U$7</f>
        <v>2.4702339934263011</v>
      </c>
      <c r="G39" s="7">
        <f>$U$10*A39+$U$11</f>
        <v>0.44560395644909523</v>
      </c>
      <c r="H39" s="7">
        <f>TANH(G39)</f>
        <v>0.41827876094954841</v>
      </c>
      <c r="I39" s="7">
        <f>$U$12*H39+$U$13</f>
        <v>-1.0939366706105444</v>
      </c>
      <c r="J39" s="7">
        <f>$U$14*H39+$U$15</f>
        <v>-2.2449229436619857</v>
      </c>
      <c r="K39" s="7">
        <f>$U$16*H39+$U$17</f>
        <v>-1.7017793249129924</v>
      </c>
      <c r="L39" s="7">
        <f>SUM(D39,I39)</f>
        <v>6.7487992180330636E-3</v>
      </c>
      <c r="M39" s="7">
        <f>SUM(E39,J39)</f>
        <v>0.22531104976431537</v>
      </c>
      <c r="N39" s="7">
        <f>SUM(F39,K39)</f>
        <v>0.76845466851330868</v>
      </c>
      <c r="O39" s="17">
        <v>-2.1838521820841201E-4</v>
      </c>
      <c r="P39" s="17">
        <v>0.23591031536785101</v>
      </c>
      <c r="Q39" s="17">
        <v>0.75684413386429605</v>
      </c>
      <c r="R39" s="18">
        <f>SUM((L39-O39)^2, (M39-P39)^2, (N39-Q39)^2)/60</f>
        <v>4.9281767523136962E-6</v>
      </c>
    </row>
    <row r="40" spans="1:18">
      <c r="A40" s="6">
        <v>38</v>
      </c>
      <c r="B40" s="7">
        <f>$U$2*A40+$U$3</f>
        <v>-8.7478276227923093</v>
      </c>
      <c r="C40" s="7">
        <f>1/(1+EXP(-B40))</f>
        <v>1.5878072174347563E-4</v>
      </c>
      <c r="D40" s="7">
        <f>$U$4*C40+$U$5</f>
        <v>1.1006096346480125</v>
      </c>
      <c r="E40" s="7">
        <f>$U$6*C40+$U$7</f>
        <v>2.4702720562287315</v>
      </c>
      <c r="F40" s="7">
        <f>$U$6*C40+$U$7</f>
        <v>2.4702720562287315</v>
      </c>
      <c r="G40" s="7">
        <f>$U$10*A40+$U$11</f>
        <v>0.57130452632871087</v>
      </c>
      <c r="H40" s="7">
        <f>TANH(G40)</f>
        <v>0.51631668421689714</v>
      </c>
      <c r="I40" s="7">
        <f>$U$12*H40+$U$13</f>
        <v>-1.0947745922915855</v>
      </c>
      <c r="J40" s="7">
        <f>$U$14*H40+$U$15</f>
        <v>-2.2682030867728713</v>
      </c>
      <c r="K40" s="7">
        <f>$U$16*H40+$U$17</f>
        <v>-1.6777673182636439</v>
      </c>
      <c r="L40" s="7">
        <f>SUM(D40,I40)</f>
        <v>5.835042356427067E-3</v>
      </c>
      <c r="M40" s="7">
        <f>SUM(E40,J40)</f>
        <v>0.20206896945586017</v>
      </c>
      <c r="N40" s="7">
        <f>SUM(F40,K40)</f>
        <v>0.79250473796508758</v>
      </c>
      <c r="O40" s="17">
        <v>8.2348707294253292E-3</v>
      </c>
      <c r="P40" s="17">
        <v>0.22078107592961702</v>
      </c>
      <c r="Q40" s="17">
        <v>0.7750441208199299</v>
      </c>
      <c r="R40" s="18">
        <f>SUM((L40-O40)^2, (M40-P40)^2, (N40-Q40)^2)/60</f>
        <v>1.1012920933247241E-5</v>
      </c>
    </row>
    <row r="41" spans="1:18">
      <c r="A41" s="6">
        <v>39</v>
      </c>
      <c r="B41" s="7">
        <f>$U$2*A41+$U$3</f>
        <v>-9.1427710348188551</v>
      </c>
      <c r="C41" s="7">
        <f>1/(1+EXP(-B41))</f>
        <v>1.069789983853182E-4</v>
      </c>
      <c r="D41" s="7">
        <f>$U$4*C41+$U$5</f>
        <v>1.1005585365334414</v>
      </c>
      <c r="E41" s="7">
        <f>$U$6*C41+$U$7</f>
        <v>2.4702977031306705</v>
      </c>
      <c r="F41" s="7">
        <f>$U$6*C41+$U$7</f>
        <v>2.4702977031306705</v>
      </c>
      <c r="G41" s="7">
        <f>$U$10*A41+$U$11</f>
        <v>0.69700509620832651</v>
      </c>
      <c r="H41" s="7">
        <f>TANH(G41)</f>
        <v>0.60246335175190391</v>
      </c>
      <c r="I41" s="7">
        <f>$U$12*H41+$U$13</f>
        <v>-1.0955108804346971</v>
      </c>
      <c r="J41" s="7">
        <f>$U$14*H41+$U$15</f>
        <v>-2.2886595252805684</v>
      </c>
      <c r="K41" s="7">
        <f>$U$16*H41+$U$17</f>
        <v>-1.656667785707973</v>
      </c>
      <c r="L41" s="7">
        <f>SUM(D41,I41)</f>
        <v>5.0476560987442465E-3</v>
      </c>
      <c r="M41" s="7">
        <f>SUM(E41,J41)</f>
        <v>0.18163817785010217</v>
      </c>
      <c r="N41" s="7">
        <f>SUM(F41,K41)</f>
        <v>0.81362991742269752</v>
      </c>
      <c r="O41" s="17">
        <v>3.9663387236011597E-3</v>
      </c>
      <c r="P41" s="17">
        <v>0.204823212440885</v>
      </c>
      <c r="Q41" s="17">
        <v>0.78395269848070492</v>
      </c>
      <c r="R41" s="18">
        <f>SUM((L41-O41)^2, (M41-P41)^2, (N41-Q41)^2)/60</f>
        <v>2.3657540006209122E-5</v>
      </c>
    </row>
    <row r="42" spans="1:18">
      <c r="A42" s="6">
        <v>40</v>
      </c>
      <c r="B42" s="7">
        <f>$U$2*A42+$U$3</f>
        <v>-9.5377144468454009</v>
      </c>
      <c r="C42" s="7">
        <f>1/(1+EXP(-B42))</f>
        <v>7.2076210061961307E-5</v>
      </c>
      <c r="D42" s="7">
        <f>$U$4*C42+$U$5</f>
        <v>1.1005241078202446</v>
      </c>
      <c r="E42" s="7">
        <f>$U$6*C42+$U$7</f>
        <v>2.4703149834127056</v>
      </c>
      <c r="F42" s="7">
        <f>$U$6*C42+$U$7</f>
        <v>2.4703149834127056</v>
      </c>
      <c r="G42" s="7">
        <f>$U$10*A42+$U$11</f>
        <v>0.82270566608794216</v>
      </c>
      <c r="H42" s="7">
        <f>TANH(G42)</f>
        <v>0.67653982809703717</v>
      </c>
      <c r="I42" s="7">
        <f>$U$12*H42+$U$13</f>
        <v>-1.0961440056939444</v>
      </c>
      <c r="J42" s="7">
        <f>$U$14*H42+$U$15</f>
        <v>-2.306249769065742</v>
      </c>
      <c r="K42" s="7">
        <f>$U$16*H42+$U$17</f>
        <v>-1.6385245531375618</v>
      </c>
      <c r="L42" s="7">
        <f>SUM(D42,I42)</f>
        <v>4.3801021263001338E-3</v>
      </c>
      <c r="M42" s="7">
        <f>SUM(E42,J42)</f>
        <v>0.16406521434696364</v>
      </c>
      <c r="N42" s="7">
        <f>SUM(F42,K42)</f>
        <v>0.83179043027514377</v>
      </c>
      <c r="O42" s="17">
        <v>7.9785242352294391E-3</v>
      </c>
      <c r="P42" s="17">
        <v>0.19286137258476199</v>
      </c>
      <c r="Q42" s="17">
        <v>0.80233719563429595</v>
      </c>
      <c r="R42" s="18">
        <f>SUM((L42-O42)^2, (M42-P42)^2, (N42-Q42)^2)/60</f>
        <v>2.8494340028986516E-5</v>
      </c>
    </row>
    <row r="43" spans="1:18">
      <c r="A43" s="6">
        <v>41</v>
      </c>
      <c r="B43" s="7">
        <f>$U$2*A43+$U$3</f>
        <v>-9.9326578588719467</v>
      </c>
      <c r="C43" s="7">
        <f>1/(1+EXP(-B43))</f>
        <v>4.8560193801802442E-5</v>
      </c>
      <c r="D43" s="7">
        <f>$U$4*C43+$U$5</f>
        <v>1.1005009112156681</v>
      </c>
      <c r="E43" s="7">
        <f>$U$6*C43+$U$7</f>
        <v>2.4703266261327528</v>
      </c>
      <c r="F43" s="7">
        <f>$U$6*C43+$U$7</f>
        <v>2.4703266261327528</v>
      </c>
      <c r="G43" s="7">
        <f>$U$10*A43+$U$11</f>
        <v>0.9484062359675578</v>
      </c>
      <c r="H43" s="7">
        <f>TANH(G43)</f>
        <v>0.73906066966352546</v>
      </c>
      <c r="I43" s="7">
        <f>$U$12*H43+$U$13</f>
        <v>-1.096678365938629</v>
      </c>
      <c r="J43" s="7">
        <f>$U$14*H43+$U$15</f>
        <v>-2.321096004997441</v>
      </c>
      <c r="K43" s="7">
        <f>$U$16*H43+$U$17</f>
        <v>-1.6232115924649508</v>
      </c>
      <c r="L43" s="7">
        <f>SUM(D43,I43)</f>
        <v>3.8225452770390689E-3</v>
      </c>
      <c r="M43" s="7">
        <f>SUM(E43,J43)</f>
        <v>0.14923062113531183</v>
      </c>
      <c r="N43" s="7">
        <f>SUM(F43,K43)</f>
        <v>0.84711503366780194</v>
      </c>
      <c r="O43" s="17">
        <v>3.1396670372780401E-3</v>
      </c>
      <c r="P43" s="17">
        <v>0.17630438116484701</v>
      </c>
      <c r="Q43" s="17">
        <v>0.81844367482675706</v>
      </c>
      <c r="R43" s="18">
        <f>SUM((L43-O43)^2, (M43-P43)^2, (N43-Q43)^2)/60</f>
        <v>2.592502704365264E-5</v>
      </c>
    </row>
    <row r="44" spans="1:18">
      <c r="A44" s="6">
        <v>42</v>
      </c>
      <c r="B44" s="7">
        <f>$U$2*A44+$U$3</f>
        <v>-10.327601270898493</v>
      </c>
      <c r="C44" s="7">
        <f>1/(1+EXP(-B44))</f>
        <v>3.2716402908361978E-5</v>
      </c>
      <c r="D44" s="7">
        <f>$U$4*C44+$U$5</f>
        <v>1.1004852826266978</v>
      </c>
      <c r="E44" s="7">
        <f>$U$6*C44+$U$7</f>
        <v>2.4703344703534666</v>
      </c>
      <c r="F44" s="7">
        <f>$U$6*C44+$U$7</f>
        <v>2.4703344703534666</v>
      </c>
      <c r="G44" s="7">
        <f>$U$10*A44+$U$11</f>
        <v>1.0741068058471734</v>
      </c>
      <c r="H44" s="7">
        <f>TANH(G44)</f>
        <v>0.79100345523830562</v>
      </c>
      <c r="I44" s="7">
        <f>$U$12*H44+$U$13</f>
        <v>-1.0971223164503925</v>
      </c>
      <c r="J44" s="7">
        <f>$U$14*H44+$U$15</f>
        <v>-2.3334303695112766</v>
      </c>
      <c r="K44" s="7">
        <f>$U$16*H44+$U$17</f>
        <v>-1.6104894695247691</v>
      </c>
      <c r="L44" s="7">
        <f>SUM(D44,I44)</f>
        <v>3.3629661763052709E-3</v>
      </c>
      <c r="M44" s="7">
        <f>SUM(E44,J44)</f>
        <v>0.13690410084219007</v>
      </c>
      <c r="N44" s="7">
        <f>SUM(F44,K44)</f>
        <v>0.85984500082869753</v>
      </c>
      <c r="O44" s="17">
        <v>2.6118371468564702E-3</v>
      </c>
      <c r="P44" s="17">
        <v>0.16677826328596299</v>
      </c>
      <c r="Q44" s="17">
        <v>0.83017491401183396</v>
      </c>
      <c r="R44" s="18">
        <f>SUM((L44-O44)^2, (M44-P44)^2, (N44-Q44)^2)/60</f>
        <v>2.9555730470933897E-5</v>
      </c>
    </row>
    <row r="45" spans="1:18">
      <c r="A45" s="6">
        <v>43</v>
      </c>
      <c r="B45" s="7">
        <f>$U$2*A45+$U$3</f>
        <v>-10.722544682925038</v>
      </c>
      <c r="C45" s="7">
        <f>1/(1+EXP(-B45))</f>
        <v>2.2041870143396065E-5</v>
      </c>
      <c r="D45" s="7">
        <f>$U$4*C45+$U$5</f>
        <v>1.100474753083222</v>
      </c>
      <c r="E45" s="7">
        <f>$U$6*C45+$U$7</f>
        <v>2.4703397552875832</v>
      </c>
      <c r="F45" s="7">
        <f>$U$6*C45+$U$7</f>
        <v>2.4703397552875832</v>
      </c>
      <c r="G45" s="7">
        <f>$U$10*A45+$U$11</f>
        <v>1.1998073757267891</v>
      </c>
      <c r="H45" s="7">
        <f>TANH(G45)</f>
        <v>0.83359584332140013</v>
      </c>
      <c r="I45" s="7">
        <f>$U$12*H45+$U$13</f>
        <v>-1.0974863499206327</v>
      </c>
      <c r="J45" s="7">
        <f>$U$14*H45+$U$15</f>
        <v>-2.343544383119101</v>
      </c>
      <c r="K45" s="7">
        <f>$U$16*H45+$U$17</f>
        <v>-1.6000574992037138</v>
      </c>
      <c r="L45" s="7">
        <f>SUM(D45,I45)</f>
        <v>2.9884031625893037E-3</v>
      </c>
      <c r="M45" s="7">
        <f>SUM(E45,J45)</f>
        <v>0.12679537216848225</v>
      </c>
      <c r="N45" s="7">
        <f>SUM(F45,K45)</f>
        <v>0.87028225608386944</v>
      </c>
      <c r="O45" s="17">
        <v>2.39128185473625E-3</v>
      </c>
      <c r="P45" s="17">
        <v>0.157909899247861</v>
      </c>
      <c r="Q45" s="17">
        <v>0.83969352077445703</v>
      </c>
      <c r="R45" s="18">
        <f>SUM((L45-O45)^2, (M45-P45)^2, (N45-Q45)^2)/60</f>
        <v>3.1735684617649667E-5</v>
      </c>
    </row>
    <row r="46" spans="1:18">
      <c r="A46" s="6">
        <v>44</v>
      </c>
      <c r="B46" s="7">
        <f>$U$2*A46+$U$3</f>
        <v>-11.117488094951581</v>
      </c>
      <c r="C46" s="7">
        <f>1/(1+EXP(-B46))</f>
        <v>1.4850115051394923E-5</v>
      </c>
      <c r="D46" s="7">
        <f>$U$4*C46+$U$5</f>
        <v>1.1004676590117928</v>
      </c>
      <c r="E46" s="7">
        <f>$U$6*C46+$U$7</f>
        <v>2.4703433159073014</v>
      </c>
      <c r="F46" s="7">
        <f>$U$6*C46+$U$7</f>
        <v>2.4703433159073014</v>
      </c>
      <c r="G46" s="7">
        <f>$U$10*A46+$U$11</f>
        <v>1.3255079456064047</v>
      </c>
      <c r="H46" s="7">
        <f>TANH(G46)</f>
        <v>0.86814715363007644</v>
      </c>
      <c r="I46" s="7">
        <f>$U$12*H46+$U$13</f>
        <v>-1.0977816569921326</v>
      </c>
      <c r="J46" s="7">
        <f>$U$14*H46+$U$15</f>
        <v>-2.351748957653601</v>
      </c>
      <c r="K46" s="7">
        <f>$U$16*H46+$U$17</f>
        <v>-1.5915949954579622</v>
      </c>
      <c r="L46" s="7">
        <f>SUM(D46,I46)</f>
        <v>2.686002019660183E-3</v>
      </c>
      <c r="M46" s="7">
        <f>SUM(E46,J46)</f>
        <v>0.11859435825370035</v>
      </c>
      <c r="N46" s="7">
        <f>SUM(F46,K46)</f>
        <v>0.87874832044933915</v>
      </c>
      <c r="O46" s="17">
        <v>1.2757458204968699E-3</v>
      </c>
      <c r="P46" s="17">
        <v>0.14923463373831</v>
      </c>
      <c r="Q46" s="17">
        <v>0.84673055231667504</v>
      </c>
      <c r="R46" s="18">
        <f>SUM((L46-O46)^2, (M46-P46)^2, (N46-Q46)^2)/60</f>
        <v>3.276587967528484E-5</v>
      </c>
    </row>
    <row r="47" spans="1:18">
      <c r="A47" s="6">
        <v>45</v>
      </c>
      <c r="B47" s="7">
        <f>$U$2*A47+$U$3</f>
        <v>-11.512431506978126</v>
      </c>
      <c r="C47" s="7">
        <f>1/(1+EXP(-B47))</f>
        <v>1.0004840702255466E-5</v>
      </c>
      <c r="D47" s="7">
        <f>$U$4*C47+$U$5</f>
        <v>1.1004628795494937</v>
      </c>
      <c r="E47" s="7">
        <f>$U$6*C47+$U$7</f>
        <v>2.4703457147903509</v>
      </c>
      <c r="F47" s="7">
        <f>$U$6*C47+$U$7</f>
        <v>2.4703457147903509</v>
      </c>
      <c r="G47" s="7">
        <f>$U$10*A47+$U$11</f>
        <v>1.4512085154860204</v>
      </c>
      <c r="H47" s="7">
        <f>TANH(G47)</f>
        <v>0.89593158027145803</v>
      </c>
      <c r="I47" s="7">
        <f>$U$12*H47+$U$13</f>
        <v>-1.0980191280921132</v>
      </c>
      <c r="J47" s="7">
        <f>$U$14*H47+$U$15</f>
        <v>-2.3583466639993524</v>
      </c>
      <c r="K47" s="7">
        <f>$U$16*H47+$U$17</f>
        <v>-1.5847898754082257</v>
      </c>
      <c r="L47" s="7">
        <f>SUM(D47,I47)</f>
        <v>2.4437514573805164E-3</v>
      </c>
      <c r="M47" s="7">
        <f>SUM(E47,J47)</f>
        <v>0.11199905079099848</v>
      </c>
      <c r="N47" s="7">
        <f>SUM(F47,K47)</f>
        <v>0.88555583938212523</v>
      </c>
      <c r="O47" s="17">
        <v>3.5362804167817599E-3</v>
      </c>
      <c r="P47" s="17">
        <v>0.135577127775768</v>
      </c>
      <c r="Q47" s="17">
        <v>0.86534225693530897</v>
      </c>
      <c r="R47" s="18">
        <f>SUM((L47-O47)^2, (M47-P47)^2, (N47-Q47)^2)/60</f>
        <v>1.6095137486018112E-5</v>
      </c>
    </row>
    <row r="48" spans="1:18">
      <c r="A48" s="6">
        <v>46</v>
      </c>
      <c r="B48" s="7">
        <f>$U$2*A48+$U$3</f>
        <v>-11.907374919004672</v>
      </c>
      <c r="C48" s="7">
        <f>1/(1+EXP(-B48))</f>
        <v>6.7404648977446183E-6</v>
      </c>
      <c r="D48" s="7">
        <f>$U$4*C48+$U$5</f>
        <v>1.1004596595128222</v>
      </c>
      <c r="E48" s="7">
        <f>$U$6*C48+$U$7</f>
        <v>2.4703473309745378</v>
      </c>
      <c r="F48" s="7">
        <f>$U$6*C48+$U$7</f>
        <v>2.4703473309745378</v>
      </c>
      <c r="G48" s="7">
        <f>$U$10*A48+$U$11</f>
        <v>1.576909085365636</v>
      </c>
      <c r="H48" s="7">
        <f>TANH(G48)</f>
        <v>0.91811781005577209</v>
      </c>
      <c r="I48" s="7">
        <f>$U$12*H48+$U$13</f>
        <v>-1.0982087518860215</v>
      </c>
      <c r="J48" s="7">
        <f>$U$14*H48+$U$15</f>
        <v>-2.3636150192159491</v>
      </c>
      <c r="K48" s="7">
        <f>$U$16*H48+$U$17</f>
        <v>-1.579355897623403</v>
      </c>
      <c r="L48" s="7">
        <f>SUM(D48,I48)</f>
        <v>2.2509076268006911E-3</v>
      </c>
      <c r="M48" s="7">
        <f>SUM(E48,J48)</f>
        <v>0.10673231175858877</v>
      </c>
      <c r="N48" s="7">
        <f>SUM(F48,K48)</f>
        <v>0.89099143335113484</v>
      </c>
      <c r="O48" s="17">
        <v>-3.1346344649783998E-3</v>
      </c>
      <c r="P48" s="17">
        <v>0.125187367886479</v>
      </c>
      <c r="Q48" s="17">
        <v>0.87833605384871605</v>
      </c>
      <c r="R48" s="18">
        <f>SUM((L48-O48)^2, (M48-P48)^2, (N48-Q48)^2)/60</f>
        <v>8.8291965109357431E-6</v>
      </c>
    </row>
    <row r="49" spans="1:18">
      <c r="A49" s="6">
        <v>47</v>
      </c>
      <c r="B49" s="7">
        <f>$U$2*A49+$U$3</f>
        <v>-12.302318331031218</v>
      </c>
      <c r="C49" s="7">
        <f>1/(1+EXP(-B49))</f>
        <v>4.5411836127955275E-6</v>
      </c>
      <c r="D49" s="7">
        <f>$U$4*C49+$U$5</f>
        <v>1.1004574901037796</v>
      </c>
      <c r="E49" s="7">
        <f>$U$6*C49+$U$7</f>
        <v>2.4703484198331278</v>
      </c>
      <c r="F49" s="7">
        <f>$U$6*C49+$U$7</f>
        <v>2.4703484198331278</v>
      </c>
      <c r="G49" s="7">
        <f>$U$10*A49+$U$11</f>
        <v>1.7026096552452517</v>
      </c>
      <c r="H49" s="7">
        <f>TANH(G49)</f>
        <v>0.93573450810501058</v>
      </c>
      <c r="I49" s="7">
        <f>$U$12*H49+$U$13</f>
        <v>-1.0983593202860022</v>
      </c>
      <c r="J49" s="7">
        <f>$U$14*H49+$U$15</f>
        <v>-2.3677982907302701</v>
      </c>
      <c r="K49" s="7">
        <f>$U$16*H49+$U$17</f>
        <v>-1.5750411155819237</v>
      </c>
      <c r="L49" s="7">
        <f>SUM(D49,I49)</f>
        <v>2.0981698177773289E-3</v>
      </c>
      <c r="M49" s="7">
        <f>SUM(E49,J49)</f>
        <v>0.10255012910285766</v>
      </c>
      <c r="N49" s="7">
        <f>SUM(F49,K49)</f>
        <v>0.89530730425120408</v>
      </c>
      <c r="O49" s="17">
        <v>9.0828857896239103E-3</v>
      </c>
      <c r="P49" s="17">
        <v>0.11564560923284699</v>
      </c>
      <c r="Q49" s="17">
        <v>0.87802773465304806</v>
      </c>
      <c r="R49" s="18">
        <f>SUM((L49-O49)^2, (M49-P49)^2, (N49-Q49)^2)/60</f>
        <v>8.6476897089971972E-6</v>
      </c>
    </row>
    <row r="50" spans="1:18">
      <c r="A50" s="6">
        <v>48</v>
      </c>
      <c r="B50" s="7">
        <f>$U$2*A50+$U$3</f>
        <v>-12.697261743057764</v>
      </c>
      <c r="C50" s="7">
        <f>1/(1+EXP(-B50))</f>
        <v>3.0594824125116166E-6</v>
      </c>
      <c r="D50" s="7">
        <f>$U$4*C50+$U$5</f>
        <v>1.1004560285281257</v>
      </c>
      <c r="E50" s="7">
        <f>$U$6*C50+$U$7</f>
        <v>2.4703491534196367</v>
      </c>
      <c r="F50" s="7">
        <f>$U$6*C50+$U$7</f>
        <v>2.4703491534196367</v>
      </c>
      <c r="G50" s="7">
        <f>$U$10*A50+$U$11</f>
        <v>1.8283102251248682</v>
      </c>
      <c r="H50" s="7">
        <f>TANH(G50)</f>
        <v>0.94966049870508662</v>
      </c>
      <c r="I50" s="7">
        <f>$U$12*H50+$U$13</f>
        <v>-1.0984783445274886</v>
      </c>
      <c r="J50" s="7">
        <f>$U$14*H50+$U$15</f>
        <v>-2.3711051646758405</v>
      </c>
      <c r="K50" s="7">
        <f>$U$16*H50+$U$17</f>
        <v>-1.5716302826333726</v>
      </c>
      <c r="L50" s="7">
        <f>SUM(D50,I50)</f>
        <v>1.9776840006371366E-3</v>
      </c>
      <c r="M50" s="7">
        <f>SUM(E50,J50)</f>
        <v>9.9243988743796141E-2</v>
      </c>
      <c r="N50" s="7">
        <f>SUM(F50,K50)</f>
        <v>0.89871887078626411</v>
      </c>
      <c r="O50" s="17">
        <v>1.0538230552720001E-2</v>
      </c>
      <c r="P50" s="17">
        <v>0.111612530534534</v>
      </c>
      <c r="Q50" s="17">
        <v>0.88908099354612202</v>
      </c>
      <c r="R50" s="18">
        <f>SUM((L50-O50)^2, (M50-P50)^2, (N50-Q50)^2)/60</f>
        <v>5.3192076832609275E-6</v>
      </c>
    </row>
    <row r="51" spans="1:18">
      <c r="A51" s="6">
        <v>49</v>
      </c>
      <c r="B51" s="7">
        <f>$U$2*A51+$U$3</f>
        <v>-13.09220515508431</v>
      </c>
      <c r="C51" s="7">
        <f>1/(1+EXP(-B51))</f>
        <v>2.0612309268374861E-6</v>
      </c>
      <c r="D51" s="7">
        <f>$U$4*C51+$U$5</f>
        <v>1.1004550438356198</v>
      </c>
      <c r="E51" s="7">
        <f>$U$6*C51+$U$7</f>
        <v>2.4703496476514171</v>
      </c>
      <c r="F51" s="7">
        <f>$U$6*C51+$U$7</f>
        <v>2.4703496476514171</v>
      </c>
      <c r="G51" s="7">
        <f>$U$10*A51+$U$11</f>
        <v>1.9540107950044838</v>
      </c>
      <c r="H51" s="7">
        <f>TANH(G51)</f>
        <v>0.96063017621727831</v>
      </c>
      <c r="I51" s="7">
        <f>$U$12*H51+$U$13</f>
        <v>-1.0985721014157941</v>
      </c>
      <c r="J51" s="7">
        <f>$U$14*H51+$U$15</f>
        <v>-2.3737100307710524</v>
      </c>
      <c r="K51" s="7">
        <f>$U$16*H51+$U$17</f>
        <v>-1.5689435267272356</v>
      </c>
      <c r="L51" s="7">
        <f>SUM(D51,I51)</f>
        <v>1.8829424198256728E-3</v>
      </c>
      <c r="M51" s="7">
        <f>SUM(E51,J51)</f>
        <v>9.6639616880364709E-2</v>
      </c>
      <c r="N51" s="7">
        <f>SUM(F51,K51)</f>
        <v>0.90140612092418149</v>
      </c>
      <c r="O51" s="17">
        <v>2.5859344138377399E-3</v>
      </c>
      <c r="P51" s="17">
        <v>0.10342211054485</v>
      </c>
      <c r="Q51" s="17">
        <v>0.89472708248588406</v>
      </c>
      <c r="R51" s="18">
        <f>SUM((L51-O51)^2, (M51-P51)^2, (N51-Q51)^2)/60</f>
        <v>1.5184328752113769E-6</v>
      </c>
    </row>
    <row r="52" spans="1:18">
      <c r="A52" s="6">
        <v>50</v>
      </c>
      <c r="B52" s="7">
        <f>$U$2*A52+$U$3</f>
        <v>-13.487148567110856</v>
      </c>
      <c r="C52" s="7">
        <f>1/(1+EXP(-B52))</f>
        <v>1.3886896465018825E-6</v>
      </c>
      <c r="D52" s="7">
        <f>$U$4*C52+$U$5</f>
        <v>1.1004543804292857</v>
      </c>
      <c r="E52" s="7">
        <f>$U$6*C52+$U$7</f>
        <v>2.4703499806249001</v>
      </c>
      <c r="F52" s="7">
        <f>$U$6*C52+$U$7</f>
        <v>2.4703499806249001</v>
      </c>
      <c r="G52" s="7">
        <f>$U$10*A52+$U$11</f>
        <v>2.0797113648840995</v>
      </c>
      <c r="H52" s="7">
        <f>TANH(G52)</f>
        <v>0.96924711400682784</v>
      </c>
      <c r="I52" s="7">
        <f>$U$12*H52+$U$13</f>
        <v>-1.0986457496404547</v>
      </c>
      <c r="J52" s="7">
        <f>$U$14*H52+$U$15</f>
        <v>-2.3757562139033821</v>
      </c>
      <c r="K52" s="7">
        <f>$U$16*H52+$U$17</f>
        <v>-1.5668330172365823</v>
      </c>
      <c r="L52" s="7">
        <f>SUM(D52,I52)</f>
        <v>1.8086307888309783E-3</v>
      </c>
      <c r="M52" s="7">
        <f>SUM(E52,J52)</f>
        <v>9.459376672151798E-2</v>
      </c>
      <c r="N52" s="7">
        <f>SUM(F52,K52)</f>
        <v>0.90351696338831777</v>
      </c>
      <c r="O52" s="17">
        <v>2.0336631835871899E-3</v>
      </c>
      <c r="P52" s="17">
        <v>9.4972241588527101E-2</v>
      </c>
      <c r="Q52" s="17">
        <v>0.90450311421663898</v>
      </c>
      <c r="R52" s="18">
        <f>SUM((L52-O52)^2, (M52-P52)^2, (N52-Q52)^2)/60</f>
        <v>1.943960433076488E-8</v>
      </c>
    </row>
    <row r="53" spans="1:18">
      <c r="A53" s="6">
        <v>51</v>
      </c>
      <c r="B53" s="7">
        <f>$U$2*A53+$U$3</f>
        <v>-13.882091979137401</v>
      </c>
      <c r="C53" s="7">
        <f>1/(1+EXP(-B53))</f>
        <v>9.3558586086370927E-7</v>
      </c>
      <c r="D53" s="7">
        <f>$U$4*C53+$U$5</f>
        <v>1.100453933479886</v>
      </c>
      <c r="E53" s="7">
        <f>$U$6*C53+$U$7</f>
        <v>2.470350204955436</v>
      </c>
      <c r="F53" s="7">
        <f>$U$6*C53+$U$7</f>
        <v>2.470350204955436</v>
      </c>
      <c r="G53" s="7">
        <f>$U$10*A53+$U$11</f>
        <v>2.2054119347637151</v>
      </c>
      <c r="H53" s="7">
        <f>TANH(G53)</f>
        <v>0.9760011339185477</v>
      </c>
      <c r="I53" s="7">
        <f>$U$12*H53+$U$13</f>
        <v>-1.0987034756665639</v>
      </c>
      <c r="J53" s="7">
        <f>$U$14*H53+$U$15</f>
        <v>-2.3773600274571418</v>
      </c>
      <c r="K53" s="7">
        <f>$U$16*H53+$U$17</f>
        <v>-1.5651787842048626</v>
      </c>
      <c r="L53" s="7">
        <f>SUM(D53,I53)</f>
        <v>1.7504578133220594E-3</v>
      </c>
      <c r="M53" s="7">
        <f>SUM(E53,J53)</f>
        <v>9.2990177498294191E-2</v>
      </c>
      <c r="N53" s="7">
        <f>SUM(F53,K53)</f>
        <v>0.90517142075057344</v>
      </c>
      <c r="O53" s="17">
        <v>2.2949557971681501E-3</v>
      </c>
      <c r="P53" s="17">
        <v>8.7440881600336293E-2</v>
      </c>
      <c r="Q53" s="17">
        <v>0.90922037148508505</v>
      </c>
      <c r="R53" s="18">
        <f>SUM((L53-O53)^2, (M53-P53)^2, (N53-Q53)^2)/60</f>
        <v>7.9141941780011609E-7</v>
      </c>
    </row>
    <row r="54" spans="1:18">
      <c r="A54" s="6">
        <v>52</v>
      </c>
      <c r="B54" s="7">
        <f>$U$2*A54+$U$3</f>
        <v>-14.277035391163947</v>
      </c>
      <c r="C54" s="7">
        <f>1/(1+EXP(-B54))</f>
        <v>6.3032137947161256E-7</v>
      </c>
      <c r="D54" s="7">
        <f>$U$4*C54+$U$5</f>
        <v>1.1004536323617293</v>
      </c>
      <c r="E54" s="7">
        <f>$U$6*C54+$U$7</f>
        <v>2.4703503560911071</v>
      </c>
      <c r="F54" s="7">
        <f>$U$6*C54+$U$7</f>
        <v>2.4703503560911071</v>
      </c>
      <c r="G54" s="7">
        <f>$U$10*A54+$U$11</f>
        <v>2.3311125046433308</v>
      </c>
      <c r="H54" s="7">
        <f>TANH(G54)</f>
        <v>0.98128591672927945</v>
      </c>
      <c r="I54" s="7">
        <f>$U$12*H54+$U$13</f>
        <v>-1.0987486442497929</v>
      </c>
      <c r="J54" s="7">
        <f>$U$14*H54+$U$15</f>
        <v>-2.3786149551019093</v>
      </c>
      <c r="K54" s="7">
        <f>$U$16*H54+$U$17</f>
        <v>-1.5638844050935712</v>
      </c>
      <c r="L54" s="7">
        <f>SUM(D54,I54)</f>
        <v>1.704988111936423E-3</v>
      </c>
      <c r="M54" s="7">
        <f>SUM(E54,J54)</f>
        <v>9.1735400989197746E-2</v>
      </c>
      <c r="N54" s="7">
        <f>SUM(F54,K54)</f>
        <v>0.90646595099753591</v>
      </c>
      <c r="O54" s="17">
        <v>2.3936274802814103E-3</v>
      </c>
      <c r="P54" s="17">
        <v>8.3053244128702103E-2</v>
      </c>
      <c r="Q54" s="17">
        <v>0.906309636239233</v>
      </c>
      <c r="R54" s="18">
        <f>SUM((L54-O54)^2, (M54-P54)^2, (N54-Q54)^2)/60</f>
        <v>1.2646417705591574E-6</v>
      </c>
    </row>
    <row r="55" spans="1:18">
      <c r="A55" s="6">
        <v>53</v>
      </c>
      <c r="B55" s="7">
        <f>$U$2*A55+$U$3</f>
        <v>-14.671978803190489</v>
      </c>
      <c r="C55" s="7">
        <f>1/(1+EXP(-B55))</f>
        <v>4.2465904890838077E-7</v>
      </c>
      <c r="D55" s="7">
        <f>$U$4*C55+$U$5</f>
        <v>1.1004534294928547</v>
      </c>
      <c r="E55" s="7">
        <f>$U$6*C55+$U$7</f>
        <v>2.4703504579140056</v>
      </c>
      <c r="F55" s="7">
        <f>$U$6*C55+$U$7</f>
        <v>2.4703504579140056</v>
      </c>
      <c r="G55" s="7">
        <f>$U$10*A55+$U$11</f>
        <v>2.4568130745229464</v>
      </c>
      <c r="H55" s="7">
        <f>TANH(G55)</f>
        <v>0.98541552865027437</v>
      </c>
      <c r="I55" s="7">
        <f>$U$12*H55+$U$13</f>
        <v>-1.0987839396869825</v>
      </c>
      <c r="J55" s="7">
        <f>$U$14*H55+$U$15</f>
        <v>-2.3795955751855375</v>
      </c>
      <c r="K55" s="7">
        <f>$U$16*H55+$U$17</f>
        <v>-1.5628729570171391</v>
      </c>
      <c r="L55" s="7">
        <f>SUM(D55,I55)</f>
        <v>1.6694898058722263E-3</v>
      </c>
      <c r="M55" s="7">
        <f>SUM(E55,J55)</f>
        <v>9.07548827284681E-2</v>
      </c>
      <c r="N55" s="7">
        <f>SUM(F55,K55)</f>
        <v>0.90747750089686652</v>
      </c>
      <c r="O55" s="17">
        <v>2.3043154567460099E-3</v>
      </c>
      <c r="P55" s="17">
        <v>7.8073186837302994E-2</v>
      </c>
      <c r="Q55" s="17">
        <v>0.92630169320256595</v>
      </c>
      <c r="R55" s="18">
        <f>SUM((L55-O55)^2, (M55-P55)^2, (N55-Q55)^2)/60</f>
        <v>8.5929771707492461E-6</v>
      </c>
    </row>
    <row r="56" spans="1:18">
      <c r="A56" s="6">
        <v>54</v>
      </c>
      <c r="B56" s="7">
        <f>$U$2*A56+$U$3</f>
        <v>-15.066922215217035</v>
      </c>
      <c r="C56" s="7">
        <f>1/(1+EXP(-B56))</f>
        <v>2.8610055376789015E-7</v>
      </c>
      <c r="D56" s="7">
        <f>$U$4*C56+$U$5</f>
        <v>1.1004532928163619</v>
      </c>
      <c r="E56" s="7">
        <f>$U$6*C56+$U$7</f>
        <v>2.4703505265139656</v>
      </c>
      <c r="F56" s="7">
        <f>$U$6*C56+$U$7</f>
        <v>2.4703505265139656</v>
      </c>
      <c r="G56" s="7">
        <f>$U$10*A56+$U$11</f>
        <v>2.582513644402562</v>
      </c>
      <c r="H56" s="7">
        <f>TANH(G56)</f>
        <v>0.98863908994493832</v>
      </c>
      <c r="I56" s="7">
        <f>$U$12*H56+$U$13</f>
        <v>-1.0988114911875544</v>
      </c>
      <c r="J56" s="7">
        <f>$U$14*H56+$U$15</f>
        <v>-2.3803610439527803</v>
      </c>
      <c r="K56" s="7">
        <f>$U$16*H56+$U$17</f>
        <v>-1.5620834240215147</v>
      </c>
      <c r="L56" s="7">
        <f>SUM(D56,I56)</f>
        <v>1.6418016288075599E-3</v>
      </c>
      <c r="M56" s="7">
        <f>SUM(E56,J56)</f>
        <v>8.998948256118533E-2</v>
      </c>
      <c r="N56" s="7">
        <f>SUM(F56,K56)</f>
        <v>0.90826710249245091</v>
      </c>
      <c r="O56" s="17">
        <v>3.0385585864702198E-3</v>
      </c>
      <c r="P56" s="17">
        <v>7.1018266657233403E-2</v>
      </c>
      <c r="Q56" s="17">
        <v>0.92736038017037692</v>
      </c>
      <c r="R56" s="18">
        <f>SUM((L56-O56)^2, (M56-P56)^2, (N56-Q56)^2)/60</f>
        <v>1.2106853589325422E-5</v>
      </c>
    </row>
    <row r="57" spans="1:18">
      <c r="A57" s="6">
        <v>55</v>
      </c>
      <c r="B57" s="7">
        <f>$U$2*A57+$U$3</f>
        <v>-15.461865627243581</v>
      </c>
      <c r="C57" s="7">
        <f>1/(1+EXP(-B57))</f>
        <v>1.9275115737243323E-7</v>
      </c>
      <c r="D57" s="7">
        <f>$U$4*C57+$U$5</f>
        <v>1.1004532007349053</v>
      </c>
      <c r="E57" s="7">
        <f>$U$6*C57+$U$7</f>
        <v>2.4703505727310149</v>
      </c>
      <c r="F57" s="7">
        <f>$U$6*C57+$U$7</f>
        <v>2.4703505727310149</v>
      </c>
      <c r="G57" s="7">
        <f>$U$10*A57+$U$11</f>
        <v>2.7082142142821777</v>
      </c>
      <c r="H57" s="7">
        <f>TANH(G57)</f>
        <v>0.99115333205161937</v>
      </c>
      <c r="I57" s="7">
        <f>$U$12*H57+$U$13</f>
        <v>-1.0988329801981573</v>
      </c>
      <c r="J57" s="7">
        <f>$U$14*H57+$U$15</f>
        <v>-2.3809580773670778</v>
      </c>
      <c r="K57" s="7">
        <f>$U$16*H57+$U$17</f>
        <v>-1.5614676215221182</v>
      </c>
      <c r="L57" s="7">
        <f>SUM(D57,I57)</f>
        <v>1.6202205367479294E-3</v>
      </c>
      <c r="M57" s="7">
        <f>SUM(E57,J57)</f>
        <v>8.9392495363937119E-2</v>
      </c>
      <c r="N57" s="7">
        <f>SUM(F57,K57)</f>
        <v>0.90888295120889673</v>
      </c>
      <c r="O57" s="17">
        <v>7.9515125832206497E-3</v>
      </c>
      <c r="P57" s="17">
        <v>6.6968684958737701E-2</v>
      </c>
      <c r="Q57" s="17">
        <v>0.93389441761834491</v>
      </c>
      <c r="R57" s="18">
        <f>SUM((L57-O57)^2, (M57-P57)^2, (N57-Q57)^2)/60</f>
        <v>1.9474766400283555E-5</v>
      </c>
    </row>
    <row r="58" spans="1:18">
      <c r="A58" s="6">
        <v>56</v>
      </c>
      <c r="B58" s="7">
        <f>$U$2*A58+$U$3</f>
        <v>-15.856809039270127</v>
      </c>
      <c r="C58" s="7">
        <f>1/(1+EXP(-B58))</f>
        <v>1.2985996373477832E-7</v>
      </c>
      <c r="D58" s="7">
        <f>$U$4*C58+$U$5</f>
        <v>1.1004531386979457</v>
      </c>
      <c r="E58" s="7">
        <f>$U$6*C58+$U$7</f>
        <v>2.4703506038682854</v>
      </c>
      <c r="F58" s="7">
        <f>$U$6*C58+$U$7</f>
        <v>2.4703506038682854</v>
      </c>
      <c r="G58" s="7">
        <f>$U$10*A58+$U$11</f>
        <v>2.8339147841617933</v>
      </c>
      <c r="H58" s="7">
        <f>TANH(G58)</f>
        <v>0.99311308323628966</v>
      </c>
      <c r="I58" s="7">
        <f>$U$12*H58+$U$13</f>
        <v>-1.098849730022637</v>
      </c>
      <c r="J58" s="7">
        <f>$U$14*H58+$U$15</f>
        <v>-2.3814234410398316</v>
      </c>
      <c r="K58" s="7">
        <f>$U$16*H58+$U$17</f>
        <v>-1.5609876280980526</v>
      </c>
      <c r="L58" s="7">
        <f>SUM(D58,I58)</f>
        <v>1.6034086753087262E-3</v>
      </c>
      <c r="M58" s="7">
        <f>SUM(E58,J58)</f>
        <v>8.892716282845381E-2</v>
      </c>
      <c r="N58" s="7">
        <f>SUM(F58,K58)</f>
        <v>0.90936297577023284</v>
      </c>
      <c r="O58" s="17">
        <v>-1.1013052498209E-4</v>
      </c>
      <c r="P58" s="17">
        <v>6.18422691296922E-2</v>
      </c>
      <c r="Q58" s="17">
        <v>0.94275156262420401</v>
      </c>
      <c r="R58" s="18">
        <f>SUM((L58-O58)^2, (M58-P58)^2, (N58-Q58)^2)/60</f>
        <v>3.085542358948877E-5</v>
      </c>
    </row>
    <row r="59" spans="1:18">
      <c r="A59" s="6">
        <v>57</v>
      </c>
      <c r="B59" s="7">
        <f>$U$2*A59+$U$3</f>
        <v>-16.251752451296674</v>
      </c>
      <c r="C59" s="7">
        <f>1/(1+EXP(-B59))</f>
        <v>8.7489019858742052E-8</v>
      </c>
      <c r="D59" s="7">
        <f>$U$4*C59+$U$5</f>
        <v>1.1004530969025148</v>
      </c>
      <c r="E59" s="7">
        <f>$U$6*C59+$U$7</f>
        <v>2.4703506248460325</v>
      </c>
      <c r="F59" s="7">
        <f>$U$6*C59+$U$7</f>
        <v>2.4703506248460325</v>
      </c>
      <c r="G59" s="7">
        <f>$U$10*A59+$U$11</f>
        <v>2.959615354041409</v>
      </c>
      <c r="H59" s="7">
        <f>TANH(G59)</f>
        <v>0.99463987074768279</v>
      </c>
      <c r="I59" s="7">
        <f>$U$12*H59+$U$13</f>
        <v>-1.098862779343915</v>
      </c>
      <c r="J59" s="7">
        <f>$U$14*H59+$U$15</f>
        <v>-2.381785992903239</v>
      </c>
      <c r="K59" s="7">
        <f>$U$16*H59+$U$17</f>
        <v>-1.5606136786032663</v>
      </c>
      <c r="L59" s="7">
        <f>SUM(D59,I59)</f>
        <v>1.5903175585998408E-3</v>
      </c>
      <c r="M59" s="7">
        <f>SUM(E59,J59)</f>
        <v>8.8564631942793515E-2</v>
      </c>
      <c r="N59" s="7">
        <f>SUM(F59,K59)</f>
        <v>0.90973694624276624</v>
      </c>
      <c r="O59" s="17">
        <v>5.6947636442931599E-3</v>
      </c>
      <c r="P59" s="17">
        <v>6.0470398956274998E-2</v>
      </c>
      <c r="Q59" s="17">
        <v>0.93680268831874902</v>
      </c>
      <c r="R59" s="18">
        <f>SUM((L59-O59)^2, (M59-P59)^2, (N59-Q59)^2)/60</f>
        <v>2.5644779981579548E-5</v>
      </c>
    </row>
    <row r="60" spans="1:18">
      <c r="A60" s="6">
        <v>58</v>
      </c>
      <c r="B60" s="7">
        <f>$U$2*A60+$U$3</f>
        <v>-16.646695863323217</v>
      </c>
      <c r="C60" s="7">
        <f>1/(1+EXP(-B60))</f>
        <v>5.8942943382120874E-8</v>
      </c>
      <c r="D60" s="7">
        <f>$U$4*C60+$U$5</f>
        <v>1.100453068744172</v>
      </c>
      <c r="E60" s="7">
        <f>$U$6*C60+$U$7</f>
        <v>2.4703506389791228</v>
      </c>
      <c r="F60" s="7">
        <f>$U$6*C60+$U$7</f>
        <v>2.4703506389791228</v>
      </c>
      <c r="G60" s="7">
        <f>$U$10*A60+$U$11</f>
        <v>3.0853159239210246</v>
      </c>
      <c r="H60" s="7">
        <f>TANH(G60)</f>
        <v>0.99582888712184936</v>
      </c>
      <c r="I60" s="7">
        <f>$U$12*H60+$U$13</f>
        <v>-1.0988729417643928</v>
      </c>
      <c r="J60" s="7">
        <f>$U$14*H60+$U$15</f>
        <v>-2.3820683374330827</v>
      </c>
      <c r="K60" s="7">
        <f>$U$16*H60+$U$17</f>
        <v>-1.5603224579395563</v>
      </c>
      <c r="L60" s="7">
        <f>SUM(D60,I60)</f>
        <v>1.5801269797792727E-3</v>
      </c>
      <c r="M60" s="7">
        <f>SUM(E60,J60)</f>
        <v>8.8282301546040109E-2</v>
      </c>
      <c r="N60" s="7">
        <f>SUM(F60,K60)</f>
        <v>0.91002818103956651</v>
      </c>
      <c r="O60" s="17">
        <v>-2.2807198247528698E-3</v>
      </c>
      <c r="P60" s="17">
        <v>5.4975808919005206E-2</v>
      </c>
      <c r="Q60" s="17">
        <v>0.94398061818187207</v>
      </c>
      <c r="R60" s="18">
        <f>SUM((L60-O60)^2, (M60-P60)^2, (N60-Q60)^2)/60</f>
        <v>3.7949942951083446E-5</v>
      </c>
    </row>
    <row r="61" spans="1:18">
      <c r="A61" s="6">
        <v>59</v>
      </c>
      <c r="B61" s="7">
        <f>$U$2*A61+$U$3</f>
        <v>-17.041639275349766</v>
      </c>
      <c r="C61" s="7">
        <f>1/(1+EXP(-B61))</f>
        <v>3.9710932272390049E-8</v>
      </c>
      <c r="D61" s="7">
        <f>$U$4*C61+$U$5</f>
        <v>1.100453049773384</v>
      </c>
      <c r="E61" s="7">
        <f>$U$6*C61+$U$7</f>
        <v>2.4703506485008426</v>
      </c>
      <c r="F61" s="7">
        <f>$U$6*C61+$U$7</f>
        <v>2.4703506485008426</v>
      </c>
      <c r="G61" s="7">
        <f>$U$10*A61+$U$11</f>
        <v>3.2110164938006402</v>
      </c>
      <c r="H61" s="7">
        <f>TANH(G61)</f>
        <v>0.99675457782181232</v>
      </c>
      <c r="I61" s="7">
        <f>$U$12*H61+$U$13</f>
        <v>-1.0988808535630274</v>
      </c>
      <c r="J61" s="7">
        <f>$U$14*H61+$U$15</f>
        <v>-2.3822881524929427</v>
      </c>
      <c r="K61" s="7">
        <f>$U$16*H61+$U$17</f>
        <v>-1.5600957325000329</v>
      </c>
      <c r="L61" s="7">
        <f>SUM(D61,I61)</f>
        <v>1.5721962103565357E-3</v>
      </c>
      <c r="M61" s="7">
        <f>SUM(E61,J61)</f>
        <v>8.8062496007899949E-2</v>
      </c>
      <c r="N61" s="7">
        <f>SUM(F61,K61)</f>
        <v>0.91025491600080977</v>
      </c>
      <c r="O61" s="17">
        <v>-1.0788247514761E-4</v>
      </c>
      <c r="P61" s="17">
        <v>5.3596926243307502E-2</v>
      </c>
      <c r="Q61" s="17">
        <v>0.94100736181572697</v>
      </c>
      <c r="R61" s="18">
        <f>SUM((L61-O61)^2, (M61-P61)^2, (N61-Q61)^2)/60</f>
        <v>3.5606851453114887E-5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18AB6-23B3-4567-8A37-82F929C5645D}">
  <sheetPr>
    <tabColor theme="3" tint="0.749992370372631"/>
  </sheetPr>
  <dimension ref="A1:AK61"/>
  <sheetViews>
    <sheetView zoomScale="50" zoomScaleNormal="50" workbookViewId="0"/>
  </sheetViews>
  <sheetFormatPr defaultRowHeight="14.5"/>
  <cols>
    <col min="1" max="1" width="6.453125" customWidth="1"/>
    <col min="2" max="2" width="10.1796875" customWidth="1"/>
    <col min="3" max="3" width="12.1796875" bestFit="1" customWidth="1"/>
    <col min="4" max="4" width="14.26953125" bestFit="1" customWidth="1"/>
    <col min="5" max="5" width="13.453125" bestFit="1" customWidth="1"/>
    <col min="6" max="6" width="14.26953125" bestFit="1" customWidth="1"/>
    <col min="7" max="7" width="13.7265625" bestFit="1" customWidth="1"/>
    <col min="8" max="8" width="13.7265625" customWidth="1"/>
    <col min="9" max="9" width="14.26953125" bestFit="1" customWidth="1"/>
    <col min="10" max="10" width="13.7265625" bestFit="1" customWidth="1"/>
    <col min="11" max="11" width="14.26953125" bestFit="1" customWidth="1"/>
    <col min="12" max="16" width="14.26953125" customWidth="1"/>
    <col min="17" max="22" width="9" bestFit="1" customWidth="1"/>
    <col min="23" max="23" width="15.7265625" bestFit="1" customWidth="1"/>
    <col min="24" max="24" width="15.7265625" customWidth="1"/>
    <col min="25" max="25" width="9.81640625" bestFit="1" customWidth="1"/>
    <col min="26" max="26" width="9" bestFit="1" customWidth="1"/>
    <col min="27" max="27" width="0" hidden="1" customWidth="1"/>
    <col min="28" max="28" width="10.453125" bestFit="1" customWidth="1"/>
    <col min="29" max="29" width="12" bestFit="1" customWidth="1"/>
  </cols>
  <sheetData>
    <row r="1" spans="1:28" ht="15" thickBot="1">
      <c r="A1" s="5" t="s">
        <v>0</v>
      </c>
      <c r="B1" s="5" t="s">
        <v>206</v>
      </c>
      <c r="C1" s="5" t="s">
        <v>236</v>
      </c>
      <c r="D1" s="5" t="s">
        <v>7</v>
      </c>
      <c r="E1" s="5" t="s">
        <v>8</v>
      </c>
      <c r="F1" s="5" t="s">
        <v>51</v>
      </c>
      <c r="G1" s="5" t="s">
        <v>223</v>
      </c>
      <c r="H1" s="5" t="s">
        <v>237</v>
      </c>
      <c r="I1" s="5" t="s">
        <v>54</v>
      </c>
      <c r="J1" s="5" t="s">
        <v>55</v>
      </c>
      <c r="K1" s="5" t="s">
        <v>56</v>
      </c>
      <c r="L1" s="5" t="s">
        <v>238</v>
      </c>
      <c r="M1" s="5" t="s">
        <v>239</v>
      </c>
      <c r="N1" s="5" t="s">
        <v>76</v>
      </c>
      <c r="O1" s="5" t="s">
        <v>77</v>
      </c>
      <c r="P1" s="5" t="s">
        <v>78</v>
      </c>
      <c r="Q1" s="5" t="s">
        <v>48</v>
      </c>
      <c r="R1" s="5" t="s">
        <v>49</v>
      </c>
      <c r="S1" s="5" t="s">
        <v>50</v>
      </c>
      <c r="T1" s="5" t="s">
        <v>27</v>
      </c>
      <c r="U1" s="5" t="s">
        <v>28</v>
      </c>
      <c r="V1" s="5" t="s">
        <v>29</v>
      </c>
      <c r="W1" s="5" t="s">
        <v>13</v>
      </c>
      <c r="X1" s="5" t="s">
        <v>211</v>
      </c>
      <c r="Y1" s="15" t="s">
        <v>14</v>
      </c>
      <c r="Z1" s="15" t="s">
        <v>15</v>
      </c>
      <c r="AB1" s="15" t="s">
        <v>240</v>
      </c>
    </row>
    <row r="2" spans="1:28" ht="15" thickBot="1">
      <c r="A2" s="6">
        <v>0</v>
      </c>
      <c r="B2" s="7">
        <f>$Z$2*A2+$Z$3</f>
        <v>-9.2993754364982397</v>
      </c>
      <c r="C2" s="7">
        <f>1/(1+EXP(-B2))</f>
        <v>9.1472981479613044E-5</v>
      </c>
      <c r="D2" s="7">
        <f>$Z$4*C2+$Z$5</f>
        <v>-4.7912354640970198</v>
      </c>
      <c r="E2" s="7">
        <f>$Z$6*C2+$Z$7</f>
        <v>-2.298821615256466</v>
      </c>
      <c r="F2" s="7">
        <f>$Z$6*C2+$Z$7</f>
        <v>-2.298821615256466</v>
      </c>
      <c r="G2" s="7">
        <f>$Z$10*A2+$Z$11</f>
        <v>1.7018716966564671</v>
      </c>
      <c r="H2" s="7">
        <f>TANH(G2)</f>
        <v>0.93564264195004787</v>
      </c>
      <c r="I2" s="7">
        <f>$Z$12*H2+$Z$13</f>
        <v>6.1619040566537215</v>
      </c>
      <c r="J2" s="7">
        <f>$Z$14*H2+$Z$15</f>
        <v>-5.1253158412366702</v>
      </c>
      <c r="K2" s="7">
        <f>$Z$16*H2+$Z$17</f>
        <v>5.8607232611708886</v>
      </c>
      <c r="L2" s="7">
        <f>$Z$18*A2+$Z$19</f>
        <v>1.6548382702559052</v>
      </c>
      <c r="M2" s="7">
        <f>TANH(L2)</f>
        <v>0.92951857042099839</v>
      </c>
      <c r="N2" s="7">
        <f>$Z$20*M2+$Z$21</f>
        <v>-0.31531484725990566</v>
      </c>
      <c r="O2" s="7">
        <f>$Z$22*M2+$Z$23</f>
        <v>7.4290103701434571</v>
      </c>
      <c r="P2" s="7">
        <f>$Z$24*M2+$Z$25</f>
        <v>-3.6191285472072767</v>
      </c>
      <c r="Q2" s="7">
        <f>SUM(D2,I2,N2)</f>
        <v>1.055353745296796</v>
      </c>
      <c r="R2" s="7">
        <f>SUM(E2,J2,O2)</f>
        <v>4.8729136503204984E-3</v>
      </c>
      <c r="S2" s="7">
        <f>SUM(F2,K2,P2)</f>
        <v>-5.7226901292854127E-2</v>
      </c>
      <c r="T2" s="17">
        <v>0.99916902781949102</v>
      </c>
      <c r="U2" s="17">
        <v>-5.1644142064485399E-4</v>
      </c>
      <c r="V2" s="17">
        <v>1.29646532345248E-3</v>
      </c>
      <c r="W2" s="34">
        <f>SUM((Q2-T2)^2, (R2-U2)^2, (S2-V2)^2)/60</f>
        <v>1.1017920110320259E-4</v>
      </c>
      <c r="X2" s="76" t="s">
        <v>206</v>
      </c>
      <c r="Y2" s="77" t="s">
        <v>16</v>
      </c>
      <c r="Z2" s="22">
        <v>-7.114190235101125</v>
      </c>
      <c r="AA2">
        <v>-7.114190235101125</v>
      </c>
      <c r="AB2" s="78">
        <f>AVERAGE(W2:W61)</f>
        <v>4.4425912749290641E-5</v>
      </c>
    </row>
    <row r="3" spans="1:28">
      <c r="A3" s="6">
        <v>1</v>
      </c>
      <c r="B3" s="7">
        <f>$Z$2*A3+$Z$3</f>
        <v>-16.413565671599365</v>
      </c>
      <c r="C3" s="7">
        <f>1/(1+EXP(-B3))</f>
        <v>7.4418166909910405E-8</v>
      </c>
      <c r="D3" s="7">
        <f>$Z$4*C3+$Z$5</f>
        <v>-4.7908521197697675</v>
      </c>
      <c r="E3" s="7">
        <f>$Z$6*C3+$Z$7</f>
        <v>-2.299597435519392</v>
      </c>
      <c r="F3" s="7">
        <f>$Z$6*C3+$Z$7</f>
        <v>-2.299597435519392</v>
      </c>
      <c r="G3" s="7">
        <f>$Z$10*A3+$Z$11</f>
        <v>1.6023898727308035</v>
      </c>
      <c r="H3" s="7">
        <f>TANH(G3)</f>
        <v>0.922027503629957</v>
      </c>
      <c r="I3" s="7">
        <f>$Z$12*H3+$Z$13</f>
        <v>6.1111804598325925</v>
      </c>
      <c r="J3" s="7">
        <f>$Z$14*H3+$Z$15</f>
        <v>-4.9935104286509766</v>
      </c>
      <c r="K3" s="7">
        <f>$Z$16*H3+$Z$17</f>
        <v>5.7776978862090393</v>
      </c>
      <c r="L3" s="7">
        <f>$Z$18*A3+$Z$19</f>
        <v>1.5603362720478913</v>
      </c>
      <c r="M3" s="7">
        <f>TANH(L3)</f>
        <v>0.91547491743274234</v>
      </c>
      <c r="N3" s="7">
        <f>$Z$20*M3+$Z$21</f>
        <v>-0.27042466096351792</v>
      </c>
      <c r="O3" s="7">
        <f>$Z$22*M3+$Z$23</f>
        <v>7.2932747941367264</v>
      </c>
      <c r="P3" s="7">
        <f>$Z$24*M3+$Z$25</f>
        <v>-3.5262678544739581</v>
      </c>
      <c r="Q3" s="7">
        <f>SUM(D3,I3,N3)</f>
        <v>1.049903679099307</v>
      </c>
      <c r="R3" s="7">
        <f>SUM(E3,J3,O3)</f>
        <v>1.6692996635825352E-4</v>
      </c>
      <c r="S3" s="7">
        <f>SUM(F3,K3,P3)</f>
        <v>-4.8167403784310725E-2</v>
      </c>
      <c r="T3" s="17">
        <v>0.98960193539692398</v>
      </c>
      <c r="U3" s="17">
        <v>2.1639113228485896E-3</v>
      </c>
      <c r="V3" s="17">
        <v>2.6945909567850398E-3</v>
      </c>
      <c r="W3" s="34">
        <f>SUM((Q3-T3)^2, (R3-U3)^2, (S3-V3)^2)/60</f>
        <v>1.037871789521553E-4</v>
      </c>
      <c r="X3" s="67"/>
      <c r="Y3" s="77" t="s">
        <v>17</v>
      </c>
      <c r="Z3" s="22">
        <v>-9.2993754364982397</v>
      </c>
      <c r="AA3">
        <v>-9.2993754364982397</v>
      </c>
    </row>
    <row r="4" spans="1:28">
      <c r="A4" s="6">
        <v>2</v>
      </c>
      <c r="B4" s="7">
        <f>$Z$2*A4+$Z$3</f>
        <v>-23.527755906700492</v>
      </c>
      <c r="C4" s="7">
        <f>1/(1+EXP(-B4))</f>
        <v>6.0537633269709996E-11</v>
      </c>
      <c r="D4" s="7">
        <f>$Z$4*C4+$Z$5</f>
        <v>-4.7908518078986138</v>
      </c>
      <c r="E4" s="7">
        <f>$Z$6*C4+$Z$7</f>
        <v>-2.2995980666907521</v>
      </c>
      <c r="F4" s="7">
        <f>$Z$6*C4+$Z$7</f>
        <v>-2.2995980666907521</v>
      </c>
      <c r="G4" s="7">
        <f>$Z$10*A4+$Z$11</f>
        <v>1.5029080488051398</v>
      </c>
      <c r="H4" s="7">
        <f>TANH(G4)</f>
        <v>0.90567237628917041</v>
      </c>
      <c r="I4" s="7">
        <f>$Z$12*H4+$Z$13</f>
        <v>6.050248953615859</v>
      </c>
      <c r="J4" s="7">
        <f>$Z$14*H4+$Z$15</f>
        <v>-4.8351797340694223</v>
      </c>
      <c r="K4" s="7">
        <f>$Z$16*H4+$Z$17</f>
        <v>5.6779640055760483</v>
      </c>
      <c r="L4" s="7">
        <f>$Z$18*A4+$Z$19</f>
        <v>1.4658342738398773</v>
      </c>
      <c r="M4" s="7">
        <f>TANH(L4)</f>
        <v>0.89877981355311276</v>
      </c>
      <c r="N4" s="7">
        <f>$Z$20*M4+$Z$21</f>
        <v>-0.21705917806381647</v>
      </c>
      <c r="O4" s="7">
        <f>$Z$22*M4+$Z$23</f>
        <v>7.1319122523900216</v>
      </c>
      <c r="P4" s="7">
        <f>$Z$24*M4+$Z$25</f>
        <v>-3.4158750020719832</v>
      </c>
      <c r="Q4" s="7">
        <f>SUM(D4,I4,N4)</f>
        <v>1.0423379676534288</v>
      </c>
      <c r="R4" s="7">
        <f>SUM(E4,J4,O4)</f>
        <v>-2.8655483701527373E-3</v>
      </c>
      <c r="S4" s="7">
        <f>SUM(F4,K4,P4)</f>
        <v>-3.7509063186687008E-2</v>
      </c>
      <c r="T4" s="17">
        <v>1.0027006748148801</v>
      </c>
      <c r="U4" s="17">
        <v>3.31005964809079E-3</v>
      </c>
      <c r="V4" s="17">
        <v>-4.7185297244242705E-3</v>
      </c>
      <c r="W4" s="34">
        <f>SUM((Q4-T4)^2, (R4-U4)^2, (S4-V4)^2)/60</f>
        <v>4.4741203378393795E-5</v>
      </c>
      <c r="X4" s="70" t="s">
        <v>234</v>
      </c>
      <c r="Y4" s="79" t="s">
        <v>18</v>
      </c>
      <c r="Z4" s="80">
        <v>-4.194205175203602</v>
      </c>
      <c r="AA4">
        <v>-4.194205175203602</v>
      </c>
    </row>
    <row r="5" spans="1:28">
      <c r="A5" s="6">
        <v>3</v>
      </c>
      <c r="B5" s="7">
        <f>$Z$2*A5+$Z$3</f>
        <v>-30.641946141801611</v>
      </c>
      <c r="C5" s="7">
        <f>1/(1+EXP(-B5))</f>
        <v>4.924610376455456E-14</v>
      </c>
      <c r="D5" s="7">
        <f>$Z$4*C5+$Z$5</f>
        <v>-4.7908518076449136</v>
      </c>
      <c r="E5" s="7">
        <f>$Z$6*C5+$Z$7</f>
        <v>-2.2995980672041969</v>
      </c>
      <c r="F5" s="7">
        <f>$Z$6*C5+$Z$7</f>
        <v>-2.2995980672041969</v>
      </c>
      <c r="G5" s="7">
        <f>$Z$10*A5+$Z$11</f>
        <v>1.4034262248794764</v>
      </c>
      <c r="H5" s="7">
        <f>TANH(G5)</f>
        <v>0.88608999254205056</v>
      </c>
      <c r="I5" s="7">
        <f>$Z$12*H5+$Z$13</f>
        <v>5.9772942090783143</v>
      </c>
      <c r="J5" s="7">
        <f>$Z$14*H5+$Z$15</f>
        <v>-4.645606620045907</v>
      </c>
      <c r="K5" s="7">
        <f>$Z$16*H5+$Z$17</f>
        <v>5.5585502533960707</v>
      </c>
      <c r="L5" s="7">
        <f>$Z$18*A5+$Z$19</f>
        <v>1.3713322756318633</v>
      </c>
      <c r="M5" s="7">
        <f>TANH(L5)</f>
        <v>0.87899546381817528</v>
      </c>
      <c r="N5" s="7">
        <f>$Z$20*M5+$Z$21</f>
        <v>-0.15381899788442022</v>
      </c>
      <c r="O5" s="7">
        <f>$Z$22*M5+$Z$23</f>
        <v>6.9406913421727143</v>
      </c>
      <c r="P5" s="7">
        <f>$Z$24*M5+$Z$25</f>
        <v>-3.2850551631596376</v>
      </c>
      <c r="Q5" s="7">
        <f>SUM(D5,I5,N5)</f>
        <v>1.0326234035489805</v>
      </c>
      <c r="R5" s="7">
        <f>SUM(E5,J5,O5)</f>
        <v>-4.5133450773899852E-3</v>
      </c>
      <c r="S5" s="7">
        <f>SUM(F5,K5,P5)</f>
        <v>-2.6102976967763869E-2</v>
      </c>
      <c r="T5" s="17">
        <v>0.99110329365628103</v>
      </c>
      <c r="U5" s="17">
        <v>1.5165637719900501E-3</v>
      </c>
      <c r="V5" s="17">
        <v>2.4789689316632598E-3</v>
      </c>
      <c r="W5" s="34">
        <f>SUM((Q5-T5)^2, (R5-U5)^2, (S5-V5)^2)/60</f>
        <v>4.2953449293857558E-5</v>
      </c>
      <c r="X5" s="67"/>
      <c r="Y5" s="79" t="s">
        <v>19</v>
      </c>
      <c r="Z5" s="80">
        <v>-4.7908518076447066</v>
      </c>
      <c r="AA5">
        <v>-4.7908518076447066</v>
      </c>
    </row>
    <row r="6" spans="1:28">
      <c r="A6" s="6">
        <v>4</v>
      </c>
      <c r="B6" s="7">
        <f>$Z$2*A6+$Z$3</f>
        <v>-37.756136376902738</v>
      </c>
      <c r="C6" s="7">
        <f>1/(1+EXP(-B6))</f>
        <v>4.0060679693867709E-17</v>
      </c>
      <c r="D6" s="7">
        <f>$Z$4*C6+$Z$5</f>
        <v>-4.7908518076447066</v>
      </c>
      <c r="E6" s="7">
        <f>$Z$6*C6+$Z$7</f>
        <v>-2.2995980672046143</v>
      </c>
      <c r="F6" s="7">
        <f>$Z$6*C6+$Z$7</f>
        <v>-2.2995980672046143</v>
      </c>
      <c r="G6" s="7">
        <f>$Z$10*A6+$Z$11</f>
        <v>1.3039444009538128</v>
      </c>
      <c r="H6" s="7">
        <f>TANH(G6)</f>
        <v>0.8627351341279017</v>
      </c>
      <c r="I6" s="7">
        <f>$Z$12*H6+$Z$13</f>
        <v>5.8902849996113957</v>
      </c>
      <c r="J6" s="7">
        <f>$Z$14*H6+$Z$15</f>
        <v>-4.4195129383816596</v>
      </c>
      <c r="K6" s="7">
        <f>$Z$16*H6+$Z$17</f>
        <v>5.4161318782441779</v>
      </c>
      <c r="L6" s="7">
        <f>$Z$18*A6+$Z$19</f>
        <v>1.2768302774238496</v>
      </c>
      <c r="M6" s="7">
        <f>TANH(L6)</f>
        <v>0.85563809879012187</v>
      </c>
      <c r="N6" s="7">
        <f>$Z$20*M6+$Z$21</f>
        <v>-7.9157763490572464E-2</v>
      </c>
      <c r="O6" s="7">
        <f>$Z$22*M6+$Z$23</f>
        <v>6.7149363054501805</v>
      </c>
      <c r="P6" s="7">
        <f>$Z$24*M6+$Z$25</f>
        <v>-3.1306095143855028</v>
      </c>
      <c r="Q6" s="7">
        <f>SUM(D6,I6,N6)</f>
        <v>1.0202754284761166</v>
      </c>
      <c r="R6" s="7">
        <f>SUM(E6,J6,O6)</f>
        <v>-4.1747001360938896E-3</v>
      </c>
      <c r="S6" s="7">
        <f>SUM(F6,K6,P6)</f>
        <v>-1.4075703345939328E-2</v>
      </c>
      <c r="T6" s="17">
        <v>0.99855053119660397</v>
      </c>
      <c r="U6" s="17">
        <v>2.0051112150917699E-3</v>
      </c>
      <c r="V6" s="17">
        <v>3.86363487767975E-3</v>
      </c>
      <c r="W6" s="34">
        <f>SUM((Q6-T6)^2, (R6-U6)^2, (S6-V6)^2)/60</f>
        <v>1.3866351434050334E-5</v>
      </c>
      <c r="X6" s="67"/>
      <c r="Y6" s="79" t="s">
        <v>20</v>
      </c>
      <c r="Z6" s="80">
        <v>8.4883201092733476</v>
      </c>
      <c r="AA6">
        <v>8.4883201092733476</v>
      </c>
    </row>
    <row r="7" spans="1:28">
      <c r="A7" s="6">
        <v>5</v>
      </c>
      <c r="B7" s="7">
        <f>$Z$2*A7+$Z$3</f>
        <v>-44.870326612003865</v>
      </c>
      <c r="C7" s="7">
        <f>1/(1+EXP(-B7))</f>
        <v>3.2588528530244874E-20</v>
      </c>
      <c r="D7" s="7">
        <f>$Z$4*C7+$Z$5</f>
        <v>-4.7908518076447066</v>
      </c>
      <c r="E7" s="7">
        <f>$Z$6*C7+$Z$7</f>
        <v>-2.2995980672046148</v>
      </c>
      <c r="F7" s="7">
        <f>$Z$6*C7+$Z$7</f>
        <v>-2.2995980672046148</v>
      </c>
      <c r="G7" s="7">
        <f>$Z$10*A7+$Z$11</f>
        <v>1.2044625770281492</v>
      </c>
      <c r="H7" s="7">
        <f>TANH(G7)</f>
        <v>0.83501072813142385</v>
      </c>
      <c r="I7" s="7">
        <f>$Z$12*H7+$Z$13</f>
        <v>5.7869969125711407</v>
      </c>
      <c r="J7" s="7">
        <f>$Z$14*H7+$Z$15</f>
        <v>-4.1511185464079272</v>
      </c>
      <c r="K7" s="7">
        <f>$Z$16*H7+$Z$17</f>
        <v>5.2470679180157695</v>
      </c>
      <c r="L7" s="7">
        <f>$Z$18*A7+$Z$19</f>
        <v>1.1823282792158354</v>
      </c>
      <c r="M7" s="7">
        <f>TANH(L7)</f>
        <v>0.82818435993817485</v>
      </c>
      <c r="N7" s="7">
        <f>$Z$20*M7+$Z$21</f>
        <v>8.5974276001552496E-3</v>
      </c>
      <c r="O7" s="7">
        <f>$Z$22*M7+$Z$23</f>
        <v>6.4495887452588541</v>
      </c>
      <c r="P7" s="7">
        <f>$Z$24*M7+$Z$25</f>
        <v>-2.9490774578726198</v>
      </c>
      <c r="Q7" s="7">
        <f>SUM(D7,I7,N7)</f>
        <v>1.0047425325265893</v>
      </c>
      <c r="R7" s="7">
        <f>SUM(E7,J7,O7)</f>
        <v>-1.1278683536879441E-3</v>
      </c>
      <c r="S7" s="7">
        <f>SUM(F7,K7,P7)</f>
        <v>-1.6076070614650106E-3</v>
      </c>
      <c r="T7" s="17">
        <v>0.99334815329542803</v>
      </c>
      <c r="U7" s="17">
        <v>5.7859344004262394E-3</v>
      </c>
      <c r="V7" s="17">
        <v>-4.6798608314981898E-3</v>
      </c>
      <c r="W7" s="34">
        <f>SUM((Q7-T7)^2, (R7-U7)^2, (S7-V7)^2)/60</f>
        <v>3.1178548302299865E-6</v>
      </c>
      <c r="X7" s="67"/>
      <c r="Y7" s="79" t="s">
        <v>21</v>
      </c>
      <c r="Z7" s="80">
        <v>-2.2995980672046148</v>
      </c>
      <c r="AA7">
        <v>-2.2995980672046148</v>
      </c>
    </row>
    <row r="8" spans="1:28">
      <c r="A8" s="6">
        <v>6</v>
      </c>
      <c r="B8" s="7">
        <f>$Z$2*A8+$Z$3</f>
        <v>-51.984516847104985</v>
      </c>
      <c r="C8" s="7">
        <f>1/(1+EXP(-B8))</f>
        <v>2.6510089191750763E-23</v>
      </c>
      <c r="D8" s="7">
        <f>$Z$4*C8+$Z$5</f>
        <v>-4.7908518076447066</v>
      </c>
      <c r="E8" s="7">
        <f>$Z$6*C8+$Z$7</f>
        <v>-2.2995980672046148</v>
      </c>
      <c r="F8" s="7">
        <f>$Z$6*C8+$Z$7</f>
        <v>-2.2995980672046148</v>
      </c>
      <c r="G8" s="7">
        <f>$Z$10*A8+$Z$11</f>
        <v>1.1049807531024856</v>
      </c>
      <c r="H8" s="7">
        <f>TANH(G8)</f>
        <v>0.8022809952099309</v>
      </c>
      <c r="I8" s="7">
        <f>$Z$12*H8+$Z$13</f>
        <v>5.665061333384017</v>
      </c>
      <c r="J8" s="7">
        <f>$Z$14*H8+$Z$15</f>
        <v>-3.8342685923262172</v>
      </c>
      <c r="K8" s="7">
        <f>$Z$16*H8+$Z$17</f>
        <v>5.0474813780686674</v>
      </c>
      <c r="L8" s="7">
        <f>$Z$18*A8+$Z$19</f>
        <v>1.0878262810078216</v>
      </c>
      <c r="M8" s="7">
        <f>TANH(L8)</f>
        <v>0.79608339348616886</v>
      </c>
      <c r="N8" s="7">
        <f>$Z$20*M8+$Z$21</f>
        <v>0.11120736573588719</v>
      </c>
      <c r="O8" s="7">
        <f>$Z$22*M8+$Z$23</f>
        <v>6.1393245159034677</v>
      </c>
      <c r="P8" s="7">
        <f>$Z$24*M8+$Z$25</f>
        <v>-2.7368165892343059</v>
      </c>
      <c r="Q8" s="7">
        <f>SUM(D8,I8,N8)</f>
        <v>0.98541689147519751</v>
      </c>
      <c r="R8" s="7">
        <f>SUM(E8,J8,O8)</f>
        <v>5.4578563726357388E-3</v>
      </c>
      <c r="S8" s="7">
        <f>SUM(F8,K8,P8)</f>
        <v>1.1066721629746645E-2</v>
      </c>
      <c r="T8" s="17">
        <v>0.98283073740154103</v>
      </c>
      <c r="U8" s="17">
        <v>1.2651330839959601E-2</v>
      </c>
      <c r="V8" s="17">
        <v>3.0346095032803499E-3</v>
      </c>
      <c r="W8" s="34">
        <f>SUM((Q8-T8)^2, (R8-U8)^2, (S8-V8)^2)/60</f>
        <v>2.0491515502809532E-6</v>
      </c>
      <c r="X8" s="67"/>
      <c r="Y8" s="79" t="s">
        <v>22</v>
      </c>
      <c r="Z8" s="80">
        <v>-2.6430284756436144</v>
      </c>
      <c r="AA8">
        <v>-2.6430284756436144</v>
      </c>
    </row>
    <row r="9" spans="1:28" ht="15" thickBot="1">
      <c r="A9" s="6">
        <v>7</v>
      </c>
      <c r="B9" s="7">
        <f>$Z$2*A9+$Z$3</f>
        <v>-59.098707082206111</v>
      </c>
      <c r="C9" s="7">
        <f>1/(1+EXP(-B9))</f>
        <v>2.1565405394181347E-26</v>
      </c>
      <c r="D9" s="7">
        <f>$Z$4*C9+$Z$5</f>
        <v>-4.7908518076447066</v>
      </c>
      <c r="E9" s="7">
        <f>$Z$6*C9+$Z$7</f>
        <v>-2.2995980672046148</v>
      </c>
      <c r="F9" s="7">
        <f>$Z$6*C9+$Z$7</f>
        <v>-2.2995980672046148</v>
      </c>
      <c r="G9" s="7">
        <f>$Z$10*A9+$Z$11</f>
        <v>1.0054989291768219</v>
      </c>
      <c r="H9" s="7">
        <f>TANH(G9)</f>
        <v>0.76389391067314905</v>
      </c>
      <c r="I9" s="7">
        <f>$Z$12*H9+$Z$13</f>
        <v>5.5220491249579666</v>
      </c>
      <c r="J9" s="7">
        <f>$Z$14*H9+$Z$15</f>
        <v>-3.4626509563991332</v>
      </c>
      <c r="K9" s="7">
        <f>$Z$16*H9+$Z$17</f>
        <v>4.8133961993191017</v>
      </c>
      <c r="L9" s="7">
        <f>$Z$18*A9+$Z$19</f>
        <v>0.99332428279980767</v>
      </c>
      <c r="M9" s="7">
        <f>TANH(L9)</f>
        <v>0.75877624107320718</v>
      </c>
      <c r="N9" s="7">
        <f>$Z$20*M9+$Z$21</f>
        <v>0.23045874736757943</v>
      </c>
      <c r="O9" s="7">
        <f>$Z$22*M9+$Z$23</f>
        <v>5.7787411387594387</v>
      </c>
      <c r="P9" s="7">
        <f>$Z$24*M9+$Z$25</f>
        <v>-2.4901309142270858</v>
      </c>
      <c r="Q9" s="7">
        <f>SUM(D9,I9,N9)</f>
        <v>0.96165606468083942</v>
      </c>
      <c r="R9" s="7">
        <f>SUM(E9,J9,O9)</f>
        <v>1.6492115155690712E-2</v>
      </c>
      <c r="S9" s="7">
        <f>SUM(F9,K9,P9)</f>
        <v>2.3667217887401115E-2</v>
      </c>
      <c r="T9" s="17">
        <v>0.97539398785926001</v>
      </c>
      <c r="U9" s="17">
        <v>2.03539996715329E-2</v>
      </c>
      <c r="V9" s="17">
        <v>7.4668309922445502E-3</v>
      </c>
      <c r="W9" s="34">
        <f>SUM((Q9-T9)^2, (R9-U9)^2, (S9-V9)^2)/60</f>
        <v>7.7682870137108013E-6</v>
      </c>
      <c r="X9" s="72"/>
      <c r="Y9" s="79" t="s">
        <v>23</v>
      </c>
      <c r="Z9" s="80">
        <v>1.1276780865749707</v>
      </c>
      <c r="AA9">
        <v>1.1276780865749707</v>
      </c>
    </row>
    <row r="10" spans="1:28">
      <c r="A10" s="6">
        <v>8</v>
      </c>
      <c r="B10" s="7">
        <f>$Z$2*A10+$Z$3</f>
        <v>-66.212897317307238</v>
      </c>
      <c r="C10" s="7">
        <f>1/(1+EXP(-B10))</f>
        <v>1.7543008114816245E-29</v>
      </c>
      <c r="D10" s="7">
        <f>$Z$4*C10+$Z$5</f>
        <v>-4.7908518076447066</v>
      </c>
      <c r="E10" s="7">
        <f>$Z$6*C10+$Z$7</f>
        <v>-2.2995980672046148</v>
      </c>
      <c r="F10" s="7">
        <f>$Z$6*C10+$Z$7</f>
        <v>-2.2995980672046148</v>
      </c>
      <c r="G10" s="7">
        <f>$Z$10*A10+$Z$11</f>
        <v>0.90601710525115831</v>
      </c>
      <c r="H10" s="7">
        <f>TANH(G10)</f>
        <v>0.71921509465004962</v>
      </c>
      <c r="I10" s="7">
        <f>$Z$12*H10+$Z$13</f>
        <v>5.355596886492128</v>
      </c>
      <c r="J10" s="7">
        <f>$Z$14*H10+$Z$15</f>
        <v>-3.030124334831501</v>
      </c>
      <c r="K10" s="7">
        <f>$Z$16*H10+$Z$17</f>
        <v>4.5409439211299398</v>
      </c>
      <c r="L10" s="7">
        <f>$Z$18*A10+$Z$19</f>
        <v>0.8988222845917937</v>
      </c>
      <c r="M10" s="7">
        <f>TANH(L10)</f>
        <v>0.71572393621776931</v>
      </c>
      <c r="N10" s="7">
        <f>$Z$20*M10+$Z$21</f>
        <v>0.3680743654026899</v>
      </c>
      <c r="O10" s="7">
        <f>$Z$22*M10+$Z$23</f>
        <v>5.3626293619406171</v>
      </c>
      <c r="P10" s="7">
        <f>$Z$24*M10+$Z$25</f>
        <v>-2.2054566306923702</v>
      </c>
      <c r="Q10" s="7">
        <f>SUM(D10,I10,N10)</f>
        <v>0.93281944425011121</v>
      </c>
      <c r="R10" s="7">
        <f>SUM(E10,J10,O10)</f>
        <v>3.2906959904501321E-2</v>
      </c>
      <c r="S10" s="7">
        <f>SUM(F10,K10,P10)</f>
        <v>3.5889223232954848E-2</v>
      </c>
      <c r="T10" s="17">
        <v>0.96249140793574095</v>
      </c>
      <c r="U10" s="17">
        <v>3.3533967396357001E-2</v>
      </c>
      <c r="V10" s="17">
        <v>9.1761695406187595E-3</v>
      </c>
      <c r="W10" s="18">
        <f>SUM((Q10-T10)^2, (R10-U10)^2, (S10-V10)^2)/60</f>
        <v>2.6573430082096735E-5</v>
      </c>
      <c r="X10" s="81" t="s">
        <v>223</v>
      </c>
      <c r="Y10" s="31" t="s">
        <v>62</v>
      </c>
      <c r="Z10" s="23">
        <v>-9.9481823925663598E-2</v>
      </c>
      <c r="AA10">
        <v>-9.9481823925663598E-2</v>
      </c>
    </row>
    <row r="11" spans="1:28">
      <c r="A11" s="6">
        <v>9</v>
      </c>
      <c r="B11" s="7">
        <f>$Z$2*A11+$Z$3</f>
        <v>-73.327087552408358</v>
      </c>
      <c r="C11" s="7">
        <f>1/(1+EXP(-B11))</f>
        <v>1.4270871708238232E-32</v>
      </c>
      <c r="D11" s="7">
        <f>$Z$4*C11+$Z$5</f>
        <v>-4.7908518076447066</v>
      </c>
      <c r="E11" s="7">
        <f>$Z$6*C11+$Z$7</f>
        <v>-2.2995980672046148</v>
      </c>
      <c r="F11" s="7">
        <f>$Z$6*C11+$Z$7</f>
        <v>-2.2995980672046148</v>
      </c>
      <c r="G11" s="7">
        <f>$Z$10*A11+$Z$11</f>
        <v>0.80653528132549468</v>
      </c>
      <c r="H11" s="7">
        <f>TANH(G11)</f>
        <v>0.66767451467661842</v>
      </c>
      <c r="I11" s="7">
        <f>$Z$12*H11+$Z$13</f>
        <v>5.1635809453362631</v>
      </c>
      <c r="J11" s="7">
        <f>$Z$14*H11+$Z$15</f>
        <v>-2.5311703581187119</v>
      </c>
      <c r="K11" s="7">
        <f>$Z$16*H11+$Z$17</f>
        <v>4.2266484745878472</v>
      </c>
      <c r="L11" s="7">
        <f>$Z$18*A11+$Z$19</f>
        <v>0.80432028638377973</v>
      </c>
      <c r="M11" s="7">
        <f>TANH(L11)</f>
        <v>0.66644512455626048</v>
      </c>
      <c r="N11" s="7">
        <f>$Z$20*M11+$Z$21</f>
        <v>0.52559285705152403</v>
      </c>
      <c r="O11" s="7">
        <f>$Z$22*M11+$Z$23</f>
        <v>4.8863367697357534</v>
      </c>
      <c r="P11" s="7">
        <f>$Z$24*M11+$Z$25</f>
        <v>-1.8796108844474899</v>
      </c>
      <c r="Q11" s="7">
        <f>SUM(D11,I11,N11)</f>
        <v>0.8983219947430805</v>
      </c>
      <c r="R11" s="7">
        <f>SUM(E11,J11,O11)</f>
        <v>5.556834441242664E-2</v>
      </c>
      <c r="S11" s="7">
        <f>SUM(F11,K11,P11)</f>
        <v>4.7439522935742495E-2</v>
      </c>
      <c r="T11" s="17">
        <v>0.94450237023887595</v>
      </c>
      <c r="U11" s="17">
        <v>4.7496166004264602E-2</v>
      </c>
      <c r="V11" s="17">
        <v>7.5225339506602403E-3</v>
      </c>
      <c r="W11" s="18">
        <f>SUM((Q11-T11)^2, (R11-U11)^2, (S11-V11)^2)/60</f>
        <v>6.3185885913684005E-5</v>
      </c>
      <c r="X11" s="81"/>
      <c r="Y11" s="82" t="s">
        <v>63</v>
      </c>
      <c r="Z11" s="83">
        <v>1.7018716966564671</v>
      </c>
      <c r="AA11">
        <v>1.7018716966564671</v>
      </c>
    </row>
    <row r="12" spans="1:28">
      <c r="A12" s="6">
        <v>10</v>
      </c>
      <c r="B12" s="7">
        <f>$Z$2*A12+$Z$3</f>
        <v>-80.441277787509492</v>
      </c>
      <c r="C12" s="7">
        <f>1/(1+EXP(-B12))</f>
        <v>1.160905689492265E-35</v>
      </c>
      <c r="D12" s="7">
        <f>$Z$4*C12+$Z$5</f>
        <v>-4.7908518076447066</v>
      </c>
      <c r="E12" s="7">
        <f>$Z$6*C12+$Z$7</f>
        <v>-2.2995980672046148</v>
      </c>
      <c r="F12" s="7">
        <f>$Z$6*C12+$Z$7</f>
        <v>-2.2995980672046148</v>
      </c>
      <c r="G12" s="7">
        <f>$Z$10*A12+$Z$11</f>
        <v>0.70705345739983105</v>
      </c>
      <c r="H12" s="7">
        <f>TANH(G12)</f>
        <v>0.60882580778411954</v>
      </c>
      <c r="I12" s="7">
        <f>$Z$12*H12+$Z$13</f>
        <v>4.9443383631690887</v>
      </c>
      <c r="J12" s="7">
        <f>$Z$14*H12+$Z$15</f>
        <v>-1.9614678762383386</v>
      </c>
      <c r="K12" s="7">
        <f>$Z$16*H12+$Z$17</f>
        <v>3.8677879297368363</v>
      </c>
      <c r="L12" s="7">
        <f>$Z$18*A12+$Z$19</f>
        <v>0.70981828817576575</v>
      </c>
      <c r="M12" s="7">
        <f>TANH(L12)</f>
        <v>0.61056287344715376</v>
      </c>
      <c r="N12" s="7">
        <f>$Z$20*M12+$Z$21</f>
        <v>0.70421907809579887</v>
      </c>
      <c r="O12" s="7">
        <f>$Z$22*M12+$Z$23</f>
        <v>4.3462202096647804</v>
      </c>
      <c r="P12" s="7">
        <f>$Z$24*M12+$Z$25</f>
        <v>-1.5101012879181264</v>
      </c>
      <c r="Q12" s="7">
        <f>SUM(D12,I12,N12)</f>
        <v>0.85770563362018093</v>
      </c>
      <c r="R12" s="7">
        <f>SUM(E12,J12,O12)</f>
        <v>8.515426622182698E-2</v>
      </c>
      <c r="S12" s="7">
        <f>SUM(F12,K12,P12)</f>
        <v>5.8088574614095112E-2</v>
      </c>
      <c r="T12" s="17">
        <v>0.91819898168117797</v>
      </c>
      <c r="U12" s="17">
        <v>6.7597221336325009E-2</v>
      </c>
      <c r="V12" s="17">
        <v>3.2927993138720797E-3</v>
      </c>
      <c r="W12" s="18">
        <f>SUM((Q12-T12)^2, (R12-U12)^2, (S12-V12)^2)/60</f>
        <v>1.1617119959154995E-4</v>
      </c>
      <c r="X12" s="70" t="s">
        <v>235</v>
      </c>
      <c r="Y12" s="84" t="s">
        <v>64</v>
      </c>
      <c r="Z12" s="85">
        <v>3.7255293063222767</v>
      </c>
      <c r="AA12">
        <v>3.7255293063222767</v>
      </c>
    </row>
    <row r="13" spans="1:28">
      <c r="A13" s="6">
        <v>11</v>
      </c>
      <c r="B13" s="7">
        <f>$Z$2*A13+$Z$3</f>
        <v>-87.555468022610611</v>
      </c>
      <c r="C13" s="7">
        <f>1/(1+EXP(-B13))</f>
        <v>9.443725985691078E-39</v>
      </c>
      <c r="D13" s="7">
        <f>$Z$4*C13+$Z$5</f>
        <v>-4.7908518076447066</v>
      </c>
      <c r="E13" s="7">
        <f>$Z$6*C13+$Z$7</f>
        <v>-2.2995980672046148</v>
      </c>
      <c r="F13" s="7">
        <f>$Z$6*C13+$Z$7</f>
        <v>-2.2995980672046148</v>
      </c>
      <c r="G13" s="7">
        <f>$Z$10*A13+$Z$11</f>
        <v>0.60757163347416743</v>
      </c>
      <c r="H13" s="7">
        <f>TANH(G13)</f>
        <v>0.54241545094190213</v>
      </c>
      <c r="I13" s="7">
        <f>$Z$12*H13+$Z$13</f>
        <v>4.696924632510088</v>
      </c>
      <c r="J13" s="7">
        <f>$Z$14*H13+$Z$15</f>
        <v>-1.3185625837790571</v>
      </c>
      <c r="K13" s="7">
        <f>$Z$16*H13+$Z$17</f>
        <v>3.462816298266953</v>
      </c>
      <c r="L13" s="7">
        <f>$Z$18*A13+$Z$19</f>
        <v>0.61531628996775178</v>
      </c>
      <c r="M13" s="7">
        <f>TANH(L13)</f>
        <v>0.54785854275083301</v>
      </c>
      <c r="N13" s="7">
        <f>$Z$20*M13+$Z$21</f>
        <v>0.90465190628530268</v>
      </c>
      <c r="O13" s="7">
        <f>$Z$22*M13+$Z$23</f>
        <v>3.7401664676434541</v>
      </c>
      <c r="P13" s="7">
        <f>$Z$24*M13+$Z$25</f>
        <v>-1.0954821293054291</v>
      </c>
      <c r="Q13" s="7">
        <f>SUM(D13,I13,N13)</f>
        <v>0.810724731150684</v>
      </c>
      <c r="R13" s="7">
        <f>SUM(E13,J13,O13)</f>
        <v>0.12200581665978216</v>
      </c>
      <c r="S13" s="7">
        <f>SUM(F13,K13,P13)</f>
        <v>6.7736101756909139E-2</v>
      </c>
      <c r="T13" s="17">
        <v>0.89021613947898592</v>
      </c>
      <c r="U13" s="17">
        <v>9.5969397639399309E-2</v>
      </c>
      <c r="V13" s="17">
        <v>1.96514990734073E-2</v>
      </c>
      <c r="W13" s="18">
        <f>SUM((Q13-T13)^2, (R13-U13)^2, (S13-V13)^2)/60</f>
        <v>1.5514846881086692E-4</v>
      </c>
      <c r="X13" s="81"/>
      <c r="Y13" s="84" t="s">
        <v>65</v>
      </c>
      <c r="Z13" s="85">
        <v>2.6761399738240179</v>
      </c>
      <c r="AA13">
        <v>2.6761399738240179</v>
      </c>
    </row>
    <row r="14" spans="1:28">
      <c r="A14" s="6">
        <v>12</v>
      </c>
      <c r="B14" s="7">
        <f>$Z$2*A14+$Z$3</f>
        <v>-94.669658257711731</v>
      </c>
      <c r="C14" s="7">
        <f>1/(1+EXP(-B14))</f>
        <v>7.6822743914557371E-42</v>
      </c>
      <c r="D14" s="7">
        <f>$Z$4*C14+$Z$5</f>
        <v>-4.7908518076447066</v>
      </c>
      <c r="E14" s="7">
        <f>$Z$6*C14+$Z$7</f>
        <v>-2.2995980672046148</v>
      </c>
      <c r="F14" s="7">
        <f>$Z$6*C14+$Z$7</f>
        <v>-2.2995980672046148</v>
      </c>
      <c r="G14" s="7">
        <f>$Z$10*A14+$Z$11</f>
        <v>0.50808980954850402</v>
      </c>
      <c r="H14" s="7">
        <f>TANH(G14)</f>
        <v>0.4684555357221396</v>
      </c>
      <c r="I14" s="7">
        <f>$Z$12*H14+$Z$13</f>
        <v>4.4213848008657513</v>
      </c>
      <c r="J14" s="7">
        <f>$Z$14*H14+$Z$15</f>
        <v>-0.60257153681636666</v>
      </c>
      <c r="K14" s="7">
        <f>$Z$16*H14+$Z$17</f>
        <v>3.0118073148175362</v>
      </c>
      <c r="L14" s="7">
        <f>$Z$18*A14+$Z$19</f>
        <v>0.52081429175973804</v>
      </c>
      <c r="M14" s="7">
        <f>TANH(L14)</f>
        <v>0.47832824023440851</v>
      </c>
      <c r="N14" s="7">
        <f>$Z$20*M14+$Z$21</f>
        <v>1.126903783045331</v>
      </c>
      <c r="O14" s="7">
        <f>$Z$22*M14+$Z$23</f>
        <v>3.0681379242237821</v>
      </c>
      <c r="P14" s="7">
        <f>$Z$24*M14+$Z$25</f>
        <v>-0.63572767204052116</v>
      </c>
      <c r="Q14" s="7">
        <f>SUM(D14,I14,N14)</f>
        <v>0.75743677626637562</v>
      </c>
      <c r="R14" s="7">
        <f>SUM(E14,J14,O14)</f>
        <v>0.16596832020280061</v>
      </c>
      <c r="S14" s="7">
        <f>SUM(F14,K14,P14)</f>
        <v>7.6481575572400207E-2</v>
      </c>
      <c r="T14" s="17">
        <v>0.83105634839519704</v>
      </c>
      <c r="U14" s="17">
        <v>0.139820372745182</v>
      </c>
      <c r="V14" s="17">
        <v>2.4532806481925299E-2</v>
      </c>
      <c r="W14" s="18">
        <f>SUM((Q14-T14)^2, (R14-U14)^2, (S14-V14)^2)/60</f>
        <v>1.4670385277821009E-4</v>
      </c>
      <c r="X14" s="81"/>
      <c r="Y14" s="84" t="s">
        <v>66</v>
      </c>
      <c r="Z14" s="85">
        <v>-9.680798643903433</v>
      </c>
      <c r="AA14">
        <v>-9.680798643903433</v>
      </c>
    </row>
    <row r="15" spans="1:28">
      <c r="A15" s="6">
        <v>13</v>
      </c>
      <c r="B15" s="7">
        <f>$Z$2*A15+$Z$3</f>
        <v>-101.78384849281287</v>
      </c>
      <c r="C15" s="7">
        <f>1/(1+EXP(-B15))</f>
        <v>6.2493702078011925E-45</v>
      </c>
      <c r="D15" s="7">
        <f>$Z$4*C15+$Z$5</f>
        <v>-4.7908518076447066</v>
      </c>
      <c r="E15" s="7">
        <f>$Z$6*C15+$Z$7</f>
        <v>-2.2995980672046148</v>
      </c>
      <c r="F15" s="7">
        <f>$Z$6*C15+$Z$7</f>
        <v>-2.2995980672046148</v>
      </c>
      <c r="G15" s="7">
        <f>$Z$10*A15+$Z$11</f>
        <v>0.4086079856228404</v>
      </c>
      <c r="H15" s="7">
        <f>TANH(G15)</f>
        <v>0.38729009742385706</v>
      </c>
      <c r="I15" s="7">
        <f>$Z$12*H15+$Z$13</f>
        <v>4.1190005818250075</v>
      </c>
      <c r="J15" s="7">
        <f>$Z$14*H15+$Z$15</f>
        <v>0.18317472819347458</v>
      </c>
      <c r="K15" s="7">
        <f>$Z$16*H15+$Z$17</f>
        <v>2.5168589132494215</v>
      </c>
      <c r="L15" s="7">
        <f>$Z$18*A15+$Z$19</f>
        <v>0.42631229355172406</v>
      </c>
      <c r="M15" s="7">
        <f>TANH(L15)</f>
        <v>0.40223483906115826</v>
      </c>
      <c r="N15" s="7">
        <f>$Z$20*M15+$Z$21</f>
        <v>1.3701344408698626</v>
      </c>
      <c r="O15" s="7">
        <f>$Z$22*M15+$Z$23</f>
        <v>2.3326753172226331</v>
      </c>
      <c r="P15" s="7">
        <f>$Z$24*M15+$Z$25</f>
        <v>-0.13257610945980991</v>
      </c>
      <c r="Q15" s="7">
        <f>SUM(D15,I15,N15)</f>
        <v>0.69828321505016344</v>
      </c>
      <c r="R15" s="7">
        <f>SUM(E15,J15,O15)</f>
        <v>0.21625197821149289</v>
      </c>
      <c r="S15" s="7">
        <f>SUM(F15,K15,P15)</f>
        <v>8.4684736584996756E-2</v>
      </c>
      <c r="T15" s="17">
        <v>0.77338802087821101</v>
      </c>
      <c r="U15" s="17">
        <v>0.19576330278256401</v>
      </c>
      <c r="V15" s="17">
        <v>3.84479753657469E-2</v>
      </c>
      <c r="W15" s="18">
        <f>SUM((Q15-T15)^2, (R15-U15)^2, (S15-V15)^2)/60</f>
        <v>1.3663926278911084E-4</v>
      </c>
      <c r="X15" s="81"/>
      <c r="Y15" s="84" t="s">
        <v>67</v>
      </c>
      <c r="Z15" s="85">
        <v>3.9324521781315784</v>
      </c>
      <c r="AA15">
        <v>3.9324521781315784</v>
      </c>
    </row>
    <row r="16" spans="1:28">
      <c r="A16" s="6">
        <v>14</v>
      </c>
      <c r="B16" s="7">
        <f>$Z$2*A16+$Z$3</f>
        <v>-108.89803872791398</v>
      </c>
      <c r="C16" s="7">
        <f>1/(1+EXP(-B16))</f>
        <v>5.0837324995304023E-48</v>
      </c>
      <c r="D16" s="7">
        <f>$Z$4*C16+$Z$5</f>
        <v>-4.7908518076447066</v>
      </c>
      <c r="E16" s="7">
        <f>$Z$6*C16+$Z$7</f>
        <v>-2.2995980672046148</v>
      </c>
      <c r="F16" s="7">
        <f>$Z$6*C16+$Z$7</f>
        <v>-2.2995980672046148</v>
      </c>
      <c r="G16" s="7">
        <f>$Z$10*A16+$Z$11</f>
        <v>0.30912616169717677</v>
      </c>
      <c r="H16" s="7">
        <f>TANH(G16)</f>
        <v>0.29964192507350662</v>
      </c>
      <c r="I16" s="7">
        <f>$Z$12*H16+$Z$13</f>
        <v>3.7924647470881907</v>
      </c>
      <c r="J16" s="7">
        <f>$Z$14*H16+$Z$15</f>
        <v>1.0316790362233617</v>
      </c>
      <c r="K16" s="7">
        <f>$Z$16*H16+$Z$17</f>
        <v>1.9823786749274588</v>
      </c>
      <c r="L16" s="7">
        <f>$Z$18*A16+$Z$19</f>
        <v>0.33181029534371009</v>
      </c>
      <c r="M16" s="7">
        <f>TANH(L16)</f>
        <v>0.32014646867693353</v>
      </c>
      <c r="N16" s="7">
        <f>$Z$20*M16+$Z$21</f>
        <v>1.6325278681637623</v>
      </c>
      <c r="O16" s="7">
        <f>$Z$22*M16+$Z$23</f>
        <v>1.5392697661972534</v>
      </c>
      <c r="P16" s="7">
        <f>$Z$24*M16+$Z$25</f>
        <v>0.4102159223287023</v>
      </c>
      <c r="Q16" s="7">
        <f>SUM(D16,I16,N16)</f>
        <v>0.63414080760724634</v>
      </c>
      <c r="R16" s="7">
        <f>SUM(E16,J16,O16)</f>
        <v>0.27135073521600028</v>
      </c>
      <c r="S16" s="7">
        <f>SUM(F16,K16,P16)</f>
        <v>9.2996530051546289E-2</v>
      </c>
      <c r="T16" s="17">
        <v>0.68790871012265198</v>
      </c>
      <c r="U16" s="17">
        <v>0.25894601239861498</v>
      </c>
      <c r="V16" s="17">
        <v>6.3388110834698502E-2</v>
      </c>
      <c r="W16" s="18">
        <f>SUM((Q16-T16)^2, (R16-U16)^2, (S16-V16)^2)/60</f>
        <v>6.5358716293382077E-5</v>
      </c>
      <c r="X16" s="81"/>
      <c r="Y16" s="84" t="s">
        <v>68</v>
      </c>
      <c r="Z16" s="85">
        <v>6.0980192055291091</v>
      </c>
      <c r="AA16">
        <v>6.0980192055291091</v>
      </c>
    </row>
    <row r="17" spans="1:37" ht="15" thickBot="1">
      <c r="A17" s="6">
        <v>15</v>
      </c>
      <c r="B17" s="7">
        <f>$Z$2*A17+$Z$3</f>
        <v>-116.01222896301512</v>
      </c>
      <c r="C17" s="7">
        <f>1/(1+EXP(-B17))</f>
        <v>4.1355105022453871E-51</v>
      </c>
      <c r="D17" s="7">
        <f>$Z$4*C17+$Z$5</f>
        <v>-4.7908518076447066</v>
      </c>
      <c r="E17" s="7">
        <f>$Z$6*C17+$Z$7</f>
        <v>-2.2995980672046148</v>
      </c>
      <c r="F17" s="7">
        <f>$Z$6*C17+$Z$7</f>
        <v>-2.2995980672046148</v>
      </c>
      <c r="G17" s="7">
        <f>$Z$10*A17+$Z$11</f>
        <v>0.20964433777151315</v>
      </c>
      <c r="H17" s="7">
        <f>TANH(G17)</f>
        <v>0.20662604729306874</v>
      </c>
      <c r="I17" s="7">
        <f>$Z$12*H17+$Z$13</f>
        <v>3.4459313684638784</v>
      </c>
      <c r="J17" s="7">
        <f>$Z$14*H17+$Z$15</f>
        <v>1.9321470197017119</v>
      </c>
      <c r="K17" s="7">
        <f>$Z$16*H17+$Z$17</f>
        <v>1.4151660658032004</v>
      </c>
      <c r="L17" s="7">
        <f>$Z$18*A17+$Z$19</f>
        <v>0.23730829713569612</v>
      </c>
      <c r="M17" s="7">
        <f>TANH(L17)</f>
        <v>0.23295171732057732</v>
      </c>
      <c r="N17" s="7">
        <f>$Z$20*M17+$Z$21</f>
        <v>1.91124371479763</v>
      </c>
      <c r="O17" s="7">
        <f>$Z$22*M17+$Z$23</f>
        <v>0.69650970868117024</v>
      </c>
      <c r="P17" s="7">
        <f>$Z$24*M17+$Z$25</f>
        <v>0.98677282105239827</v>
      </c>
      <c r="Q17" s="7">
        <f>SUM(D17,I17,N17)</f>
        <v>0.56632327561680174</v>
      </c>
      <c r="R17" s="7">
        <f>SUM(E17,J17,O17)</f>
        <v>0.32905866117826732</v>
      </c>
      <c r="S17" s="7">
        <f>SUM(F17,K17,P17)</f>
        <v>0.10234081965098385</v>
      </c>
      <c r="T17" s="17">
        <v>0.59497831839092707</v>
      </c>
      <c r="U17" s="17">
        <v>0.33076845698165103</v>
      </c>
      <c r="V17" s="17">
        <v>7.3720662375898097E-2</v>
      </c>
      <c r="W17" s="18">
        <f>SUM((Q17-T17)^2, (R17-U17)^2, (S17-V17)^2)/60</f>
        <v>2.7385804675447754E-5</v>
      </c>
      <c r="X17" s="81"/>
      <c r="Y17" s="24" t="s">
        <v>69</v>
      </c>
      <c r="Z17" s="86">
        <v>0.15515646104750119</v>
      </c>
      <c r="AA17">
        <v>0.15515646104750119</v>
      </c>
    </row>
    <row r="18" spans="1:37">
      <c r="A18" s="6">
        <v>16</v>
      </c>
      <c r="B18" s="7">
        <f>$Z$2*A18+$Z$3</f>
        <v>-123.12641919811624</v>
      </c>
      <c r="C18" s="7">
        <f>1/(1+EXP(-B18))</f>
        <v>3.3641516574213792E-54</v>
      </c>
      <c r="D18" s="7">
        <f>$Z$4*C18+$Z$5</f>
        <v>-4.7908518076447066</v>
      </c>
      <c r="E18" s="7">
        <f>$Z$6*C18+$Z$7</f>
        <v>-2.2995980672046148</v>
      </c>
      <c r="F18" s="7">
        <f>$Z$6*C18+$Z$7</f>
        <v>-2.2995980672046148</v>
      </c>
      <c r="G18" s="7">
        <f>$Z$10*A18+$Z$11</f>
        <v>0.11016251384584952</v>
      </c>
      <c r="H18" s="7">
        <f>TANH(G18)</f>
        <v>0.10971903053694436</v>
      </c>
      <c r="I18" s="7">
        <f>$Z$12*H18+$Z$13</f>
        <v>3.0849014375506729</v>
      </c>
      <c r="J18" s="7">
        <f>$Z$14*H18+$Z$15</f>
        <v>2.8702843360991279</v>
      </c>
      <c r="K18" s="7">
        <f>$Z$16*H18+$Z$17</f>
        <v>0.82422521647382263</v>
      </c>
      <c r="L18" s="7">
        <f>$Z$18*A18+$Z$19</f>
        <v>0.14280629892768215</v>
      </c>
      <c r="M18" s="7">
        <f>TANH(L18)</f>
        <v>0.1418433731534148</v>
      </c>
      <c r="N18" s="7">
        <f>$Z$20*M18+$Z$21</f>
        <v>2.2024692631816203</v>
      </c>
      <c r="O18" s="7">
        <f>$Z$22*M18+$Z$23</f>
        <v>-0.18407624604803918</v>
      </c>
      <c r="P18" s="7">
        <f>$Z$24*M18+$Z$25</f>
        <v>1.5892075266253176</v>
      </c>
      <c r="Q18" s="7">
        <f>SUM(D18,I18,N18)</f>
        <v>0.49651889308758657</v>
      </c>
      <c r="R18" s="7">
        <f>SUM(E18,J18,O18)</f>
        <v>0.38661002284647394</v>
      </c>
      <c r="S18" s="7">
        <f>SUM(F18,K18,P18)</f>
        <v>0.11383467589452545</v>
      </c>
      <c r="T18" s="17">
        <v>0.48898600704502004</v>
      </c>
      <c r="U18" s="17">
        <v>0.40789980280525601</v>
      </c>
      <c r="V18" s="17">
        <v>9.9755417736937704E-2</v>
      </c>
      <c r="W18" s="34">
        <f>SUM((Q18-T18)^2, (R18-U18)^2, (S18-V18)^2)/60</f>
        <v>1.1803743551527548E-5</v>
      </c>
      <c r="X18" s="76" t="s">
        <v>238</v>
      </c>
      <c r="Y18" s="31" t="s">
        <v>81</v>
      </c>
      <c r="Z18" s="23">
        <v>-9.4501998208013943E-2</v>
      </c>
      <c r="AA18">
        <v>-9.4501998208013943E-2</v>
      </c>
    </row>
    <row r="19" spans="1:37">
      <c r="A19" s="6">
        <v>17</v>
      </c>
      <c r="B19" s="7">
        <f>$Z$2*A19+$Z$3</f>
        <v>-130.24060943321737</v>
      </c>
      <c r="C19" s="7">
        <f>1/(1+EXP(-B19))</f>
        <v>2.7366673033440432E-57</v>
      </c>
      <c r="D19" s="7">
        <f>$Z$4*C19+$Z$5</f>
        <v>-4.7908518076447066</v>
      </c>
      <c r="E19" s="7">
        <f>$Z$6*C19+$Z$7</f>
        <v>-2.2995980672046148</v>
      </c>
      <c r="F19" s="7">
        <f>$Z$6*C19+$Z$7</f>
        <v>-2.2995980672046148</v>
      </c>
      <c r="G19" s="7">
        <f>$Z$10*A19+$Z$11</f>
        <v>1.0680689920185893E-2</v>
      </c>
      <c r="H19" s="7">
        <f>TANH(G19)</f>
        <v>1.0680283797874553E-2</v>
      </c>
      <c r="I19" s="7">
        <f>$Z$12*H19+$Z$13</f>
        <v>2.7159296841128384</v>
      </c>
      <c r="J19" s="7">
        <f>$Z$14*H19+$Z$15</f>
        <v>3.8290585012246106</v>
      </c>
      <c r="K19" s="7">
        <f>$Z$16*H19+$Z$17</f>
        <v>0.2202850367674416</v>
      </c>
      <c r="L19" s="7">
        <f>$Z$18*A19+$Z$19</f>
        <v>4.8304300719668181E-2</v>
      </c>
      <c r="M19" s="7">
        <f>TANH(L19)</f>
        <v>4.8266766188090796E-2</v>
      </c>
      <c r="N19" s="7">
        <f>$Z$20*M19+$Z$21</f>
        <v>2.5015845520007072</v>
      </c>
      <c r="O19" s="7">
        <f>$Z$22*M19+$Z$23</f>
        <v>-1.0885186057257759</v>
      </c>
      <c r="P19" s="7">
        <f>$Z$24*M19+$Z$25</f>
        <v>2.2079630992459225</v>
      </c>
      <c r="Q19" s="7">
        <f>SUM(D19,I19,N19)</f>
        <v>0.42666242846883895</v>
      </c>
      <c r="R19" s="7">
        <f>SUM(E19,J19,O19)</f>
        <v>0.44094182829421991</v>
      </c>
      <c r="S19" s="7">
        <f>SUM(F19,K19,P19)</f>
        <v>0.1286500688087493</v>
      </c>
      <c r="T19" s="17">
        <v>0.39651123517081099</v>
      </c>
      <c r="U19" s="17">
        <v>0.47372642816447597</v>
      </c>
      <c r="V19" s="17">
        <v>0.13353312106332502</v>
      </c>
      <c r="W19" s="34">
        <f>SUM((Q19-T19)^2, (R19-U19)^2, (S19-V19)^2)/60</f>
        <v>3.3462810754479271E-5</v>
      </c>
      <c r="X19" s="67"/>
      <c r="Y19" s="82" t="s">
        <v>82</v>
      </c>
      <c r="Z19" s="83">
        <v>1.6548382702559052</v>
      </c>
      <c r="AA19">
        <v>1.6548382702559052</v>
      </c>
    </row>
    <row r="20" spans="1:37">
      <c r="A20" s="6">
        <v>18</v>
      </c>
      <c r="B20" s="7">
        <f>$Z$2*A20+$Z$3</f>
        <v>-137.35479966831849</v>
      </c>
      <c r="C20" s="7">
        <f>1/(1+EXP(-B20))</f>
        <v>2.2262218508106868E-60</v>
      </c>
      <c r="D20" s="7">
        <f>$Z$4*C20+$Z$5</f>
        <v>-4.7908518076447066</v>
      </c>
      <c r="E20" s="7">
        <f>$Z$6*C20+$Z$7</f>
        <v>-2.2995980672046148</v>
      </c>
      <c r="F20" s="7">
        <f>$Z$6*C20+$Z$7</f>
        <v>-2.2995980672046148</v>
      </c>
      <c r="G20" s="7">
        <f>$Z$10*A20+$Z$11</f>
        <v>-8.8801134005477733E-2</v>
      </c>
      <c r="H20" s="7">
        <f>TANH(G20)</f>
        <v>-8.856844995686769E-2</v>
      </c>
      <c r="I20" s="7">
        <f>$Z$12*H20+$Z$13</f>
        <v>2.3461756178941693</v>
      </c>
      <c r="J20" s="7">
        <f>$Z$14*H20+$Z$15</f>
        <v>4.7898655083666526</v>
      </c>
      <c r="K20" s="7">
        <f>$Z$16*H20+$Z$17</f>
        <v>-0.38493564779342176</v>
      </c>
      <c r="L20" s="7">
        <f>$Z$18*A20+$Z$19</f>
        <v>-4.619769748834579E-2</v>
      </c>
      <c r="M20" s="7">
        <f>TANH(L20)</f>
        <v>-4.6164860059403276E-2</v>
      </c>
      <c r="N20" s="7">
        <f>$Z$20*M20+$Z$21</f>
        <v>2.8034328886169528</v>
      </c>
      <c r="O20" s="7">
        <f>$Z$22*M20+$Z$23</f>
        <v>-2.0012249501985844</v>
      </c>
      <c r="P20" s="7">
        <f>$Z$24*M20+$Z$25</f>
        <v>2.8323723064948574</v>
      </c>
      <c r="Q20" s="7">
        <f>SUM(D20,I20,N20)</f>
        <v>0.35875669886641548</v>
      </c>
      <c r="R20" s="7">
        <f>SUM(E20,J20,O20)</f>
        <v>0.48904249096345342</v>
      </c>
      <c r="S20" s="7">
        <f>SUM(F20,K20,P20)</f>
        <v>0.14783859149682099</v>
      </c>
      <c r="T20" s="17">
        <v>0.31251275507811599</v>
      </c>
      <c r="U20" s="17">
        <v>0.52750319456345507</v>
      </c>
      <c r="V20" s="17">
        <v>0.171732007304878</v>
      </c>
      <c r="W20" s="34">
        <f>SUM((Q20-T20)^2, (R20-U20)^2, (S20-V20)^2)/60</f>
        <v>6.9810389624654857E-5</v>
      </c>
      <c r="X20" s="70" t="s">
        <v>241</v>
      </c>
      <c r="Y20" s="84" t="s">
        <v>83</v>
      </c>
      <c r="Z20" s="85">
        <v>-3.1964750434895328</v>
      </c>
      <c r="AA20">
        <v>-3.1964750434895328</v>
      </c>
    </row>
    <row r="21" spans="1:37">
      <c r="A21" s="6">
        <v>19</v>
      </c>
      <c r="B21" s="7">
        <f>$Z$2*A21+$Z$3</f>
        <v>-144.46898990341964</v>
      </c>
      <c r="C21" s="7">
        <f>1/(1+EXP(-B21))</f>
        <v>1.8109851069477126E-63</v>
      </c>
      <c r="D21" s="7">
        <f>$Z$4*C21+$Z$5</f>
        <v>-4.7908518076447066</v>
      </c>
      <c r="E21" s="7">
        <f>$Z$6*C21+$Z$7</f>
        <v>-2.2995980672046148</v>
      </c>
      <c r="F21" s="7">
        <f>$Z$6*C21+$Z$7</f>
        <v>-2.2995980672046148</v>
      </c>
      <c r="G21" s="7">
        <f>$Z$10*A21+$Z$11</f>
        <v>-0.18828295793114136</v>
      </c>
      <c r="H21" s="7">
        <f>TANH(G21)</f>
        <v>-0.18608915464137624</v>
      </c>
      <c r="I21" s="7">
        <f>$Z$12*H21+$Z$13</f>
        <v>1.9828593746188328</v>
      </c>
      <c r="J21" s="7">
        <f>$Z$14*H21+$Z$15</f>
        <v>5.73394381402895</v>
      </c>
      <c r="K21" s="7">
        <f>$Z$16*H21+$Z$17</f>
        <v>-0.97961877789628748</v>
      </c>
      <c r="L21" s="7">
        <f>$Z$18*A21+$Z$19</f>
        <v>-0.14069969569635976</v>
      </c>
      <c r="M21" s="7">
        <f>TANH(L21)</f>
        <v>-0.13977853988167618</v>
      </c>
      <c r="N21" s="7">
        <f>$Z$20*M21+$Z$21</f>
        <v>3.1026666798980678</v>
      </c>
      <c r="O21" s="7">
        <f>$Z$22*M21+$Z$23</f>
        <v>-2.9060256287265793</v>
      </c>
      <c r="P21" s="7">
        <f>$Z$24*M21+$Z$25</f>
        <v>3.4513730155611402</v>
      </c>
      <c r="Q21" s="7">
        <f>SUM(D21,I21,N21)</f>
        <v>0.2946742468721939</v>
      </c>
      <c r="R21" s="7">
        <f>SUM(E21,J21,O21)</f>
        <v>0.52832011809775592</v>
      </c>
      <c r="S21" s="7">
        <f>SUM(F21,K21,P21)</f>
        <v>0.17215617046023812</v>
      </c>
      <c r="T21" s="17">
        <v>0.23552071001902899</v>
      </c>
      <c r="U21" s="17">
        <v>0.55793614971574401</v>
      </c>
      <c r="V21" s="17">
        <v>0.208737490794312</v>
      </c>
      <c r="W21" s="34">
        <f>SUM((Q21-T21)^2, (R21-U21)^2, (S21-V21)^2)/60</f>
        <v>9.5240720807008946E-5</v>
      </c>
      <c r="X21" s="67"/>
      <c r="Y21" s="84" t="s">
        <v>84</v>
      </c>
      <c r="Z21" s="85">
        <v>2.6558680655508837</v>
      </c>
      <c r="AA21">
        <v>2.6558680655508837</v>
      </c>
    </row>
    <row r="22" spans="1:37">
      <c r="A22" s="6">
        <v>20</v>
      </c>
      <c r="B22" s="7">
        <f>$Z$2*A22+$Z$3</f>
        <v>-151.58318013852076</v>
      </c>
      <c r="C22" s="7">
        <f>1/(1+EXP(-B22))</f>
        <v>1.4731986645410961E-66</v>
      </c>
      <c r="D22" s="7">
        <f>$Z$4*C22+$Z$5</f>
        <v>-4.7908518076447066</v>
      </c>
      <c r="E22" s="7">
        <f>$Z$6*C22+$Z$7</f>
        <v>-2.2995980672046148</v>
      </c>
      <c r="F22" s="7">
        <f>$Z$6*C22+$Z$7</f>
        <v>-2.2995980672046148</v>
      </c>
      <c r="G22" s="7">
        <f>$Z$10*A22+$Z$11</f>
        <v>-0.28776478185680499</v>
      </c>
      <c r="H22" s="7">
        <f>TANH(G22)</f>
        <v>-0.28007622322227066</v>
      </c>
      <c r="I22" s="7">
        <f>$Z$12*H22+$Z$13</f>
        <v>1.6327077962053889</v>
      </c>
      <c r="J22" s="7">
        <f>$Z$14*H22+$Z$15</f>
        <v>6.6438137000913313</v>
      </c>
      <c r="K22" s="7">
        <f>$Z$16*H22+$Z$17</f>
        <v>-1.5527537271739633</v>
      </c>
      <c r="L22" s="7">
        <f>$Z$18*A22+$Z$19</f>
        <v>-0.23520169390437373</v>
      </c>
      <c r="M22" s="7">
        <f>TANH(L22)</f>
        <v>-0.23095845686119784</v>
      </c>
      <c r="N22" s="7">
        <f>$Z$20*M22+$Z$21</f>
        <v>3.3941210089905565</v>
      </c>
      <c r="O22" s="7">
        <f>$Z$22*M22+$Z$23</f>
        <v>-3.7873033533905849</v>
      </c>
      <c r="P22" s="7">
        <f>$Z$24*M22+$Z$25</f>
        <v>4.0542809812567713</v>
      </c>
      <c r="Q22" s="7">
        <f>SUM(D22,I22,N22)</f>
        <v>0.23597699755123847</v>
      </c>
      <c r="R22" s="7">
        <f>SUM(E22,J22,O22)</f>
        <v>0.55691227949613165</v>
      </c>
      <c r="S22" s="7">
        <f>SUM(F22,K22,P22)</f>
        <v>0.20192918687819317</v>
      </c>
      <c r="T22" s="17">
        <v>0.188024971201353</v>
      </c>
      <c r="U22" s="17">
        <v>0.5772776209197521</v>
      </c>
      <c r="V22" s="17">
        <v>0.245867937524964</v>
      </c>
      <c r="W22" s="34">
        <f>SUM((Q22-T22)^2, (R22-U22)^2, (S22-V22)^2)/60</f>
        <v>7.7412629512664066E-5</v>
      </c>
      <c r="X22" s="67"/>
      <c r="Y22" s="84" t="s">
        <v>85</v>
      </c>
      <c r="Z22" s="85">
        <v>9.6652613191338439</v>
      </c>
      <c r="AA22">
        <v>9.6652613191338439</v>
      </c>
    </row>
    <row r="23" spans="1:37">
      <c r="A23" s="6">
        <v>21</v>
      </c>
      <c r="B23" s="7">
        <f>$Z$2*A23+$Z$3</f>
        <v>-158.69737037362188</v>
      </c>
      <c r="C23" s="7">
        <f>1/(1+EXP(-B23))</f>
        <v>1.1984164292016627E-69</v>
      </c>
      <c r="D23" s="7">
        <f>$Z$4*C23+$Z$5</f>
        <v>-4.7908518076447066</v>
      </c>
      <c r="E23" s="7">
        <f>$Z$6*C23+$Z$7</f>
        <v>-2.2995980672046148</v>
      </c>
      <c r="F23" s="7">
        <f>$Z$6*C23+$Z$7</f>
        <v>-2.2995980672046148</v>
      </c>
      <c r="G23" s="7">
        <f>$Z$10*A23+$Z$11</f>
        <v>-0.38724660578246861</v>
      </c>
      <c r="H23" s="7">
        <f>TANH(G23)</f>
        <v>-0.36898412634008626</v>
      </c>
      <c r="I23" s="7">
        <f>$Z$12*H23+$Z$13</f>
        <v>1.3014787975763051</v>
      </c>
      <c r="J23" s="7">
        <f>$Z$14*H23+$Z$15</f>
        <v>7.5045132080265784</v>
      </c>
      <c r="K23" s="7">
        <f>$Z$16*H23+$Z$17</f>
        <v>-2.0949158279097237</v>
      </c>
      <c r="L23" s="7">
        <f>$Z$18*A23+$Z$19</f>
        <v>-0.32970369211238748</v>
      </c>
      <c r="M23" s="7">
        <f>TANH(L23)</f>
        <v>-0.3182545059527821</v>
      </c>
      <c r="N23" s="7">
        <f>$Z$20*M23+$Z$21</f>
        <v>3.6731606513070427</v>
      </c>
      <c r="O23" s="7">
        <f>$Z$22*M23+$Z$23</f>
        <v>-4.6310424799886833</v>
      </c>
      <c r="P23" s="7">
        <f>$Z$24*M23+$Z$25</f>
        <v>4.6315076898848746</v>
      </c>
      <c r="Q23" s="7">
        <f>SUM(D23,I23,N23)</f>
        <v>0.183787641238641</v>
      </c>
      <c r="R23" s="7">
        <f>SUM(E23,J23,O23)</f>
        <v>0.57387266083328026</v>
      </c>
      <c r="S23" s="7">
        <f>SUM(F23,K23,P23)</f>
        <v>0.2369937947705365</v>
      </c>
      <c r="T23" s="17">
        <v>0.137907399961987</v>
      </c>
      <c r="U23" s="17">
        <v>0.57947852857229998</v>
      </c>
      <c r="V23" s="17">
        <v>0.28965693379235602</v>
      </c>
      <c r="W23" s="34">
        <f>SUM((Q23-T23)^2, (R23-U23)^2, (S23-V23)^2)/60</f>
        <v>8.1830475072380924E-5</v>
      </c>
      <c r="X23" s="67"/>
      <c r="Y23" s="84" t="s">
        <v>86</v>
      </c>
      <c r="Z23" s="85">
        <v>-1.5550295139632071</v>
      </c>
      <c r="AA23">
        <v>-1.5550295139632071</v>
      </c>
    </row>
    <row r="24" spans="1:37">
      <c r="A24" s="6">
        <v>22</v>
      </c>
      <c r="B24" s="7">
        <f>$Z$2*A24+$Z$3</f>
        <v>-165.811560608723</v>
      </c>
      <c r="C24" s="7">
        <f>1/(1+EXP(-B24))</f>
        <v>9.7488680403321088E-73</v>
      </c>
      <c r="D24" s="7">
        <f>$Z$4*C24+$Z$5</f>
        <v>-4.7908518076447066</v>
      </c>
      <c r="E24" s="7">
        <f>$Z$6*C24+$Z$7</f>
        <v>-2.2995980672046148</v>
      </c>
      <c r="F24" s="7">
        <f>$Z$6*C24+$Z$7</f>
        <v>-2.2995980672046148</v>
      </c>
      <c r="G24" s="7">
        <f>$Z$10*A24+$Z$11</f>
        <v>-0.48672842970813224</v>
      </c>
      <c r="H24" s="7">
        <f>TANH(G24)</f>
        <v>-0.45161597345050719</v>
      </c>
      <c r="I24" s="7">
        <f>$Z$12*H24+$Z$13</f>
        <v>0.99363142953089012</v>
      </c>
      <c r="J24" s="7">
        <f>$Z$14*H24+$Z$15</f>
        <v>8.3044554814763778</v>
      </c>
      <c r="K24" s="7">
        <f>$Z$16*H24+$Z$17</f>
        <v>-2.5988064185774156</v>
      </c>
      <c r="L24" s="7">
        <f>$Z$18*A24+$Z$19</f>
        <v>-0.42420569032040167</v>
      </c>
      <c r="M24" s="7">
        <f>TANH(L24)</f>
        <v>-0.40046757432750196</v>
      </c>
      <c r="N24" s="7">
        <f>$Z$20*M24+$Z$21</f>
        <v>3.9359526726155334</v>
      </c>
      <c r="O24" s="7">
        <f>$Z$22*M24+$Z$23</f>
        <v>-5.4256532696781692</v>
      </c>
      <c r="P24" s="7">
        <f>$Z$24*M24+$Z$25</f>
        <v>5.1751242608292252</v>
      </c>
      <c r="Q24" s="7">
        <f>SUM(D24,I24,N24)</f>
        <v>0.13873229450171687</v>
      </c>
      <c r="R24" s="7">
        <f>SUM(E24,J24,O24)</f>
        <v>0.57920414459359382</v>
      </c>
      <c r="S24" s="7">
        <f>SUM(F24,K24,P24)</f>
        <v>0.27671977504719436</v>
      </c>
      <c r="T24" s="17">
        <v>9.9076317792327895E-2</v>
      </c>
      <c r="U24" s="17">
        <v>0.57261055388682602</v>
      </c>
      <c r="V24" s="17">
        <v>0.33141838551950203</v>
      </c>
      <c r="W24" s="34">
        <f>SUM((Q24-T24)^2, (R24-U24)^2, (S24-V24)^2)/60</f>
        <v>7.6800165246420371E-5</v>
      </c>
      <c r="X24" s="67"/>
      <c r="Y24" s="84" t="s">
        <v>87</v>
      </c>
      <c r="Z24" s="85">
        <v>-6.6122890398226595</v>
      </c>
      <c r="AA24">
        <v>-6.6122890398226595</v>
      </c>
      <c r="AK24" s="4"/>
    </row>
    <row r="25" spans="1:37" ht="15" thickBot="1">
      <c r="A25" s="6">
        <v>23</v>
      </c>
      <c r="B25" s="7">
        <f>$Z$2*A25+$Z$3</f>
        <v>-172.92575084382412</v>
      </c>
      <c r="C25" s="7">
        <f>1/(1+EXP(-B25))</f>
        <v>7.9305010972789308E-76</v>
      </c>
      <c r="D25" s="7">
        <f>$Z$4*C25+$Z$5</f>
        <v>-4.7908518076447066</v>
      </c>
      <c r="E25" s="7">
        <f>$Z$6*C25+$Z$7</f>
        <v>-2.2995980672046148</v>
      </c>
      <c r="F25" s="7">
        <f>$Z$6*C25+$Z$7</f>
        <v>-2.2995980672046148</v>
      </c>
      <c r="G25" s="7">
        <f>$Z$10*A25+$Z$11</f>
        <v>-0.58621025363379586</v>
      </c>
      <c r="H25" s="7">
        <f>TANH(G25)</f>
        <v>-0.52716451016580079</v>
      </c>
      <c r="I25" s="7">
        <f>$Z$12*H25+$Z$13</f>
        <v>0.71217314194829928</v>
      </c>
      <c r="J25" s="7">
        <f>$Z$14*H25+$Z$15</f>
        <v>9.03582565325868</v>
      </c>
      <c r="K25" s="7">
        <f>$Z$16*H25+$Z$17</f>
        <v>-3.0595028464168972</v>
      </c>
      <c r="L25" s="7">
        <f>$Z$18*A25+$Z$19</f>
        <v>-0.51870768852841542</v>
      </c>
      <c r="M25" s="7">
        <f>TANH(L25)</f>
        <v>-0.47670198712518774</v>
      </c>
      <c r="N25" s="7">
        <f>$Z$20*M25+$Z$21</f>
        <v>4.1796340705784152</v>
      </c>
      <c r="O25" s="7">
        <f>$Z$22*M25+$Z$23</f>
        <v>-6.1624787908785237</v>
      </c>
      <c r="P25" s="7">
        <f>$Z$24*M25+$Z$25</f>
        <v>5.6792082330286799</v>
      </c>
      <c r="Q25" s="7">
        <f>SUM(D25,I25,N25)</f>
        <v>0.10095540488200783</v>
      </c>
      <c r="R25" s="7">
        <f>SUM(E25,J25,O25)</f>
        <v>0.57374879517554156</v>
      </c>
      <c r="S25" s="7">
        <f>SUM(F25,K25,P25)</f>
        <v>0.32010731940716752</v>
      </c>
      <c r="T25" s="17">
        <v>7.6771548896384309E-2</v>
      </c>
      <c r="U25" s="17">
        <v>0.554625055849157</v>
      </c>
      <c r="V25" s="17">
        <v>0.37486334043008496</v>
      </c>
      <c r="W25" s="34">
        <f>SUM((Q25-T25)^2, (R25-U25)^2, (S25-V25)^2)/60</f>
        <v>6.5813302240317695E-5</v>
      </c>
      <c r="X25" s="72"/>
      <c r="Y25" s="24" t="s">
        <v>88</v>
      </c>
      <c r="Z25" s="86">
        <v>2.5271169082991181</v>
      </c>
      <c r="AA25">
        <v>2.5271169082991181</v>
      </c>
      <c r="AK25" s="4"/>
    </row>
    <row r="26" spans="1:37">
      <c r="A26" s="6">
        <v>24</v>
      </c>
      <c r="B26" s="7">
        <f>$Z$2*A26+$Z$3</f>
        <v>-180.03994107892524</v>
      </c>
      <c r="C26" s="7">
        <f>1/(1+EXP(-B26))</f>
        <v>6.4512974628180295E-79</v>
      </c>
      <c r="D26" s="7">
        <f>$Z$4*C26+$Z$5</f>
        <v>-4.7908518076447066</v>
      </c>
      <c r="E26" s="7">
        <f>$Z$6*C26+$Z$7</f>
        <v>-2.2995980672046148</v>
      </c>
      <c r="F26" s="7">
        <f>$Z$6*C26+$Z$7</f>
        <v>-2.2995980672046148</v>
      </c>
      <c r="G26" s="7">
        <f>$Z$10*A26+$Z$11</f>
        <v>-0.68569207755945905</v>
      </c>
      <c r="H26" s="7">
        <f>TANH(G26)</f>
        <v>-0.59520738520607908</v>
      </c>
      <c r="I26" s="7">
        <f>$Z$12*H26+$Z$13</f>
        <v>0.45867741689931796</v>
      </c>
      <c r="J26" s="7">
        <f>$Z$14*H26+$Z$15</f>
        <v>9.6945350256758971</v>
      </c>
      <c r="K26" s="7">
        <f>$Z$16*H26+$Z$17</f>
        <v>-3.4744296052119314</v>
      </c>
      <c r="L26" s="7">
        <f>$Z$18*A26+$Z$19</f>
        <v>-0.61320968673642917</v>
      </c>
      <c r="M26" s="7">
        <f>TANH(L26)</f>
        <v>-0.54638253302689865</v>
      </c>
      <c r="N26" s="7">
        <f>$Z$20*M26+$Z$21</f>
        <v>4.402366196569961</v>
      </c>
      <c r="O26" s="7">
        <f>$Z$22*M26+$Z$23</f>
        <v>-6.835959475878461</v>
      </c>
      <c r="P26" s="7">
        <f>$Z$24*M26+$Z$25</f>
        <v>6.1399561429834222</v>
      </c>
      <c r="Q26" s="7">
        <f>SUM(D26,I26,N26)</f>
        <v>7.0191805824572739E-2</v>
      </c>
      <c r="R26" s="7">
        <f>SUM(E26,J26,O26)</f>
        <v>0.55897748259282132</v>
      </c>
      <c r="S26" s="7">
        <f>SUM(F26,K26,P26)</f>
        <v>0.36592847056687638</v>
      </c>
      <c r="T26" s="17">
        <v>5.50331848909218E-2</v>
      </c>
      <c r="U26" s="17">
        <v>0.53385373128166391</v>
      </c>
      <c r="V26" s="17">
        <v>0.41205954274061996</v>
      </c>
      <c r="W26" s="18">
        <f>SUM((Q26-T26)^2, (R26-U26)^2, (S26-V26)^2)/60</f>
        <v>4.981770814090237E-5</v>
      </c>
      <c r="X26" s="81"/>
      <c r="AA26">
        <v>6.6692555474633736E-2</v>
      </c>
    </row>
    <row r="27" spans="1:37">
      <c r="A27" s="6">
        <v>25</v>
      </c>
      <c r="B27" s="7">
        <f>$Z$2*A27+$Z$3</f>
        <v>-187.15413131402639</v>
      </c>
      <c r="C27" s="7">
        <f>1/(1+EXP(-B27))</f>
        <v>5.2479961156605013E-82</v>
      </c>
      <c r="D27" s="7">
        <f>$Z$4*C27+$Z$5</f>
        <v>-4.7908518076447066</v>
      </c>
      <c r="E27" s="7">
        <f>$Z$6*C27+$Z$7</f>
        <v>-2.2995980672046148</v>
      </c>
      <c r="F27" s="7">
        <f>$Z$6*C27+$Z$7</f>
        <v>-2.2995980672046148</v>
      </c>
      <c r="G27" s="7">
        <f>$Z$10*A27+$Z$11</f>
        <v>-0.78517390148512267</v>
      </c>
      <c r="H27" s="7">
        <f>TANH(G27)</f>
        <v>-0.65566636935379885</v>
      </c>
      <c r="I27" s="7">
        <f>$Z$12*H27+$Z$13</f>
        <v>0.23343569962651411</v>
      </c>
      <c r="J27" s="7">
        <f>$Z$14*H27+$Z$15</f>
        <v>10.279826277424922</v>
      </c>
      <c r="K27" s="7">
        <f>$Z$16*H27+$Z$17</f>
        <v>-3.8431096516915066</v>
      </c>
      <c r="L27" s="7">
        <f>$Z$18*A27+$Z$19</f>
        <v>-0.70771168494444336</v>
      </c>
      <c r="M27" s="7">
        <f>TANH(L27)</f>
        <v>-0.60923988487286551</v>
      </c>
      <c r="N27" s="7">
        <f>$Z$20*M27+$Z$21</f>
        <v>4.6032881530454342</v>
      </c>
      <c r="O27" s="7">
        <f>$Z$22*M27+$Z$23</f>
        <v>-7.4434922072984708</v>
      </c>
      <c r="P27" s="7">
        <f>$Z$24*M27+$Z$25</f>
        <v>6.5555871216667851</v>
      </c>
      <c r="Q27" s="7">
        <f>SUM(D27,I27,N27)</f>
        <v>4.5872045027241626E-2</v>
      </c>
      <c r="R27" s="7">
        <f>SUM(E27,J27,O27)</f>
        <v>0.53673600292183643</v>
      </c>
      <c r="S27" s="7">
        <f>SUM(F27,K27,P27)</f>
        <v>0.41287940277066415</v>
      </c>
      <c r="T27" s="17">
        <v>4.1882891498532304E-2</v>
      </c>
      <c r="U27" s="17">
        <v>0.51004856673586696</v>
      </c>
      <c r="V27" s="17">
        <v>0.44388223355148898</v>
      </c>
      <c r="W27" s="18">
        <f>SUM((Q27-T27)^2, (R27-U27)^2, (S27-V27)^2)/60</f>
        <v>2.8155135208004441E-5</v>
      </c>
      <c r="X27" s="81"/>
      <c r="AA27">
        <v>0.43871611607885924</v>
      </c>
    </row>
    <row r="28" spans="1:37">
      <c r="A28" s="6">
        <v>26</v>
      </c>
      <c r="B28" s="7">
        <f>$Z$2*A28+$Z$3</f>
        <v>-194.26832154912751</v>
      </c>
      <c r="C28" s="7">
        <f>1/(1+EXP(-B28))</f>
        <v>4.2691355326154711E-85</v>
      </c>
      <c r="D28" s="7">
        <f>$Z$4*C28+$Z$5</f>
        <v>-4.7908518076447066</v>
      </c>
      <c r="E28" s="7">
        <f>$Z$6*C28+$Z$7</f>
        <v>-2.2995980672046148</v>
      </c>
      <c r="F28" s="7">
        <f>$Z$6*C28+$Z$7</f>
        <v>-2.2995980672046148</v>
      </c>
      <c r="G28" s="7">
        <f>$Z$10*A28+$Z$11</f>
        <v>-0.8846557254107863</v>
      </c>
      <c r="H28" s="7">
        <f>TANH(G28)</f>
        <v>-0.70874404470536256</v>
      </c>
      <c r="I28" s="7">
        <f>$Z$12*H28+$Z$13</f>
        <v>3.5693264592803864E-2</v>
      </c>
      <c r="J28" s="7">
        <f>$Z$14*H28+$Z$15</f>
        <v>10.793660564989885</v>
      </c>
      <c r="K28" s="7">
        <f>$Z$16*H28+$Z$17</f>
        <v>-4.1667783353701813</v>
      </c>
      <c r="L28" s="7">
        <f>$Z$18*A28+$Z$19</f>
        <v>-0.80221368315245711</v>
      </c>
      <c r="M28" s="7">
        <f>TANH(L28)</f>
        <v>-0.66527252274002724</v>
      </c>
      <c r="N28" s="7">
        <f>$Z$20*M28+$Z$21</f>
        <v>4.7823950816087031</v>
      </c>
      <c r="O28" s="7">
        <f>$Z$22*M28+$Z$23</f>
        <v>-7.9850622946849832</v>
      </c>
      <c r="P28" s="7">
        <f>$Z$24*M28+$Z$25</f>
        <v>6.9260911189081709</v>
      </c>
      <c r="Q28" s="7">
        <f>SUM(D28,I28,N28)</f>
        <v>2.7236538556800305E-2</v>
      </c>
      <c r="R28" s="7">
        <f>SUM(E28,J28,O28)</f>
        <v>0.50900020310028715</v>
      </c>
      <c r="S28" s="7">
        <f>SUM(F28,K28,P28)</f>
        <v>0.4597147163333748</v>
      </c>
      <c r="T28" s="17">
        <v>2.6899076645389701E-2</v>
      </c>
      <c r="U28" s="17">
        <v>0.48054748715594703</v>
      </c>
      <c r="V28" s="17">
        <v>0.487722954635535</v>
      </c>
      <c r="W28" s="18">
        <f>SUM((Q28-T28)^2, (R28-U28)^2, (S28-V28)^2)/60</f>
        <v>2.6568872299025892E-5</v>
      </c>
      <c r="X28" s="81"/>
    </row>
    <row r="29" spans="1:37">
      <c r="A29" s="6">
        <v>27</v>
      </c>
      <c r="B29" s="7">
        <f>$Z$2*A29+$Z$3</f>
        <v>-201.38251178422863</v>
      </c>
      <c r="C29" s="7">
        <f>1/(1+EXP(-B29))</f>
        <v>3.4728528364290071E-88</v>
      </c>
      <c r="D29" s="7">
        <f>$Z$4*C29+$Z$5</f>
        <v>-4.7908518076447066</v>
      </c>
      <c r="E29" s="7">
        <f>$Z$6*C29+$Z$7</f>
        <v>-2.2995980672046148</v>
      </c>
      <c r="F29" s="7">
        <f>$Z$6*C29+$Z$7</f>
        <v>-2.2995980672046148</v>
      </c>
      <c r="G29" s="7">
        <f>$Z$10*A29+$Z$11</f>
        <v>-0.98413754933644992</v>
      </c>
      <c r="H29" s="7">
        <f>TANH(G29)</f>
        <v>-0.75485144216257516</v>
      </c>
      <c r="I29" s="7">
        <f>$Z$12*H29+$Z$13</f>
        <v>-0.13608119587229073</v>
      </c>
      <c r="J29" s="7">
        <f>$Z$14*H29+$Z$15</f>
        <v>11.240016995767586</v>
      </c>
      <c r="K29" s="7">
        <f>$Z$16*H29+$Z$17</f>
        <v>-4.4479421305812279</v>
      </c>
      <c r="L29" s="7">
        <f>$Z$18*A29+$Z$19</f>
        <v>-0.89671568136047131</v>
      </c>
      <c r="M29" s="7">
        <f>TANH(L29)</f>
        <v>-0.71469491316015799</v>
      </c>
      <c r="N29" s="7">
        <f>$Z$20*M29+$Z$21</f>
        <v>4.9403725191762478</v>
      </c>
      <c r="O29" s="7">
        <f>$Z$22*M29+$Z$23</f>
        <v>-8.4627426131118035</v>
      </c>
      <c r="P29" s="7">
        <f>$Z$24*M29+$Z$25</f>
        <v>7.2528862494050381</v>
      </c>
      <c r="Q29" s="7">
        <f>SUM(D29,I29,N29)</f>
        <v>1.3439515659250389E-2</v>
      </c>
      <c r="R29" s="7">
        <f>SUM(E29,J29,O29)</f>
        <v>0.47767631545116807</v>
      </c>
      <c r="S29" s="7">
        <f>SUM(F29,K29,P29)</f>
        <v>0.50534605161919544</v>
      </c>
      <c r="T29" s="17">
        <v>2.8643066551244298E-2</v>
      </c>
      <c r="U29" s="17">
        <v>0.45621581041098197</v>
      </c>
      <c r="V29" s="17">
        <v>0.51359201939365806</v>
      </c>
      <c r="W29" s="18">
        <f>SUM((Q29-T29)^2, (R29-U29)^2, (S29-V29)^2)/60</f>
        <v>1.2661620347379629E-5</v>
      </c>
      <c r="X29" s="81"/>
    </row>
    <row r="30" spans="1:37">
      <c r="A30" s="6">
        <v>28</v>
      </c>
      <c r="B30" s="7">
        <f>$Z$2*A30+$Z$3</f>
        <v>-208.49670201932975</v>
      </c>
      <c r="C30" s="7">
        <f>1/(1+EXP(-B30))</f>
        <v>2.8250934483928298E-91</v>
      </c>
      <c r="D30" s="7">
        <f>$Z$4*C30+$Z$5</f>
        <v>-4.7908518076447066</v>
      </c>
      <c r="E30" s="7">
        <f>$Z$6*C30+$Z$7</f>
        <v>-2.2995980672046148</v>
      </c>
      <c r="F30" s="7">
        <f>$Z$6*C30+$Z$7</f>
        <v>-2.2995980672046148</v>
      </c>
      <c r="G30" s="7">
        <f>$Z$10*A30+$Z$11</f>
        <v>-1.0836193732621135</v>
      </c>
      <c r="H30" s="7">
        <f>TANH(G30)</f>
        <v>-0.79453743999272819</v>
      </c>
      <c r="I30" s="7">
        <f>$Z$12*H30+$Z$13</f>
        <v>-0.28393254383916844</v>
      </c>
      <c r="J30" s="7">
        <f>$Z$14*H30+$Z$15</f>
        <v>11.624209149743686</v>
      </c>
      <c r="K30" s="7">
        <f>$Z$16*H30+$Z$17</f>
        <v>-4.6899481075400873</v>
      </c>
      <c r="L30" s="7">
        <f>$Z$18*A30+$Z$19</f>
        <v>-0.99121767956848505</v>
      </c>
      <c r="M30" s="7">
        <f>TANH(L30)</f>
        <v>-0.75788106694348845</v>
      </c>
      <c r="N30" s="7">
        <f>$Z$20*M30+$Z$21</f>
        <v>5.0784159819689645</v>
      </c>
      <c r="O30" s="7">
        <f>$Z$22*M30+$Z$23</f>
        <v>-8.8801480747959936</v>
      </c>
      <c r="P30" s="7">
        <f>$Z$24*M30+$Z$25</f>
        <v>7.5384455807386503</v>
      </c>
      <c r="Q30" s="7">
        <f>SUM(D30,I30,N30)</f>
        <v>3.6316304850894099E-3</v>
      </c>
      <c r="R30" s="7">
        <f>SUM(E30,J30,O30)</f>
        <v>0.44446300774307801</v>
      </c>
      <c r="S30" s="7">
        <f>SUM(F30,K30,P30)</f>
        <v>0.54889940599394826</v>
      </c>
      <c r="T30" s="17">
        <v>1.8585382566350301E-2</v>
      </c>
      <c r="U30" s="17">
        <v>0.43462182741029998</v>
      </c>
      <c r="V30" s="17">
        <v>0.547713142498501</v>
      </c>
      <c r="W30" s="18">
        <f>SUM((Q30-T30)^2, (R30-U30)^2, (S30-V30)^2)/60</f>
        <v>5.3645125455117046E-6</v>
      </c>
      <c r="X30" s="81"/>
    </row>
    <row r="31" spans="1:37">
      <c r="A31" s="6">
        <v>29</v>
      </c>
      <c r="B31" s="7">
        <f>$Z$2*A31+$Z$3</f>
        <v>-215.61089225443087</v>
      </c>
      <c r="C31" s="7">
        <f>1/(1+EXP(-B31))</f>
        <v>2.2981546780308672E-94</v>
      </c>
      <c r="D31" s="7">
        <f>$Z$4*C31+$Z$5</f>
        <v>-4.7908518076447066</v>
      </c>
      <c r="E31" s="7">
        <f>$Z$6*C31+$Z$7</f>
        <v>-2.2995980672046148</v>
      </c>
      <c r="F31" s="7">
        <f>$Z$6*C31+$Z$7</f>
        <v>-2.2995980672046148</v>
      </c>
      <c r="G31" s="7">
        <f>$Z$10*A31+$Z$11</f>
        <v>-1.1831011971877772</v>
      </c>
      <c r="H31" s="7">
        <f>TANH(G31)</f>
        <v>-0.82842698635907508</v>
      </c>
      <c r="I31" s="7">
        <f>$Z$12*H31+$Z$13</f>
        <v>-0.4101890420049612</v>
      </c>
      <c r="J31" s="7">
        <f>$Z$14*H31+$Z$15</f>
        <v>11.95228702424952</v>
      </c>
      <c r="K31" s="7">
        <f>$Z$16*H31+$Z$17</f>
        <v>-4.8966072121487398</v>
      </c>
      <c r="L31" s="7">
        <f>$Z$18*A31+$Z$19</f>
        <v>-1.0857196777764992</v>
      </c>
      <c r="M31" s="7">
        <f>TANH(L31)</f>
        <v>-0.79531055252460325</v>
      </c>
      <c r="N31" s="7">
        <f>$Z$20*M31+$Z$21</f>
        <v>5.1980583985196489</v>
      </c>
      <c r="O31" s="7">
        <f>$Z$22*M31+$Z$23</f>
        <v>-9.2419138339782201</v>
      </c>
      <c r="P31" s="7">
        <f>$Z$24*M31+$Z$25</f>
        <v>7.7859401580128553</v>
      </c>
      <c r="Q31" s="7">
        <f>SUM(D31,I31,N31)</f>
        <v>-2.9824511300189371E-3</v>
      </c>
      <c r="R31" s="7">
        <f>SUM(E31,J31,O31)</f>
        <v>0.41077512306668496</v>
      </c>
      <c r="S31" s="7">
        <f>SUM(F31,K31,P31)</f>
        <v>0.58973487865950069</v>
      </c>
      <c r="T31" s="17">
        <v>1.6441050975567299E-2</v>
      </c>
      <c r="U31" s="17">
        <v>0.40770546813070097</v>
      </c>
      <c r="V31" s="17">
        <v>0.57331041777418701</v>
      </c>
      <c r="W31" s="18">
        <f>SUM((Q31-T31)^2, (R31-U31)^2, (S31-V31)^2)/60</f>
        <v>1.0940968847415384E-5</v>
      </c>
      <c r="X31" s="81"/>
    </row>
    <row r="32" spans="1:37">
      <c r="A32" s="6">
        <v>30</v>
      </c>
      <c r="B32" s="7">
        <f>$Z$2*A32+$Z$3</f>
        <v>-222.72508248953201</v>
      </c>
      <c r="C32" s="7">
        <f>1/(1+EXP(-B32))</f>
        <v>1.8695009636440932E-97</v>
      </c>
      <c r="D32" s="7">
        <f>$Z$4*C32+$Z$5</f>
        <v>-4.7908518076447066</v>
      </c>
      <c r="E32" s="7">
        <f>$Z$6*C32+$Z$7</f>
        <v>-2.2995980672046148</v>
      </c>
      <c r="F32" s="7">
        <f>$Z$6*C32+$Z$7</f>
        <v>-2.2995980672046148</v>
      </c>
      <c r="G32" s="7">
        <f>$Z$10*A32+$Z$11</f>
        <v>-1.2825830211134408</v>
      </c>
      <c r="H32" s="7">
        <f>TANH(G32)</f>
        <v>-0.8571715983711371</v>
      </c>
      <c r="I32" s="7">
        <f>$Z$12*H32+$Z$13</f>
        <v>-0.51727793645476172</v>
      </c>
      <c r="J32" s="7">
        <f>$Z$14*H32+$Z$15</f>
        <v>12.230557825235421</v>
      </c>
      <c r="K32" s="7">
        <f>$Z$16*H32+$Z$17</f>
        <v>-5.0718924082537766</v>
      </c>
      <c r="L32" s="7">
        <f>$Z$18*A32+$Z$19</f>
        <v>-1.180221675984513</v>
      </c>
      <c r="M32" s="7">
        <f>TANH(L32)</f>
        <v>-0.82752149790871166</v>
      </c>
      <c r="N32" s="7">
        <f>$Z$20*M32+$Z$21</f>
        <v>5.3010198815671563</v>
      </c>
      <c r="O32" s="7">
        <f>$Z$22*M32+$Z$23</f>
        <v>-9.5532410384519757</v>
      </c>
      <c r="P32" s="7">
        <f>$Z$24*M32+$Z$25</f>
        <v>7.9989282391385217</v>
      </c>
      <c r="Q32" s="7">
        <f>SUM(D32,I32,N32)</f>
        <v>-7.1098625323120501E-3</v>
      </c>
      <c r="R32" s="7">
        <f>SUM(E32,J32,O32)</f>
        <v>0.37771871957883008</v>
      </c>
      <c r="S32" s="7">
        <f>SUM(F32,K32,P32)</f>
        <v>0.62743776368013027</v>
      </c>
      <c r="T32" s="17">
        <v>1.6927265894710001E-2</v>
      </c>
      <c r="U32" s="17">
        <v>0.38076372682378795</v>
      </c>
      <c r="V32" s="17">
        <v>0.602138744531867</v>
      </c>
      <c r="W32" s="18">
        <f>SUM((Q32-T32)^2, (R32-U32)^2, (S32-V32)^2)/60</f>
        <v>2.0451599700053147E-5</v>
      </c>
    </row>
    <row r="33" spans="1:23">
      <c r="A33" s="6">
        <v>31</v>
      </c>
      <c r="B33" s="7">
        <f>$Z$2*A33+$Z$3</f>
        <v>-229.83927272463313</v>
      </c>
      <c r="C33" s="7">
        <f>1/(1+EXP(-B33))</f>
        <v>1.5208000951706826E-100</v>
      </c>
      <c r="D33" s="7">
        <f>$Z$4*C33+$Z$5</f>
        <v>-4.7908518076447066</v>
      </c>
      <c r="E33" s="7">
        <f>$Z$6*C33+$Z$7</f>
        <v>-2.2995980672046148</v>
      </c>
      <c r="F33" s="7">
        <f>$Z$6*C33+$Z$7</f>
        <v>-2.2995980672046148</v>
      </c>
      <c r="G33" s="7">
        <f>$Z$10*A33+$Z$11</f>
        <v>-1.3820648450391044</v>
      </c>
      <c r="H33" s="7">
        <f>TANH(G33)</f>
        <v>-0.88141279799840699</v>
      </c>
      <c r="I33" s="7">
        <f>$Z$12*H33+$Z$13</f>
        <v>-0.60758923608656445</v>
      </c>
      <c r="J33" s="7">
        <f>$Z$14*H33+$Z$15</f>
        <v>12.465231997713687</v>
      </c>
      <c r="K33" s="7">
        <f>$Z$16*H33+$Z$17</f>
        <v>-5.2197157091459339</v>
      </c>
      <c r="L33" s="7">
        <f>$Z$18*A33+$Z$19</f>
        <v>-1.2747236741925272</v>
      </c>
      <c r="M33" s="7">
        <f>TANH(L33)</f>
        <v>-0.85507275647401215</v>
      </c>
      <c r="N33" s="7">
        <f>$Z$20*M33+$Z$21</f>
        <v>5.3890867919878662</v>
      </c>
      <c r="O33" s="7">
        <f>$Z$22*M33+$Z$23</f>
        <v>-9.81953115215663</v>
      </c>
      <c r="P33" s="7">
        <f>$Z$24*M33+$Z$25</f>
        <v>8.1811051241831798</v>
      </c>
      <c r="Q33" s="7">
        <f>SUM(D33,I33,N33)</f>
        <v>-9.3542517434048733E-3</v>
      </c>
      <c r="R33" s="7">
        <f>SUM(E33,J33,O33)</f>
        <v>0.34610277835244219</v>
      </c>
      <c r="S33" s="7">
        <f>SUM(F33,K33,P33)</f>
        <v>0.66179134783263116</v>
      </c>
      <c r="T33" s="17">
        <v>5.5360201456173194E-3</v>
      </c>
      <c r="U33" s="17">
        <v>0.35516465630493699</v>
      </c>
      <c r="V33" s="17">
        <v>0.624921752972462</v>
      </c>
      <c r="W33" s="18">
        <f>SUM((Q33-T33)^2, (R33-U33)^2, (S33-V33)^2)/60</f>
        <v>2.7720080901798805E-5</v>
      </c>
    </row>
    <row r="34" spans="1:23">
      <c r="A34" s="6">
        <v>32</v>
      </c>
      <c r="B34" s="7">
        <f>$Z$2*A34+$Z$3</f>
        <v>-236.95346295973425</v>
      </c>
      <c r="C34" s="7">
        <f>1/(1+EXP(-B34))</f>
        <v>1.2371392015561772E-103</v>
      </c>
      <c r="D34" s="7">
        <f>$Z$4*C34+$Z$5</f>
        <v>-4.7908518076447066</v>
      </c>
      <c r="E34" s="7">
        <f>$Z$6*C34+$Z$7</f>
        <v>-2.2995980672046148</v>
      </c>
      <c r="F34" s="7">
        <f>$Z$6*C34+$Z$7</f>
        <v>-2.2995980672046148</v>
      </c>
      <c r="G34" s="7">
        <f>$Z$10*A34+$Z$11</f>
        <v>-1.4815466689647681</v>
      </c>
      <c r="H34" s="7">
        <f>TANH(G34)</f>
        <v>-0.9017573610221592</v>
      </c>
      <c r="I34" s="7">
        <f>$Z$12*H34+$Z$13</f>
        <v>-0.68338350185587382</v>
      </c>
      <c r="J34" s="7">
        <f>$Z$14*H34+$Z$15</f>
        <v>12.662183615844835</v>
      </c>
      <c r="K34" s="7">
        <f>$Z$16*H34+$Z$17</f>
        <v>-5.3437772451928716</v>
      </c>
      <c r="L34" s="7">
        <f>$Z$18*A34+$Z$19</f>
        <v>-1.3692256724005409</v>
      </c>
      <c r="M34" s="7">
        <f>TANH(L34)</f>
        <v>-0.87851560397072215</v>
      </c>
      <c r="N34" s="7">
        <f>$Z$20*M34+$Z$21</f>
        <v>5.4640212689594314</v>
      </c>
      <c r="O34" s="7">
        <f>$Z$22*M34+$Z$23</f>
        <v>-10.046112399276934</v>
      </c>
      <c r="P34" s="7">
        <f>$Z$24*M34+$Z$25</f>
        <v>8.3361160077479077</v>
      </c>
      <c r="Q34" s="7">
        <f>SUM(D34,I34,N34)</f>
        <v>-1.0214040541148606E-2</v>
      </c>
      <c r="R34" s="7">
        <f>SUM(E34,J34,O34)</f>
        <v>0.31647314936328641</v>
      </c>
      <c r="S34" s="7">
        <f>SUM(F34,K34,P34)</f>
        <v>0.69274069535042138</v>
      </c>
      <c r="T34" s="17">
        <v>5.5516744239331806E-3</v>
      </c>
      <c r="U34" s="17">
        <v>0.33275256354035898</v>
      </c>
      <c r="V34" s="17">
        <v>0.65513191440359508</v>
      </c>
      <c r="W34" s="18">
        <f>SUM((Q34-T34)^2, (R34-U34)^2, (S34-V34)^2)/60</f>
        <v>3.2133291643587331E-5</v>
      </c>
    </row>
    <row r="35" spans="1:23">
      <c r="A35" s="6">
        <v>33</v>
      </c>
      <c r="B35" s="7">
        <f>$Z$2*A35+$Z$3</f>
        <v>-244.06765319483537</v>
      </c>
      <c r="C35" s="7">
        <f>1/(1+EXP(-B35))</f>
        <v>1.0063869728093901E-106</v>
      </c>
      <c r="D35" s="7">
        <f>$Z$4*C35+$Z$5</f>
        <v>-4.7908518076447066</v>
      </c>
      <c r="E35" s="7">
        <f>$Z$6*C35+$Z$7</f>
        <v>-2.2995980672046148</v>
      </c>
      <c r="F35" s="7">
        <f>$Z$6*C35+$Z$7</f>
        <v>-2.2995980672046148</v>
      </c>
      <c r="G35" s="7">
        <f>$Z$10*A35+$Z$11</f>
        <v>-1.5810284928904317</v>
      </c>
      <c r="H35" s="7">
        <f>TANH(G35)</f>
        <v>-0.91876236150679824</v>
      </c>
      <c r="I35" s="7">
        <f>$Z$12*H35+$Z$13</f>
        <v>-0.7467361295154209</v>
      </c>
      <c r="J35" s="7">
        <f>$Z$14*H35+$Z$15</f>
        <v>12.826805601476106</v>
      </c>
      <c r="K35" s="7">
        <f>$Z$16*H35+$Z$17</f>
        <v>-5.4474740647382323</v>
      </c>
      <c r="L35" s="7">
        <f>$Z$18*A35+$Z$19</f>
        <v>-1.4637276706085547</v>
      </c>
      <c r="M35" s="7">
        <f>TANH(L35)</f>
        <v>-0.89837416782952029</v>
      </c>
      <c r="N35" s="7">
        <f>$Z$20*M35+$Z$21</f>
        <v>5.5274986727336231</v>
      </c>
      <c r="O35" s="7">
        <f>$Z$22*M35+$Z$23</f>
        <v>-10.238050608394925</v>
      </c>
      <c r="P35" s="7">
        <f>$Z$24*M35+$Z$25</f>
        <v>8.4674265718980575</v>
      </c>
      <c r="Q35" s="7">
        <f>SUM(D35,I35,N35)</f>
        <v>-1.0089264426504485E-2</v>
      </c>
      <c r="R35" s="7">
        <f>SUM(E35,J35,O35)</f>
        <v>0.28915692587656672</v>
      </c>
      <c r="S35" s="7">
        <f>SUM(F35,K35,P35)</f>
        <v>0.72035443995521042</v>
      </c>
      <c r="T35" s="17">
        <v>1.2931474477337201E-2</v>
      </c>
      <c r="U35" s="17">
        <v>0.31162242112024097</v>
      </c>
      <c r="V35" s="17">
        <v>0.68166378325101906</v>
      </c>
      <c r="W35" s="18">
        <f>SUM((Q35-T35)^2, (R35-U35)^2, (S35-V35)^2)/60</f>
        <v>4.2193663540399805E-5</v>
      </c>
    </row>
    <row r="36" spans="1:23">
      <c r="A36" s="6">
        <v>34</v>
      </c>
      <c r="B36" s="7">
        <f>$Z$2*A36+$Z$3</f>
        <v>-251.18184342993649</v>
      </c>
      <c r="C36" s="7">
        <f>1/(1+EXP(-B36))</f>
        <v>8.1867484092852688E-110</v>
      </c>
      <c r="D36" s="7">
        <f>$Z$4*C36+$Z$5</f>
        <v>-4.7908518076447066</v>
      </c>
      <c r="E36" s="7">
        <f>$Z$6*C36+$Z$7</f>
        <v>-2.2995980672046148</v>
      </c>
      <c r="F36" s="7">
        <f>$Z$6*C36+$Z$7</f>
        <v>-2.2995980672046148</v>
      </c>
      <c r="G36" s="7">
        <f>$Z$10*A36+$Z$11</f>
        <v>-1.6805103168160953</v>
      </c>
      <c r="H36" s="7">
        <f>TANH(G36)</f>
        <v>-0.93292774538757473</v>
      </c>
      <c r="I36" s="7">
        <f>$Z$12*H36+$Z$13</f>
        <v>-0.79950968229855901</v>
      </c>
      <c r="J36" s="7">
        <f>$Z$14*H36+$Z$15</f>
        <v>12.9639378305395</v>
      </c>
      <c r="K36" s="7">
        <f>$Z$16*H36+$Z$17</f>
        <v>-5.5338548476969001</v>
      </c>
      <c r="L36" s="7">
        <f>$Z$18*A36+$Z$19</f>
        <v>-1.5582296688165689</v>
      </c>
      <c r="M36" s="7">
        <f>TANH(L36)</f>
        <v>-0.91513318787902243</v>
      </c>
      <c r="N36" s="7">
        <f>$Z$20*M36+$Z$21</f>
        <v>5.5810684620751969</v>
      </c>
      <c r="O36" s="7">
        <f>$Z$22*M36+$Z$23</f>
        <v>-10.400030916625967</v>
      </c>
      <c r="P36" s="7">
        <f>$Z$24*M36+$Z$25</f>
        <v>8.5782420564895485</v>
      </c>
      <c r="Q36" s="7">
        <f>SUM(D36,I36,N36)</f>
        <v>-9.2930278680691814E-3</v>
      </c>
      <c r="R36" s="7">
        <f>SUM(E36,J36,O36)</f>
        <v>0.26430884670891786</v>
      </c>
      <c r="S36" s="7">
        <f>SUM(F36,K36,P36)</f>
        <v>0.74478914158803367</v>
      </c>
      <c r="T36" s="17">
        <v>8.6066661943624695E-3</v>
      </c>
      <c r="U36" s="17">
        <v>0.29035002727487702</v>
      </c>
      <c r="V36" s="17">
        <v>0.69814062804294097</v>
      </c>
      <c r="W36" s="18">
        <f>SUM((Q36-T36)^2, (R36-U36)^2, (S36-V36)^2)/60</f>
        <v>5.2910432479403946E-5</v>
      </c>
    </row>
    <row r="37" spans="1:23">
      <c r="A37" s="6">
        <v>35</v>
      </c>
      <c r="B37" s="7">
        <f>$Z$2*A37+$Z$3</f>
        <v>-258.29603366503761</v>
      </c>
      <c r="C37" s="7">
        <f>1/(1+EXP(-B37))</f>
        <v>6.6597493139082022E-113</v>
      </c>
      <c r="D37" s="7">
        <f>$Z$4*C37+$Z$5</f>
        <v>-4.7908518076447066</v>
      </c>
      <c r="E37" s="7">
        <f>$Z$6*C37+$Z$7</f>
        <v>-2.2995980672046148</v>
      </c>
      <c r="F37" s="7">
        <f>$Z$6*C37+$Z$7</f>
        <v>-2.2995980672046148</v>
      </c>
      <c r="G37" s="7">
        <f>$Z$10*A37+$Z$11</f>
        <v>-1.7799921407417589</v>
      </c>
      <c r="H37" s="7">
        <f>TANH(G37)</f>
        <v>-0.94469431007649607</v>
      </c>
      <c r="I37" s="7">
        <f>$Z$12*H37+$Z$13</f>
        <v>-0.84334636388187212</v>
      </c>
      <c r="J37" s="7">
        <f>$Z$14*H37+$Z$15</f>
        <v>13.07784757402341</v>
      </c>
      <c r="K37" s="7">
        <f>$Z$16*H37+$Z$17</f>
        <v>-5.6056075851530434</v>
      </c>
      <c r="L37" s="7">
        <f>$Z$18*A37+$Z$19</f>
        <v>-1.6527316670245826</v>
      </c>
      <c r="M37" s="7">
        <f>TANH(L37)</f>
        <v>-0.92923152078086535</v>
      </c>
      <c r="N37" s="7">
        <f>$Z$20*M37+$Z$21</f>
        <v>5.6261334313507447</v>
      </c>
      <c r="O37" s="7">
        <f>$Z$22*M37+$Z$23</f>
        <v>-10.536294988286421</v>
      </c>
      <c r="P37" s="7">
        <f>$Z$24*M37+$Z$25</f>
        <v>8.6714643086161765</v>
      </c>
      <c r="Q37" s="7">
        <f>SUM(D37,I37,N37)</f>
        <v>-8.0647401758344728E-3</v>
      </c>
      <c r="R37" s="7">
        <f>SUM(E37,J37,O37)</f>
        <v>0.24195451853237415</v>
      </c>
      <c r="S37" s="7">
        <f>SUM(F37,K37,P37)</f>
        <v>0.7662586562585183</v>
      </c>
      <c r="T37" s="17">
        <v>7.3575980325581393E-3</v>
      </c>
      <c r="U37" s="17">
        <v>0.272509543831852</v>
      </c>
      <c r="V37" s="17">
        <v>0.71941411557586699</v>
      </c>
      <c r="W37" s="18">
        <f>SUM((Q37-T37)^2, (R37-U37)^2, (S37-V37)^2)/60</f>
        <v>5.6097817977239194E-5</v>
      </c>
    </row>
    <row r="38" spans="1:23">
      <c r="A38" s="6">
        <v>36</v>
      </c>
      <c r="B38" s="7">
        <f>$Z$2*A38+$Z$3</f>
        <v>-265.4102239001387</v>
      </c>
      <c r="C38" s="7">
        <f>1/(1+EXP(-B38))</f>
        <v>5.417567354799672E-116</v>
      </c>
      <c r="D38" s="7">
        <f>$Z$4*C38+$Z$5</f>
        <v>-4.7908518076447066</v>
      </c>
      <c r="E38" s="7">
        <f>$Z$6*C38+$Z$7</f>
        <v>-2.2995980672046148</v>
      </c>
      <c r="F38" s="7">
        <f>$Z$6*C38+$Z$7</f>
        <v>-2.2995980672046148</v>
      </c>
      <c r="G38" s="7">
        <f>$Z$10*A38+$Z$11</f>
        <v>-1.8794739646674226</v>
      </c>
      <c r="H38" s="7">
        <f>TANH(G38)</f>
        <v>-0.95444530146411388</v>
      </c>
      <c r="I38" s="7">
        <f>$Z$12*H38+$Z$13</f>
        <v>-0.87967396806213838</v>
      </c>
      <c r="J38" s="7">
        <f>$Z$14*H38+$Z$15</f>
        <v>13.172244958225376</v>
      </c>
      <c r="K38" s="7">
        <f>$Z$16*H38+$Z$17</f>
        <v>-5.6650693179076859</v>
      </c>
      <c r="L38" s="7">
        <f>$Z$18*A38+$Z$19</f>
        <v>-1.7472336652325968</v>
      </c>
      <c r="M38" s="7">
        <f>TANH(L38)</f>
        <v>-0.94105987490726117</v>
      </c>
      <c r="N38" s="7">
        <f>$Z$20*M38+$Z$21</f>
        <v>5.6639424701213255</v>
      </c>
      <c r="O38" s="7">
        <f>$Z$22*M38+$Z$23</f>
        <v>-10.650619121893293</v>
      </c>
      <c r="P38" s="7">
        <f>$Z$24*M38+$Z$25</f>
        <v>8.7496768049652829</v>
      </c>
      <c r="Q38" s="7">
        <f>SUM(D38,I38,N38)</f>
        <v>-6.583305585519561E-3</v>
      </c>
      <c r="R38" s="7">
        <f>SUM(E38,J38,O38)</f>
        <v>0.22202776912746813</v>
      </c>
      <c r="S38" s="7">
        <f>SUM(F38,K38,P38)</f>
        <v>0.78500941985298223</v>
      </c>
      <c r="T38" s="17">
        <v>2.8505374714209897E-3</v>
      </c>
      <c r="U38" s="17">
        <v>0.25622929206750999</v>
      </c>
      <c r="V38" s="17">
        <v>0.73983758563310398</v>
      </c>
      <c r="W38" s="18">
        <f>SUM((Q38-T38)^2, (R38-U38)^2, (S38-V38)^2)/60</f>
        <v>5.4987269550489311E-5</v>
      </c>
    </row>
    <row r="39" spans="1:23">
      <c r="A39" s="6">
        <v>37</v>
      </c>
      <c r="B39" s="7">
        <f>$Z$2*A39+$Z$3</f>
        <v>-272.52441413523985</v>
      </c>
      <c r="C39" s="7">
        <f>1/(1+EXP(-B39))</f>
        <v>4.4070782037538442E-119</v>
      </c>
      <c r="D39" s="7">
        <f>$Z$4*C39+$Z$5</f>
        <v>-4.7908518076447066</v>
      </c>
      <c r="E39" s="7">
        <f>$Z$6*C39+$Z$7</f>
        <v>-2.2995980672046148</v>
      </c>
      <c r="F39" s="7">
        <f>$Z$6*C39+$Z$7</f>
        <v>-2.2995980672046148</v>
      </c>
      <c r="G39" s="7">
        <f>$Z$10*A39+$Z$11</f>
        <v>-1.9789557885930862</v>
      </c>
      <c r="H39" s="7">
        <f>TANH(G39)</f>
        <v>-0.96251023038861894</v>
      </c>
      <c r="I39" s="7">
        <f>$Z$12*H39+$Z$13</f>
        <v>-0.90972009712378821</v>
      </c>
      <c r="J39" s="7">
        <f>$Z$14*H39+$Z$15</f>
        <v>13.250319911220901</v>
      </c>
      <c r="K39" s="7">
        <f>$Z$16*H39+$Z$17</f>
        <v>-5.7142494093805443</v>
      </c>
      <c r="L39" s="7">
        <f>$Z$18*A39+$Z$19</f>
        <v>-1.8417356634406106</v>
      </c>
      <c r="M39" s="7">
        <f>TANH(L39)</f>
        <v>-0.95096147243717322</v>
      </c>
      <c r="N39" s="7">
        <f>$Z$20*M39+$Z$21</f>
        <v>5.6955926795163672</v>
      </c>
      <c r="O39" s="7">
        <f>$Z$22*M39+$Z$23</f>
        <v>-10.746320649496782</v>
      </c>
      <c r="P39" s="7">
        <f>$Z$24*M39+$Z$25</f>
        <v>8.8151490297890565</v>
      </c>
      <c r="Q39" s="7">
        <f>SUM(D39,I39,N39)</f>
        <v>-4.9792252521276836E-3</v>
      </c>
      <c r="R39" s="7">
        <f>SUM(E39,J39,O39)</f>
        <v>0.20440119451950345</v>
      </c>
      <c r="S39" s="7">
        <f>SUM(F39,K39,P39)</f>
        <v>0.8013015532038974</v>
      </c>
      <c r="T39" s="17">
        <v>-2.1838521820841201E-4</v>
      </c>
      <c r="U39" s="17">
        <v>0.23591031536785101</v>
      </c>
      <c r="V39" s="17">
        <v>0.75684413386429605</v>
      </c>
      <c r="W39" s="18">
        <f>SUM((Q39-T39)^2, (R39-U39)^2, (S39-V39)^2)/60</f>
        <v>4.9865873813358325E-5</v>
      </c>
    </row>
    <row r="40" spans="1:23">
      <c r="A40" s="6">
        <v>38</v>
      </c>
      <c r="B40" s="7">
        <f>$Z$2*A40+$Z$3</f>
        <v>-279.638604370341</v>
      </c>
      <c r="C40" s="7">
        <f>1/(1+EXP(-B40))</f>
        <v>3.5850663262718953E-122</v>
      </c>
      <c r="D40" s="7">
        <f>$Z$4*C40+$Z$5</f>
        <v>-4.7908518076447066</v>
      </c>
      <c r="E40" s="7">
        <f>$Z$6*C40+$Z$7</f>
        <v>-2.2995980672046148</v>
      </c>
      <c r="F40" s="7">
        <f>$Z$6*C40+$Z$7</f>
        <v>-2.2995980672046148</v>
      </c>
      <c r="G40" s="7">
        <f>$Z$10*A40+$Z$11</f>
        <v>-2.0784376125187496</v>
      </c>
      <c r="H40" s="7">
        <f>TANH(G40)</f>
        <v>-0.96916988021324568</v>
      </c>
      <c r="I40" s="7">
        <f>$Z$12*H40+$Z$13</f>
        <v>-0.93453081771527913</v>
      </c>
      <c r="J40" s="7">
        <f>$Z$14*H40+$Z$15</f>
        <v>13.314790640212021</v>
      </c>
      <c r="K40" s="7">
        <f>$Z$16*H40+$Z$17</f>
        <v>-5.7548600819132165</v>
      </c>
      <c r="L40" s="7">
        <f>$Z$18*A40+$Z$19</f>
        <v>-1.9362376616486248</v>
      </c>
      <c r="M40" s="7">
        <f>TANH(L40)</f>
        <v>-0.95923459360854346</v>
      </c>
      <c r="N40" s="7">
        <f>$Z$20*M40+$Z$21</f>
        <v>5.722037504872417</v>
      </c>
      <c r="O40" s="7">
        <f>$Z$22*M40+$Z$23</f>
        <v>-10.826282527542935</v>
      </c>
      <c r="P40" s="7">
        <f>$Z$24*M40+$Z$25</f>
        <v>8.8698532982356326</v>
      </c>
      <c r="Q40" s="7">
        <f>SUM(D40,I40,N40)</f>
        <v>-3.3451204875687424E-3</v>
      </c>
      <c r="R40" s="7">
        <f>SUM(E40,J40,O40)</f>
        <v>0.18891004546447121</v>
      </c>
      <c r="S40" s="7">
        <f>SUM(F40,K40,P40)</f>
        <v>0.81539514911780131</v>
      </c>
      <c r="T40" s="17">
        <v>8.2348707294253292E-3</v>
      </c>
      <c r="U40" s="17">
        <v>0.22078107592961702</v>
      </c>
      <c r="V40" s="17">
        <v>0.7750441208199299</v>
      </c>
      <c r="W40" s="18">
        <f>SUM((Q40-T40)^2, (R40-U40)^2, (S40-V40)^2)/60</f>
        <v>4.6301071069858849E-5</v>
      </c>
    </row>
    <row r="41" spans="1:23">
      <c r="A41" s="6">
        <v>39</v>
      </c>
      <c r="B41" s="7">
        <f>$Z$2*A41+$Z$3</f>
        <v>-286.75279460544209</v>
      </c>
      <c r="C41" s="7">
        <f>1/(1+EXP(-B41))</f>
        <v>2.9163767851502543E-125</v>
      </c>
      <c r="D41" s="7">
        <f>$Z$4*C41+$Z$5</f>
        <v>-4.7908518076447066</v>
      </c>
      <c r="E41" s="7">
        <f>$Z$6*C41+$Z$7</f>
        <v>-2.2995980672046148</v>
      </c>
      <c r="F41" s="7">
        <f>$Z$6*C41+$Z$7</f>
        <v>-2.2995980672046148</v>
      </c>
      <c r="G41" s="7">
        <f>$Z$10*A41+$Z$11</f>
        <v>-2.1779194364444132</v>
      </c>
      <c r="H41" s="7">
        <f>TANH(G41)</f>
        <v>-0.97466178972180595</v>
      </c>
      <c r="I41" s="7">
        <f>$Z$12*H41+$Z$13</f>
        <v>-0.95499108753709061</v>
      </c>
      <c r="J41" s="7">
        <f>$Z$14*H41+$Z$15</f>
        <v>13.36795671033493</v>
      </c>
      <c r="K41" s="7">
        <f>$Z$16*H41+$Z$17</f>
        <v>-5.7883498515714455</v>
      </c>
      <c r="L41" s="7">
        <f>$Z$18*A41+$Z$19</f>
        <v>-2.0307396598566383</v>
      </c>
      <c r="M41" s="7">
        <f>TANH(L41)</f>
        <v>-0.96613621134899674</v>
      </c>
      <c r="N41" s="7">
        <f>$Z$20*M41+$Z$21</f>
        <v>5.7440983537394805</v>
      </c>
      <c r="O41" s="7">
        <f>$Z$22*M41+$Z$23</f>
        <v>-10.892988466529186</v>
      </c>
      <c r="P41" s="7">
        <f>$Z$24*M41+$Z$25</f>
        <v>8.9154887895778785</v>
      </c>
      <c r="Q41" s="7">
        <f>SUM(D41,I41,N41)</f>
        <v>-1.7445414423162831E-3</v>
      </c>
      <c r="R41" s="7">
        <f>SUM(E41,J41,O41)</f>
        <v>0.1753701766011293</v>
      </c>
      <c r="S41" s="7">
        <f>SUM(F41,K41,P41)</f>
        <v>0.82754087080181904</v>
      </c>
      <c r="T41" s="17">
        <v>3.9663387236011597E-3</v>
      </c>
      <c r="U41" s="17">
        <v>0.204823212440885</v>
      </c>
      <c r="V41" s="17">
        <v>0.78395269848070492</v>
      </c>
      <c r="W41" s="18">
        <f>SUM((Q41-T41)^2, (R41-U41)^2, (S41-V41)^2)/60</f>
        <v>4.6667070645709029E-5</v>
      </c>
    </row>
    <row r="42" spans="1:23">
      <c r="A42" s="6">
        <v>40</v>
      </c>
      <c r="B42" s="7">
        <f>$Z$2*A42+$Z$3</f>
        <v>-293.86698484054324</v>
      </c>
      <c r="C42" s="7">
        <f>1/(1+EXP(-B42))</f>
        <v>2.3724117711951642E-128</v>
      </c>
      <c r="D42" s="7">
        <f>$Z$4*C42+$Z$5</f>
        <v>-4.7908518076447066</v>
      </c>
      <c r="E42" s="7">
        <f>$Z$6*C42+$Z$7</f>
        <v>-2.2995980672046148</v>
      </c>
      <c r="F42" s="7">
        <f>$Z$6*C42+$Z$7</f>
        <v>-2.2995980672046148</v>
      </c>
      <c r="G42" s="7">
        <f>$Z$10*A42+$Z$11</f>
        <v>-2.2774012603700768</v>
      </c>
      <c r="H42" s="7">
        <f>TANH(G42)</f>
        <v>-0.97918574108732948</v>
      </c>
      <c r="I42" s="7">
        <f>$Z$12*H42+$Z$13</f>
        <v>-0.97184520092972493</v>
      </c>
      <c r="J42" s="7">
        <f>$Z$14*H42+$Z$15</f>
        <v>13.411752172579376</v>
      </c>
      <c r="K42" s="7">
        <f>$Z$16*H42+$Z$17</f>
        <v>-5.8159369938832874</v>
      </c>
      <c r="L42" s="7">
        <f>$Z$18*A42+$Z$19</f>
        <v>-2.1252416580646525</v>
      </c>
      <c r="M42" s="7">
        <f>TANH(L42)</f>
        <v>-0.97188614593573341</v>
      </c>
      <c r="N42" s="7">
        <f>$Z$20*M42+$Z$21</f>
        <v>5.7624778761476811</v>
      </c>
      <c r="O42" s="7">
        <f>$Z$22*M42+$Z$23</f>
        <v>-10.948563086877922</v>
      </c>
      <c r="P42" s="7">
        <f>$Z$24*M42+$Z$25</f>
        <v>8.9535090190254536</v>
      </c>
      <c r="Q42" s="7">
        <f>SUM(D42,I42,N42)</f>
        <v>-2.1913242674997946E-4</v>
      </c>
      <c r="R42" s="7">
        <f>SUM(E42,J42,O42)</f>
        <v>0.16359101849683988</v>
      </c>
      <c r="S42" s="7">
        <f>SUM(F42,K42,P42)</f>
        <v>0.83797395793755136</v>
      </c>
      <c r="T42" s="17">
        <v>7.9785242352294391E-3</v>
      </c>
      <c r="U42" s="17">
        <v>0.19286137258476199</v>
      </c>
      <c r="V42" s="17">
        <v>0.80233719563429595</v>
      </c>
      <c r="W42" s="18">
        <f>SUM((Q42-T42)^2, (R42-U42)^2, (S42-V42)^2)/60</f>
        <v>3.6565567177312664E-5</v>
      </c>
    </row>
    <row r="43" spans="1:23">
      <c r="A43" s="6">
        <v>41</v>
      </c>
      <c r="B43" s="7">
        <f>$Z$2*A43+$Z$3</f>
        <v>-300.98117507564433</v>
      </c>
      <c r="C43" s="7">
        <f>1/(1+EXP(-B43))</f>
        <v>1.929907562275332E-131</v>
      </c>
      <c r="D43" s="7">
        <f>$Z$4*C43+$Z$5</f>
        <v>-4.7908518076447066</v>
      </c>
      <c r="E43" s="7">
        <f>$Z$6*C43+$Z$7</f>
        <v>-2.2995980672046148</v>
      </c>
      <c r="F43" s="7">
        <f>$Z$6*C43+$Z$7</f>
        <v>-2.2995980672046148</v>
      </c>
      <c r="G43" s="7">
        <f>$Z$10*A43+$Z$11</f>
        <v>-2.3768830842957405</v>
      </c>
      <c r="H43" s="7">
        <f>TANH(G43)</f>
        <v>-0.98290896509941239</v>
      </c>
      <c r="I43" s="7">
        <f>$Z$12*H43+$Z$13</f>
        <v>-0.98571618110074288</v>
      </c>
      <c r="J43" s="7">
        <f>$Z$14*H43+$Z$15</f>
        <v>13.447795954546496</v>
      </c>
      <c r="K43" s="7">
        <f>$Z$16*H43+$Z$17</f>
        <v>-5.8386412854154566</v>
      </c>
      <c r="L43" s="7">
        <f>$Z$18*A43+$Z$19</f>
        <v>-2.2197436562726667</v>
      </c>
      <c r="M43" s="7">
        <f>TANH(L43)</f>
        <v>-0.97667134905158348</v>
      </c>
      <c r="N43" s="7">
        <f>$Z$20*M43+$Z$21</f>
        <v>5.7777736584855246</v>
      </c>
      <c r="O43" s="7">
        <f>$Z$22*M43+$Z$23</f>
        <v>-10.994813325457747</v>
      </c>
      <c r="P43" s="7">
        <f>$Z$24*M43+$Z$25</f>
        <v>8.9851501651417145</v>
      </c>
      <c r="Q43" s="7">
        <f>SUM(D43,I43,N43)</f>
        <v>1.205669740074633E-3</v>
      </c>
      <c r="R43" s="7">
        <f>SUM(E43,J43,O43)</f>
        <v>0.15338456188413474</v>
      </c>
      <c r="S43" s="7">
        <f>SUM(F43,K43,P43)</f>
        <v>0.84691081252164224</v>
      </c>
      <c r="T43" s="17">
        <v>3.1396670372780401E-3</v>
      </c>
      <c r="U43" s="17">
        <v>0.17630438116484701</v>
      </c>
      <c r="V43" s="17">
        <v>0.81844367482675706</v>
      </c>
      <c r="W43" s="18">
        <f>SUM((Q43-T43)^2, (R43-U43)^2, (S43-V43)^2)/60</f>
        <v>2.2323939832427543E-5</v>
      </c>
    </row>
    <row r="44" spans="1:23">
      <c r="A44" s="6">
        <v>42</v>
      </c>
      <c r="B44" s="7">
        <f>$Z$2*A44+$Z$3</f>
        <v>-308.09536531074548</v>
      </c>
      <c r="C44" s="7">
        <f>1/(1+EXP(-B44))</f>
        <v>1.5699396049830623E-134</v>
      </c>
      <c r="D44" s="7">
        <f>$Z$4*C44+$Z$5</f>
        <v>-4.7908518076447066</v>
      </c>
      <c r="E44" s="7">
        <f>$Z$6*C44+$Z$7</f>
        <v>-2.2995980672046148</v>
      </c>
      <c r="F44" s="7">
        <f>$Z$6*C44+$Z$7</f>
        <v>-2.2995980672046148</v>
      </c>
      <c r="G44" s="7">
        <f>$Z$10*A44+$Z$11</f>
        <v>-2.4763649082214041</v>
      </c>
      <c r="H44" s="7">
        <f>TANH(G44)</f>
        <v>-0.98597090513089658</v>
      </c>
      <c r="I44" s="7">
        <f>$Z$12*H44+$Z$13</f>
        <v>-0.99712352842223861</v>
      </c>
      <c r="J44" s="7">
        <f>$Z$14*H44+$Z$15</f>
        <v>13.477437979451002</v>
      </c>
      <c r="K44" s="7">
        <f>$Z$16*H44+$Z$17</f>
        <v>-5.8573130545336252</v>
      </c>
      <c r="L44" s="7">
        <f>$Z$18*A44+$Z$19</f>
        <v>-2.31424565448068</v>
      </c>
      <c r="M44" s="7">
        <f>TANH(L44)</f>
        <v>-0.98065006468950677</v>
      </c>
      <c r="N44" s="7">
        <f>$Z$20*M44+$Z$21</f>
        <v>5.7904915237272885</v>
      </c>
      <c r="O44" s="7">
        <f>$Z$22*M44+$Z$23</f>
        <v>-11.033268651812799</v>
      </c>
      <c r="P44" s="7">
        <f>$Z$24*M44+$Z$25</f>
        <v>9.0114585829469256</v>
      </c>
      <c r="Q44" s="7">
        <f>SUM(D44,I44,N44)</f>
        <v>2.5161876603432276E-3</v>
      </c>
      <c r="R44" s="7">
        <f>SUM(E44,J44,O44)</f>
        <v>0.14457126043358848</v>
      </c>
      <c r="S44" s="7">
        <f>SUM(F44,K44,P44)</f>
        <v>0.85454746120868563</v>
      </c>
      <c r="T44" s="17">
        <v>2.6118371468564702E-3</v>
      </c>
      <c r="U44" s="17">
        <v>0.16677826328596299</v>
      </c>
      <c r="V44" s="17">
        <v>0.83017491401183396</v>
      </c>
      <c r="W44" s="18">
        <f>SUM((Q44-T44)^2, (R44-U44)^2, (S44-V44)^2)/60</f>
        <v>1.8119686356206699E-5</v>
      </c>
    </row>
    <row r="45" spans="1:23">
      <c r="A45" s="6">
        <v>43</v>
      </c>
      <c r="B45" s="7">
        <f>$Z$2*A45+$Z$3</f>
        <v>-315.20955554584663</v>
      </c>
      <c r="C45" s="7">
        <f>1/(1+EXP(-B45))</f>
        <v>1.2771131692900965E-137</v>
      </c>
      <c r="D45" s="7">
        <f>$Z$4*C45+$Z$5</f>
        <v>-4.7908518076447066</v>
      </c>
      <c r="E45" s="7">
        <f>$Z$6*C45+$Z$7</f>
        <v>-2.2995980672046148</v>
      </c>
      <c r="F45" s="7">
        <f>$Z$6*C45+$Z$7</f>
        <v>-2.2995980672046148</v>
      </c>
      <c r="G45" s="7">
        <f>$Z$10*A45+$Z$11</f>
        <v>-2.5758467321470677</v>
      </c>
      <c r="H45" s="7">
        <f>TANH(G45)</f>
        <v>-0.98848746895083062</v>
      </c>
      <c r="I45" s="7">
        <f>$Z$12*H45+$Z$13</f>
        <v>-1.0064990606846331</v>
      </c>
      <c r="J45" s="7">
        <f>$Z$14*H45+$Z$15</f>
        <v>13.501800327066316</v>
      </c>
      <c r="K45" s="7">
        <f>$Z$16*H45+$Z$17</f>
        <v>-5.8726591090395228</v>
      </c>
      <c r="L45" s="7">
        <f>$Z$18*A45+$Z$19</f>
        <v>-2.4087476526886942</v>
      </c>
      <c r="M45" s="7">
        <f>TANH(L45)</f>
        <v>-0.98395571579976138</v>
      </c>
      <c r="N45" s="7">
        <f>$Z$20*M45+$Z$21</f>
        <v>5.8010579550037003</v>
      </c>
      <c r="O45" s="7">
        <f>$Z$22*M45+$Z$23</f>
        <v>-11.065218633623294</v>
      </c>
      <c r="P45" s="7">
        <f>$Z$24*M45+$Z$25</f>
        <v>9.0333165035527401</v>
      </c>
      <c r="Q45" s="7">
        <f>SUM(D45,I45,N45)</f>
        <v>3.7070866743604824E-3</v>
      </c>
      <c r="R45" s="7">
        <f>SUM(E45,J45,O45)</f>
        <v>0.13698362623840765</v>
      </c>
      <c r="S45" s="7">
        <f>SUM(F45,K45,P45)</f>
        <v>0.86105932730860246</v>
      </c>
      <c r="T45" s="17">
        <v>2.39128185473625E-3</v>
      </c>
      <c r="U45" s="17">
        <v>0.157909899247861</v>
      </c>
      <c r="V45" s="17">
        <v>0.83969352077445703</v>
      </c>
      <c r="W45" s="18">
        <f>SUM((Q45-T45)^2, (R45-U45)^2, (S45-V45)^2)/60</f>
        <v>1.4935632220734232E-5</v>
      </c>
    </row>
    <row r="46" spans="1:23">
      <c r="A46" s="6">
        <v>44</v>
      </c>
      <c r="B46" s="7">
        <f>$Z$2*A46+$Z$3</f>
        <v>-322.32374578094772</v>
      </c>
      <c r="C46" s="7">
        <f>1/(1+EXP(-B46))</f>
        <v>1.0389049629663196E-140</v>
      </c>
      <c r="D46" s="7">
        <f>$Z$4*C46+$Z$5</f>
        <v>-4.7908518076447066</v>
      </c>
      <c r="E46" s="7">
        <f>$Z$6*C46+$Z$7</f>
        <v>-2.2995980672046148</v>
      </c>
      <c r="F46" s="7">
        <f>$Z$6*C46+$Z$7</f>
        <v>-2.2995980672046148</v>
      </c>
      <c r="G46" s="7">
        <f>$Z$10*A46+$Z$11</f>
        <v>-2.6753285560727313</v>
      </c>
      <c r="H46" s="7">
        <f>TANH(G46)</f>
        <v>-0.99055475408049809</v>
      </c>
      <c r="I46" s="7">
        <f>$Z$12*H46+$Z$13</f>
        <v>-1.0142007920197336</v>
      </c>
      <c r="J46" s="7">
        <f>$Z$14*H46+$Z$15</f>
        <v>13.521813298146164</v>
      </c>
      <c r="K46" s="7">
        <f>$Z$16*H46+$Z$17</f>
        <v>-5.88526545346354</v>
      </c>
      <c r="L46" s="7">
        <f>$Z$18*A46+$Z$19</f>
        <v>-2.5032496508967084</v>
      </c>
      <c r="M46" s="7">
        <f>TANH(L46)</f>
        <v>-0.98670043712684952</v>
      </c>
      <c r="N46" s="7">
        <f>$Z$20*M46+$Z$21</f>
        <v>5.8098313882270709</v>
      </c>
      <c r="O46" s="7">
        <f>$Z$22*M46+$Z$23</f>
        <v>-11.091747082497802</v>
      </c>
      <c r="P46" s="7">
        <f>$Z$24*M46+$Z$25</f>
        <v>9.0514653943012124</v>
      </c>
      <c r="Q46" s="7">
        <f>SUM(D46,I46,N46)</f>
        <v>4.778788562630254E-3</v>
      </c>
      <c r="R46" s="7">
        <f>SUM(E46,J46,O46)</f>
        <v>0.13046814844374666</v>
      </c>
      <c r="S46" s="7">
        <f>SUM(F46,K46,P46)</f>
        <v>0.86660187363305674</v>
      </c>
      <c r="T46" s="17">
        <v>1.2757458204968699E-3</v>
      </c>
      <c r="U46" s="17">
        <v>0.14923463373831</v>
      </c>
      <c r="V46" s="17">
        <v>0.84673055231667504</v>
      </c>
      <c r="W46" s="18">
        <f>SUM((Q46-T46)^2, (R46-U46)^2, (S46-V46)^2)/60</f>
        <v>1.2655361493719355E-5</v>
      </c>
    </row>
    <row r="47" spans="1:23">
      <c r="A47" s="6">
        <v>45</v>
      </c>
      <c r="B47" s="7">
        <f>$Z$2*A47+$Z$3</f>
        <v>-329.43793601604887</v>
      </c>
      <c r="C47" s="7">
        <f>1/(1+EXP(-B47))</f>
        <v>8.4512754862276462E-144</v>
      </c>
      <c r="D47" s="7">
        <f>$Z$4*C47+$Z$5</f>
        <v>-4.7908518076447066</v>
      </c>
      <c r="E47" s="7">
        <f>$Z$6*C47+$Z$7</f>
        <v>-2.2995980672046148</v>
      </c>
      <c r="F47" s="7">
        <f>$Z$6*C47+$Z$7</f>
        <v>-2.2995980672046148</v>
      </c>
      <c r="G47" s="7">
        <f>$Z$10*A47+$Z$11</f>
        <v>-2.774810379998395</v>
      </c>
      <c r="H47" s="7">
        <f>TANH(G47)</f>
        <v>-0.99225226680130907</v>
      </c>
      <c r="I47" s="7">
        <f>$Z$12*H47+$Z$13</f>
        <v>-1.0205249254089699</v>
      </c>
      <c r="J47" s="7">
        <f>$Z$14*H47+$Z$15</f>
        <v>13.538246576991799</v>
      </c>
      <c r="K47" s="7">
        <f>$Z$16*H47+$Z$17</f>
        <v>-5.8956169186366747</v>
      </c>
      <c r="L47" s="7">
        <f>$Z$18*A47+$Z$19</f>
        <v>-2.5977516491047217</v>
      </c>
      <c r="M47" s="7">
        <f>TANH(L47)</f>
        <v>-0.98897822312196337</v>
      </c>
      <c r="N47" s="7">
        <f>$Z$20*M47+$Z$21</f>
        <v>5.8171122743148622</v>
      </c>
      <c r="O47" s="7">
        <f>$Z$22*M47+$Z$23</f>
        <v>-11.11376247936964</v>
      </c>
      <c r="P47" s="7">
        <f>$Z$24*M47+$Z$25</f>
        <v>9.0665267736717645</v>
      </c>
      <c r="Q47" s="7">
        <f>SUM(D47,I47,N47)</f>
        <v>5.7355412611856949E-3</v>
      </c>
      <c r="R47" s="7">
        <f>SUM(E47,J47,O47)</f>
        <v>0.12488603041754409</v>
      </c>
      <c r="S47" s="7">
        <f>SUM(F47,K47,P47)</f>
        <v>0.87131178783047503</v>
      </c>
      <c r="T47" s="17">
        <v>3.5362804167817599E-3</v>
      </c>
      <c r="U47" s="17">
        <v>0.135577127775768</v>
      </c>
      <c r="V47" s="17">
        <v>0.86534225693530897</v>
      </c>
      <c r="W47" s="18">
        <f>SUM((Q47-T47)^2, (R47-U47)^2, (S47-V47)^2)/60</f>
        <v>2.5795268348848752E-6</v>
      </c>
    </row>
    <row r="48" spans="1:23">
      <c r="A48" s="6">
        <v>46</v>
      </c>
      <c r="B48" s="7">
        <f>$Z$2*A48+$Z$3</f>
        <v>-336.55212625114996</v>
      </c>
      <c r="C48" s="7">
        <f>1/(1+EXP(-B48))</f>
        <v>6.874936581319604E-147</v>
      </c>
      <c r="D48" s="7">
        <f>$Z$4*C48+$Z$5</f>
        <v>-4.7908518076447066</v>
      </c>
      <c r="E48" s="7">
        <f>$Z$6*C48+$Z$7</f>
        <v>-2.2995980672046148</v>
      </c>
      <c r="F48" s="7">
        <f>$Z$6*C48+$Z$7</f>
        <v>-2.2995980672046148</v>
      </c>
      <c r="G48" s="7">
        <f>$Z$10*A48+$Z$11</f>
        <v>-2.8742922039240586</v>
      </c>
      <c r="H48" s="7">
        <f>TANH(G48)</f>
        <v>-0.99364567406333759</v>
      </c>
      <c r="I48" s="7">
        <f>$Z$12*H48+$Z$13</f>
        <v>-1.0257161049992991</v>
      </c>
      <c r="J48" s="7">
        <f>$Z$14*H48+$Z$15</f>
        <v>13.55173587212445</v>
      </c>
      <c r="K48" s="7">
        <f>$Z$16*H48+$Z$17</f>
        <v>-5.9041139428816489</v>
      </c>
      <c r="L48" s="7">
        <f>$Z$18*A48+$Z$19</f>
        <v>-2.6922536473127359</v>
      </c>
      <c r="M48" s="7">
        <f>TANH(L48)</f>
        <v>-0.99086769110419592</v>
      </c>
      <c r="N48" s="7">
        <f>$Z$20*M48+$Z$21</f>
        <v>5.8231519115655415</v>
      </c>
      <c r="O48" s="7">
        <f>$Z$22*M48+$Z$23</f>
        <v>-11.132024681172053</v>
      </c>
      <c r="P48" s="7">
        <f>$Z$24*M48+$Z$25</f>
        <v>9.079020482101777</v>
      </c>
      <c r="Q48" s="7">
        <f>SUM(D48,I48,N48)</f>
        <v>6.5839989215357164E-3</v>
      </c>
      <c r="R48" s="7">
        <f>SUM(E48,J48,O48)</f>
        <v>0.12011312374778171</v>
      </c>
      <c r="S48" s="7">
        <f>SUM(F48,K48,P48)</f>
        <v>0.87530847201551332</v>
      </c>
      <c r="T48" s="17">
        <v>-3.1346344649783998E-3</v>
      </c>
      <c r="U48" s="17">
        <v>0.125187367886479</v>
      </c>
      <c r="V48" s="17">
        <v>0.87833605384871605</v>
      </c>
      <c r="W48" s="18">
        <f>SUM((Q48-T48)^2, (R48-U48)^2, (S48-V48)^2)/60</f>
        <v>2.156100670621829E-6</v>
      </c>
    </row>
    <row r="49" spans="1:23">
      <c r="A49" s="6">
        <v>47</v>
      </c>
      <c r="B49" s="7">
        <f>$Z$2*A49+$Z$3</f>
        <v>-343.66631648625111</v>
      </c>
      <c r="C49" s="7">
        <f>1/(1+EXP(-B49))</f>
        <v>5.5926177148274607E-150</v>
      </c>
      <c r="D49" s="7">
        <f>$Z$4*C49+$Z$5</f>
        <v>-4.7908518076447066</v>
      </c>
      <c r="E49" s="7">
        <f>$Z$6*C49+$Z$7</f>
        <v>-2.2995980672046148</v>
      </c>
      <c r="F49" s="7">
        <f>$Z$6*C49+$Z$7</f>
        <v>-2.2995980672046148</v>
      </c>
      <c r="G49" s="7">
        <f>$Z$10*A49+$Z$11</f>
        <v>-2.9737740278497222</v>
      </c>
      <c r="H49" s="7">
        <f>TANH(G49)</f>
        <v>-0.99478913654650158</v>
      </c>
      <c r="I49" s="7">
        <f>$Z$12*H49+$Z$13</f>
        <v>-1.0299761079910068</v>
      </c>
      <c r="J49" s="7">
        <f>$Z$14*H49+$Z$15</f>
        <v>13.562805502180819</v>
      </c>
      <c r="K49" s="7">
        <f>$Z$16*H49+$Z$17</f>
        <v>-5.9110867990647851</v>
      </c>
      <c r="L49" s="7">
        <f>$Z$18*A49+$Z$19</f>
        <v>-2.7867556455207501</v>
      </c>
      <c r="M49" s="7">
        <f>TANH(L49)</f>
        <v>-0.99243447884471059</v>
      </c>
      <c r="N49" s="7">
        <f>$Z$20*M49+$Z$21</f>
        <v>5.8281601094765421</v>
      </c>
      <c r="O49" s="7">
        <f>$Z$22*M49+$Z$23</f>
        <v>-11.147168094115743</v>
      </c>
      <c r="P49" s="7">
        <f>$Z$24*M49+$Z$25</f>
        <v>9.0893805355061108</v>
      </c>
      <c r="Q49" s="7">
        <f>SUM(D49,I49,N49)</f>
        <v>7.3321938408286158E-3</v>
      </c>
      <c r="R49" s="7">
        <f>SUM(E49,J49,O49)</f>
        <v>0.11603934086046053</v>
      </c>
      <c r="S49" s="7">
        <f>SUM(F49,K49,P49)</f>
        <v>0.87869566923671094</v>
      </c>
      <c r="T49" s="17">
        <v>9.0828857896239103E-3</v>
      </c>
      <c r="U49" s="17">
        <v>0.11564560923284699</v>
      </c>
      <c r="V49" s="17">
        <v>0.87802773465304806</v>
      </c>
      <c r="W49" s="18">
        <f>SUM((Q49-T49)^2, (R49-U49)^2, (S49-V49)^2)/60</f>
        <v>6.1101391703546229E-8</v>
      </c>
    </row>
    <row r="50" spans="1:23">
      <c r="A50" s="6">
        <v>48</v>
      </c>
      <c r="B50" s="7">
        <f>$Z$2*A50+$Z$3</f>
        <v>-350.7805067213522</v>
      </c>
      <c r="C50" s="7">
        <f>1/(1+EXP(-B50))</f>
        <v>4.5494780256140477E-153</v>
      </c>
      <c r="D50" s="7">
        <f>$Z$4*C50+$Z$5</f>
        <v>-4.7908518076447066</v>
      </c>
      <c r="E50" s="7">
        <f>$Z$6*C50+$Z$7</f>
        <v>-2.2995980672046148</v>
      </c>
      <c r="F50" s="7">
        <f>$Z$6*C50+$Z$7</f>
        <v>-2.2995980672046148</v>
      </c>
      <c r="G50" s="7">
        <f>$Z$10*A50+$Z$11</f>
        <v>-3.073255851775385</v>
      </c>
      <c r="H50" s="7">
        <f>TANH(G50)</f>
        <v>-0.99572727367309644</v>
      </c>
      <c r="I50" s="7">
        <f>$Z$12*H50+$Z$13</f>
        <v>-1.0334711653494848</v>
      </c>
      <c r="J50" s="7">
        <f>$Z$14*H50+$Z$15</f>
        <v>13.571887418803753</v>
      </c>
      <c r="K50" s="7">
        <f>$Z$16*H50+$Z$17</f>
        <v>-5.9168075772801796</v>
      </c>
      <c r="L50" s="7">
        <f>$Z$18*A50+$Z$19</f>
        <v>-2.8812576437287634</v>
      </c>
      <c r="M50" s="7">
        <f>TANH(L50)</f>
        <v>-0.9937333062310536</v>
      </c>
      <c r="N50" s="7">
        <f>$Z$20*M50+$Z$21</f>
        <v>5.8323117788027883</v>
      </c>
      <c r="O50" s="7">
        <f>$Z$22*M50+$Z$23</f>
        <v>-11.159721600213196</v>
      </c>
      <c r="P50" s="7">
        <f>$Z$24*M50+$Z$25</f>
        <v>9.0979687575974495</v>
      </c>
      <c r="Q50" s="7">
        <f>SUM(D50,I50,N50)</f>
        <v>7.9888058085968439E-3</v>
      </c>
      <c r="R50" s="7">
        <f>SUM(E50,J50,O50)</f>
        <v>0.11256775138594222</v>
      </c>
      <c r="S50" s="7">
        <f>SUM(F50,K50,P50)</f>
        <v>0.88156311311265512</v>
      </c>
      <c r="T50" s="17">
        <v>1.0538230552720001E-2</v>
      </c>
      <c r="U50" s="17">
        <v>0.111612530534534</v>
      </c>
      <c r="V50" s="17">
        <v>0.88908099354612202</v>
      </c>
      <c r="W50" s="18">
        <f>SUM((Q50-T50)^2, (R50-U50)^2, (S50-V50)^2)/60</f>
        <v>1.0655089935469503E-6</v>
      </c>
    </row>
    <row r="51" spans="1:23">
      <c r="A51" s="6">
        <v>49</v>
      </c>
      <c r="B51" s="7">
        <f>$Z$2*A51+$Z$3</f>
        <v>-357.89469695645334</v>
      </c>
      <c r="C51" s="7">
        <f>1/(1+EXP(-B51))</f>
        <v>3.7009056153916776E-156</v>
      </c>
      <c r="D51" s="7">
        <f>$Z$4*C51+$Z$5</f>
        <v>-4.7908518076447066</v>
      </c>
      <c r="E51" s="7">
        <f>$Z$6*C51+$Z$7</f>
        <v>-2.2995980672046148</v>
      </c>
      <c r="F51" s="7">
        <f>$Z$6*C51+$Z$7</f>
        <v>-2.2995980672046148</v>
      </c>
      <c r="G51" s="7">
        <f>$Z$10*A51+$Z$11</f>
        <v>-3.1727376757010486</v>
      </c>
      <c r="H51" s="7">
        <f>TANH(G51)</f>
        <v>-0.99649681001631096</v>
      </c>
      <c r="I51" s="7">
        <f>$Z$12*H51+$Z$13</f>
        <v>-1.0363380955484107</v>
      </c>
      <c r="J51" s="7">
        <f>$Z$14*H51+$Z$15</f>
        <v>13.579337145191579</v>
      </c>
      <c r="K51" s="7">
        <f>$Z$16*H51+$Z$17</f>
        <v>-5.9215002246804547</v>
      </c>
      <c r="L51" s="7">
        <f>$Z$18*A51+$Z$19</f>
        <v>-2.9757596419367776</v>
      </c>
      <c r="M51" s="7">
        <f>TANH(L51)</f>
        <v>-0.99480973544328677</v>
      </c>
      <c r="N51" s="7">
        <f>$Z$20*M51+$Z$21</f>
        <v>5.8357525579157743</v>
      </c>
      <c r="O51" s="7">
        <f>$Z$22*M51+$Z$23</f>
        <v>-11.17012556984098</v>
      </c>
      <c r="P51" s="7">
        <f>$Z$24*M51+$Z$25</f>
        <v>9.1050864186796439</v>
      </c>
      <c r="Q51" s="7">
        <f>SUM(D51,I51,N51)</f>
        <v>8.5626547226569372E-3</v>
      </c>
      <c r="R51" s="7">
        <f>SUM(E51,J51,O51)</f>
        <v>0.10961350814598347</v>
      </c>
      <c r="S51" s="7">
        <f>SUM(F51,K51,P51)</f>
        <v>0.8839881267945735</v>
      </c>
      <c r="T51" s="17">
        <v>2.5859344138377399E-3</v>
      </c>
      <c r="U51" s="17">
        <v>0.10342211054485</v>
      </c>
      <c r="V51" s="17">
        <v>0.89472708248588406</v>
      </c>
      <c r="W51" s="18">
        <f>SUM((Q51-T51)^2, (R51-U51)^2, (S51-V51)^2)/60</f>
        <v>3.1563293207517441E-6</v>
      </c>
    </row>
    <row r="52" spans="1:23">
      <c r="A52" s="6">
        <v>50</v>
      </c>
      <c r="B52" s="7">
        <f>$Z$2*A52+$Z$3</f>
        <v>-365.00888719155449</v>
      </c>
      <c r="C52" s="7">
        <f>1/(1+EXP(-B52))</f>
        <v>3.0106096340995059E-159</v>
      </c>
      <c r="D52" s="7">
        <f>$Z$4*C52+$Z$5</f>
        <v>-4.7908518076447066</v>
      </c>
      <c r="E52" s="7">
        <f>$Z$6*C52+$Z$7</f>
        <v>-2.2995980672046148</v>
      </c>
      <c r="F52" s="7">
        <f>$Z$6*C52+$Z$7</f>
        <v>-2.2995980672046148</v>
      </c>
      <c r="G52" s="7">
        <f>$Z$10*A52+$Z$11</f>
        <v>-3.2722194996267122</v>
      </c>
      <c r="H52" s="7">
        <f>TANH(G52)</f>
        <v>-0.99712794901712909</v>
      </c>
      <c r="I52" s="7">
        <f>$Z$12*H52+$Z$13</f>
        <v>-1.0386894223923218</v>
      </c>
      <c r="J52" s="7">
        <f>$Z$14*H52+$Z$15</f>
        <v>13.585447074774812</v>
      </c>
      <c r="K52" s="7">
        <f>$Z$16*H52+$Z$17</f>
        <v>-5.9253489224288023</v>
      </c>
      <c r="L52" s="7">
        <f>$Z$18*A52+$Z$19</f>
        <v>-3.0702616401447917</v>
      </c>
      <c r="M52" s="7">
        <f>TANH(L52)</f>
        <v>-0.99570166516913883</v>
      </c>
      <c r="N52" s="7">
        <f>$Z$20*M52+$Z$21</f>
        <v>5.8386035890250074</v>
      </c>
      <c r="O52" s="7">
        <f>$Z$22*M52+$Z$23</f>
        <v>-11.178746303719644</v>
      </c>
      <c r="P52" s="7">
        <f>$Z$24*M52+$Z$25</f>
        <v>9.1109841158301865</v>
      </c>
      <c r="Q52" s="7">
        <f>SUM(D52,I52,N52)</f>
        <v>9.0623589879790245E-3</v>
      </c>
      <c r="R52" s="7">
        <f>SUM(E52,J52,O52)</f>
        <v>0.10710270385055409</v>
      </c>
      <c r="S52" s="7">
        <f>SUM(F52,K52,P52)</f>
        <v>0.88603712619677033</v>
      </c>
      <c r="T52" s="17">
        <v>2.0336631835871899E-3</v>
      </c>
      <c r="U52" s="17">
        <v>9.4972241588527101E-2</v>
      </c>
      <c r="V52" s="17">
        <v>0.90450311421663898</v>
      </c>
      <c r="W52" s="18">
        <f>SUM((Q52-T52)^2, (R52-U52)^2, (S52-V52)^2)/60</f>
        <v>8.9590565491844822E-6</v>
      </c>
    </row>
    <row r="53" spans="1:23">
      <c r="A53" s="6">
        <v>51</v>
      </c>
      <c r="B53" s="7">
        <f>$Z$2*A53+$Z$3</f>
        <v>-372.12307742665558</v>
      </c>
      <c r="C53" s="7">
        <f>1/(1+EXP(-B53))</f>
        <v>2.4490682310940347E-162</v>
      </c>
      <c r="D53" s="7">
        <f>$Z$4*C53+$Z$5</f>
        <v>-4.7908518076447066</v>
      </c>
      <c r="E53" s="7">
        <f>$Z$6*C53+$Z$7</f>
        <v>-2.2995980672046148</v>
      </c>
      <c r="F53" s="7">
        <f>$Z$6*C53+$Z$7</f>
        <v>-2.2995980672046148</v>
      </c>
      <c r="G53" s="7">
        <f>$Z$10*A53+$Z$11</f>
        <v>-3.3717013235523758</v>
      </c>
      <c r="H53" s="7">
        <f>TANH(G53)</f>
        <v>-0.99764551533737378</v>
      </c>
      <c r="I53" s="7">
        <f>$Z$12*H53+$Z$13</f>
        <v>-1.0406176308863584</v>
      </c>
      <c r="J53" s="7">
        <f>$Z$14*H53+$Z$15</f>
        <v>13.590457530105969</v>
      </c>
      <c r="K53" s="7">
        <f>$Z$16*H53+$Z$17</f>
        <v>-5.9285050517897897</v>
      </c>
      <c r="L53" s="7">
        <f>$Z$18*A53+$Z$19</f>
        <v>-3.1647636383528059</v>
      </c>
      <c r="M53" s="7">
        <f>TANH(L53)</f>
        <v>-0.99644059322801026</v>
      </c>
      <c r="N53" s="7">
        <f>$Z$20*M53+$Z$21</f>
        <v>5.8409655541241232</v>
      </c>
      <c r="O53" s="7">
        <f>$Z$22*M53+$Z$23</f>
        <v>-11.185888236504676</v>
      </c>
      <c r="P53" s="7">
        <f>$Z$24*M53+$Z$25</f>
        <v>9.1158701217350782</v>
      </c>
      <c r="Q53" s="7">
        <f>SUM(D53,I53,N53)</f>
        <v>9.4961155930581853E-3</v>
      </c>
      <c r="R53" s="7">
        <f>SUM(E53,J53,O53)</f>
        <v>0.10497122639667822</v>
      </c>
      <c r="S53" s="7">
        <f>SUM(F53,K53,P53)</f>
        <v>0.88776700274067366</v>
      </c>
      <c r="T53" s="17">
        <v>2.2949557971681501E-3</v>
      </c>
      <c r="U53" s="17">
        <v>8.7440881600336293E-2</v>
      </c>
      <c r="V53" s="17">
        <v>0.90922037148508505</v>
      </c>
      <c r="W53" s="18">
        <f>SUM((Q53-T53)^2, (R53-U53)^2, (S53-V53)^2)/60</f>
        <v>1.3656945359471053E-5</v>
      </c>
    </row>
    <row r="54" spans="1:23">
      <c r="A54" s="6">
        <v>52</v>
      </c>
      <c r="B54" s="7">
        <f>$Z$2*A54+$Z$3</f>
        <v>-379.23726766175673</v>
      </c>
      <c r="C54" s="7">
        <f>1/(1+EXP(-B54))</f>
        <v>1.9922659957699059E-165</v>
      </c>
      <c r="D54" s="7">
        <f>$Z$4*C54+$Z$5</f>
        <v>-4.7908518076447066</v>
      </c>
      <c r="E54" s="7">
        <f>$Z$6*C54+$Z$7</f>
        <v>-2.2995980672046148</v>
      </c>
      <c r="F54" s="7">
        <f>$Z$6*C54+$Z$7</f>
        <v>-2.2995980672046148</v>
      </c>
      <c r="G54" s="7">
        <f>$Z$10*A54+$Z$11</f>
        <v>-3.4711831474780395</v>
      </c>
      <c r="H54" s="7">
        <f>TANH(G54)</f>
        <v>-0.99806990224913439</v>
      </c>
      <c r="I54" s="7">
        <f>$Z$12*H54+$Z$13</f>
        <v>-1.0421986967633421</v>
      </c>
      <c r="J54" s="7">
        <f>$Z$14*H54+$Z$15</f>
        <v>13.59456593434583</v>
      </c>
      <c r="K54" s="7">
        <f>$Z$16*H54+$Z$17</f>
        <v>-5.9310929713282805</v>
      </c>
      <c r="L54" s="7">
        <f>$Z$18*A54+$Z$19</f>
        <v>-3.2592656365608192</v>
      </c>
      <c r="M54" s="7">
        <f>TANH(L54)</f>
        <v>-0.99705267953897303</v>
      </c>
      <c r="N54" s="7">
        <f>$Z$20*M54+$Z$21</f>
        <v>5.8429220727415778</v>
      </c>
      <c r="O54" s="7">
        <f>$Z$22*M54+$Z$23</f>
        <v>-11.191804210649995</v>
      </c>
      <c r="P54" s="7">
        <f>$Z$24*M54+$Z$25</f>
        <v>9.1199174133404846</v>
      </c>
      <c r="Q54" s="7">
        <f>SUM(D54,I54,N54)</f>
        <v>9.8715683335290905E-3</v>
      </c>
      <c r="R54" s="7">
        <f>SUM(E54,J54,O54)</f>
        <v>0.10316365649122083</v>
      </c>
      <c r="S54" s="7">
        <f>SUM(F54,K54,P54)</f>
        <v>0.88922637480758837</v>
      </c>
      <c r="T54" s="17">
        <v>2.3936274802814103E-3</v>
      </c>
      <c r="U54" s="17">
        <v>8.3053244128702103E-2</v>
      </c>
      <c r="V54" s="17">
        <v>0.906309636239233</v>
      </c>
      <c r="W54" s="18">
        <f>SUM((Q54-T54)^2, (R54-U54)^2, (S54-V54)^2)/60</f>
        <v>1.2536435098952227E-5</v>
      </c>
    </row>
    <row r="55" spans="1:23">
      <c r="A55" s="6">
        <v>53</v>
      </c>
      <c r="B55" s="7">
        <f>$Z$2*A55+$Z$3</f>
        <v>-386.35145789685782</v>
      </c>
      <c r="C55" s="7">
        <f>1/(1+EXP(-B55))</f>
        <v>1.6206668918032606E-168</v>
      </c>
      <c r="D55" s="7">
        <f>$Z$4*C55+$Z$5</f>
        <v>-4.7908518076447066</v>
      </c>
      <c r="E55" s="7">
        <f>$Z$6*C55+$Z$7</f>
        <v>-2.2995980672046148</v>
      </c>
      <c r="F55" s="7">
        <f>$Z$6*C55+$Z$7</f>
        <v>-2.2995980672046148</v>
      </c>
      <c r="G55" s="7">
        <f>$Z$10*A55+$Z$11</f>
        <v>-3.5706649714037031</v>
      </c>
      <c r="H55" s="7">
        <f>TANH(G55)</f>
        <v>-0.99841785561671448</v>
      </c>
      <c r="I55" s="7">
        <f>$Z$12*H55+$Z$13</f>
        <v>-1.0434950072314955</v>
      </c>
      <c r="J55" s="7">
        <f>$Z$14*H55+$Z$15</f>
        <v>13.597934400834841</v>
      </c>
      <c r="K55" s="7">
        <f>$Z$16*H55+$Z$17</f>
        <v>-5.9332147976464125</v>
      </c>
      <c r="L55" s="7">
        <f>$Z$18*A55+$Z$19</f>
        <v>-3.3537676347688334</v>
      </c>
      <c r="M55" s="7">
        <f>TANH(L55)</f>
        <v>-0.99755963830462191</v>
      </c>
      <c r="N55" s="7">
        <f>$Z$20*M55+$Z$21</f>
        <v>5.8445425537840521</v>
      </c>
      <c r="O55" s="7">
        <f>$Z$22*M55+$Z$23</f>
        <v>-11.196704099598017</v>
      </c>
      <c r="P55" s="7">
        <f>$Z$24*M55+$Z$25</f>
        <v>9.1232695712302263</v>
      </c>
      <c r="Q55" s="7">
        <f>SUM(D55,I55,N55)</f>
        <v>1.0195738907849972E-2</v>
      </c>
      <c r="R55" s="7">
        <f>SUM(E55,J55,O55)</f>
        <v>0.10163223403220911</v>
      </c>
      <c r="S55" s="7">
        <f>SUM(F55,K55,P55)</f>
        <v>0.89045670637919905</v>
      </c>
      <c r="T55" s="17">
        <v>2.3043154567460099E-3</v>
      </c>
      <c r="U55" s="17">
        <v>7.8073186837302994E-2</v>
      </c>
      <c r="V55" s="17">
        <v>0.92630169320256595</v>
      </c>
      <c r="W55" s="18">
        <f>SUM((Q55-T55)^2, (R55-U55)^2, (S55-V55)^2)/60</f>
        <v>3.1702772486396568E-5</v>
      </c>
    </row>
    <row r="56" spans="1:23">
      <c r="A56" s="6">
        <v>54</v>
      </c>
      <c r="B56" s="7">
        <f>$Z$2*A56+$Z$3</f>
        <v>-393.46564813195897</v>
      </c>
      <c r="C56" s="7">
        <f>1/(1+EXP(-B56))</f>
        <v>1.3183787605490227E-171</v>
      </c>
      <c r="D56" s="7">
        <f>$Z$4*C56+$Z$5</f>
        <v>-4.7908518076447066</v>
      </c>
      <c r="E56" s="7">
        <f>$Z$6*C56+$Z$7</f>
        <v>-2.2995980672046148</v>
      </c>
      <c r="F56" s="7">
        <f>$Z$6*C56+$Z$7</f>
        <v>-2.2995980672046148</v>
      </c>
      <c r="G56" s="7">
        <f>$Z$10*A56+$Z$11</f>
        <v>-3.6701467953293667</v>
      </c>
      <c r="H56" s="7">
        <f>TANH(G56)</f>
        <v>-0.99870312150508422</v>
      </c>
      <c r="I56" s="7">
        <f>$Z$12*H56+$Z$13</f>
        <v>-1.0445577736587111</v>
      </c>
      <c r="J56" s="7">
        <f>$Z$14*H56+$Z$15</f>
        <v>13.600696002460124</v>
      </c>
      <c r="K56" s="7">
        <f>$Z$16*H56+$Z$17</f>
        <v>-5.9349543545123735</v>
      </c>
      <c r="L56" s="7">
        <f>$Z$18*A56+$Z$19</f>
        <v>-3.4482696329768476</v>
      </c>
      <c r="M56" s="7">
        <f>TANH(L56)</f>
        <v>-0.99797948500803257</v>
      </c>
      <c r="N56" s="7">
        <f>$Z$20*M56+$Z$21</f>
        <v>5.8458845832935964</v>
      </c>
      <c r="O56" s="7">
        <f>$Z$22*M56+$Z$23</f>
        <v>-11.200762027700458</v>
      </c>
      <c r="P56" s="7">
        <f>$Z$24*M56+$Z$25</f>
        <v>9.1260457189855941</v>
      </c>
      <c r="Q56" s="7">
        <f>SUM(D56,I56,N56)</f>
        <v>1.0475001990178257E-2</v>
      </c>
      <c r="R56" s="7">
        <f>SUM(E56,J56,O56)</f>
        <v>0.10033590755505095</v>
      </c>
      <c r="S56" s="7">
        <f>SUM(F56,K56,P56)</f>
        <v>0.89149329726860671</v>
      </c>
      <c r="T56" s="17">
        <v>3.0385585864702198E-3</v>
      </c>
      <c r="U56" s="17">
        <v>7.1018266657233403E-2</v>
      </c>
      <c r="V56" s="17">
        <v>0.92736038017037692</v>
      </c>
      <c r="W56" s="18">
        <f>SUM((Q56-T56)^2, (R56-U56)^2, (S56-V56)^2)/60</f>
        <v>3.6687873236539898E-5</v>
      </c>
    </row>
    <row r="57" spans="1:23">
      <c r="A57" s="6">
        <v>55</v>
      </c>
      <c r="B57" s="7">
        <f>$Z$2*A57+$Z$3</f>
        <v>-400.57983836706012</v>
      </c>
      <c r="C57" s="7">
        <f>1/(1+EXP(-B57))</f>
        <v>1.0724736619582744E-174</v>
      </c>
      <c r="D57" s="7">
        <f>$Z$4*C57+$Z$5</f>
        <v>-4.7908518076447066</v>
      </c>
      <c r="E57" s="7">
        <f>$Z$6*C57+$Z$7</f>
        <v>-2.2995980672046148</v>
      </c>
      <c r="F57" s="7">
        <f>$Z$6*C57+$Z$7</f>
        <v>-2.2995980672046148</v>
      </c>
      <c r="G57" s="7">
        <f>$Z$10*A57+$Z$11</f>
        <v>-3.7696286192550303</v>
      </c>
      <c r="H57" s="7">
        <f>TANH(G57)</f>
        <v>-0.99893698036562029</v>
      </c>
      <c r="I57" s="7">
        <f>$Z$12*H57+$Z$13</f>
        <v>-1.0454290216971813</v>
      </c>
      <c r="J57" s="7">
        <f>$Z$14*H57+$Z$15</f>
        <v>13.602959943000066</v>
      </c>
      <c r="K57" s="7">
        <f>$Z$16*H57+$Z$17</f>
        <v>-5.9363804303353058</v>
      </c>
      <c r="L57" s="7">
        <f>$Z$18*A57+$Z$19</f>
        <v>-3.5427716311848618</v>
      </c>
      <c r="M57" s="7">
        <f>TANH(L57)</f>
        <v>-0.99832716059114224</v>
      </c>
      <c r="N57" s="7">
        <f>$Z$20*M57+$Z$21</f>
        <v>5.8469959196182373</v>
      </c>
      <c r="O57" s="7">
        <f>$Z$22*M57+$Z$23</f>
        <v>-11.204122403065496</v>
      </c>
      <c r="P57" s="7">
        <f>$Z$24*M57+$Z$25</f>
        <v>9.1283446504332026</v>
      </c>
      <c r="Q57" s="7">
        <f>SUM(D57,I57,N57)</f>
        <v>1.0715090276349315E-2</v>
      </c>
      <c r="R57" s="7">
        <f>SUM(E57,J57,O57)</f>
        <v>9.923947272995548E-2</v>
      </c>
      <c r="S57" s="7">
        <f>SUM(F57,K57,P57)</f>
        <v>0.89236615289328114</v>
      </c>
      <c r="T57" s="17">
        <v>7.9515125832206497E-3</v>
      </c>
      <c r="U57" s="17">
        <v>6.6968684958737701E-2</v>
      </c>
      <c r="V57" s="17">
        <v>0.93389441761834491</v>
      </c>
      <c r="W57" s="18">
        <f>SUM((Q57-T57)^2, (R57-U57)^2, (S57-V57)^2)/60</f>
        <v>4.6227297935265221E-5</v>
      </c>
    </row>
    <row r="58" spans="1:23">
      <c r="A58" s="6">
        <v>56</v>
      </c>
      <c r="B58" s="7">
        <f>$Z$2*A58+$Z$3</f>
        <v>-407.69402860216121</v>
      </c>
      <c r="C58" s="7">
        <f>1/(1+EXP(-B58))</f>
        <v>8.7243498606976173E-178</v>
      </c>
      <c r="D58" s="7">
        <f>$Z$4*C58+$Z$5</f>
        <v>-4.7908518076447066</v>
      </c>
      <c r="E58" s="7">
        <f>$Z$6*C58+$Z$7</f>
        <v>-2.2995980672046148</v>
      </c>
      <c r="F58" s="7">
        <f>$Z$6*C58+$Z$7</f>
        <v>-2.2995980672046148</v>
      </c>
      <c r="G58" s="7">
        <f>$Z$10*A58+$Z$11</f>
        <v>-3.869110443180694</v>
      </c>
      <c r="H58" s="7">
        <f>TANH(G58)</f>
        <v>-0.99912868714685943</v>
      </c>
      <c r="I58" s="7">
        <f>$Z$12*H58+$Z$13</f>
        <v>-1.0461432309289083</v>
      </c>
      <c r="J58" s="7">
        <f>$Z$14*H58+$Z$15</f>
        <v>13.604815817747912</v>
      </c>
      <c r="K58" s="7">
        <f>$Z$16*H58+$Z$17</f>
        <v>-5.937549461969132</v>
      </c>
      <c r="L58" s="7">
        <f>$Z$18*A58+$Z$19</f>
        <v>-3.6372736293928751</v>
      </c>
      <c r="M58" s="7">
        <f>TANH(L58)</f>
        <v>-0.99861505214797985</v>
      </c>
      <c r="N58" s="7">
        <f>$Z$20*M58+$Z$21</f>
        <v>5.8479161577949004</v>
      </c>
      <c r="O58" s="7">
        <f>$Z$22*M58+$Z$23</f>
        <v>-11.206904950193904</v>
      </c>
      <c r="P58" s="7">
        <f>$Z$24*M58+$Z$25</f>
        <v>9.1302482726191379</v>
      </c>
      <c r="Q58" s="7">
        <f>SUM(D58,I58,N58)</f>
        <v>1.0921119221285025E-2</v>
      </c>
      <c r="R58" s="7">
        <f>SUM(E58,J58,O58)</f>
        <v>9.8312800349393825E-2</v>
      </c>
      <c r="S58" s="7">
        <f>SUM(F58,K58,P58)</f>
        <v>0.89310074344539103</v>
      </c>
      <c r="T58" s="17">
        <v>-1.1013052498209E-4</v>
      </c>
      <c r="U58" s="17">
        <v>6.18422691296922E-2</v>
      </c>
      <c r="V58" s="17">
        <v>0.94275156262420401</v>
      </c>
      <c r="W58" s="18">
        <f>SUM((Q58-T58)^2, (R58-U58)^2, (S58-V58)^2)/60</f>
        <v>6.528319939231553E-5</v>
      </c>
    </row>
    <row r="59" spans="1:23">
      <c r="A59" s="6">
        <v>57</v>
      </c>
      <c r="B59" s="7">
        <f>$Z$2*A59+$Z$3</f>
        <v>-414.80821883726236</v>
      </c>
      <c r="C59" s="7">
        <f>1/(1+EXP(-B59))</f>
        <v>7.0970768972423963E-181</v>
      </c>
      <c r="D59" s="7">
        <f>$Z$4*C59+$Z$5</f>
        <v>-4.7908518076447066</v>
      </c>
      <c r="E59" s="7">
        <f>$Z$6*C59+$Z$7</f>
        <v>-2.2995980672046148</v>
      </c>
      <c r="F59" s="7">
        <f>$Z$6*C59+$Z$7</f>
        <v>-2.2995980672046148</v>
      </c>
      <c r="G59" s="7">
        <f>$Z$10*A59+$Z$11</f>
        <v>-3.9685922671063576</v>
      </c>
      <c r="H59" s="7">
        <f>TANH(G59)</f>
        <v>-0.99928583355078737</v>
      </c>
      <c r="I59" s="7">
        <f>$Z$12*H59+$Z$13</f>
        <v>-1.0467286844621251</v>
      </c>
      <c r="J59" s="7">
        <f>$Z$14*H59+$Z$15</f>
        <v>13.606337120441953</v>
      </c>
      <c r="K59" s="7">
        <f>$Z$16*H59+$Z$17</f>
        <v>-5.9385077437583647</v>
      </c>
      <c r="L59" s="7">
        <f>$Z$18*A59+$Z$19</f>
        <v>-3.7317756276008893</v>
      </c>
      <c r="M59" s="7">
        <f>TANH(L59)</f>
        <v>-0.99885342670193056</v>
      </c>
      <c r="N59" s="7">
        <f>$Z$20*M59+$Z$21</f>
        <v>5.8486781161076067</v>
      </c>
      <c r="O59" s="7">
        <f>$Z$22*M59+$Z$23</f>
        <v>-11.209208902549669</v>
      </c>
      <c r="P59" s="7">
        <f>$Z$24*M59+$Z$25</f>
        <v>9.1318244740695995</v>
      </c>
      <c r="Q59" s="7">
        <f>SUM(D59,I59,N59)</f>
        <v>1.1097624000774964E-2</v>
      </c>
      <c r="R59" s="7">
        <f>SUM(E59,J59,O59)</f>
        <v>9.7530150687669348E-2</v>
      </c>
      <c r="S59" s="7">
        <f>SUM(F59,K59,P59)</f>
        <v>0.89371866310662007</v>
      </c>
      <c r="T59" s="17">
        <v>5.6947636442931599E-3</v>
      </c>
      <c r="U59" s="17">
        <v>6.0470398956274998E-2</v>
      </c>
      <c r="V59" s="17">
        <v>0.93680268831874902</v>
      </c>
      <c r="W59" s="18">
        <f>SUM((Q59-T59)^2, (R59-U59)^2, (S59-V59)^2)/60</f>
        <v>5.43141554483932E-5</v>
      </c>
    </row>
    <row r="60" spans="1:23">
      <c r="A60" s="6">
        <v>58</v>
      </c>
      <c r="B60" s="7">
        <f>$Z$2*A60+$Z$3</f>
        <v>-421.92240907236345</v>
      </c>
      <c r="C60" s="7">
        <f>1/(1+EXP(-B60))</f>
        <v>5.7733242349988763E-184</v>
      </c>
      <c r="D60" s="7">
        <f>$Z$4*C60+$Z$5</f>
        <v>-4.7908518076447066</v>
      </c>
      <c r="E60" s="7">
        <f>$Z$6*C60+$Z$7</f>
        <v>-2.2995980672046148</v>
      </c>
      <c r="F60" s="7">
        <f>$Z$6*C60+$Z$7</f>
        <v>-2.2995980672046148</v>
      </c>
      <c r="G60" s="7">
        <f>$Z$10*A60+$Z$11</f>
        <v>-4.0680740910320212</v>
      </c>
      <c r="H60" s="7">
        <f>TANH(G60)</f>
        <v>-0.99941464597413432</v>
      </c>
      <c r="I60" s="7">
        <f>$Z$12*H60+$Z$13</f>
        <v>-1.0472085789203227</v>
      </c>
      <c r="J60" s="7">
        <f>$Z$14*H60+$Z$15</f>
        <v>13.607584127575208</v>
      </c>
      <c r="K60" s="7">
        <f>$Z$16*H60+$Z$17</f>
        <v>-5.9392932443898454</v>
      </c>
      <c r="L60" s="7">
        <f>$Z$18*A60+$Z$19</f>
        <v>-3.8262776258089035</v>
      </c>
      <c r="M60" s="7">
        <f>TANH(L60)</f>
        <v>-0.99905079217308157</v>
      </c>
      <c r="N60" s="7">
        <f>$Z$20*M60+$Z$21</f>
        <v>5.849308989910587</v>
      </c>
      <c r="O60" s="7">
        <f>$Z$22*M60+$Z$23</f>
        <v>-11.211116491403718</v>
      </c>
      <c r="P60" s="7">
        <f>$Z$24*M60+$Z$25</f>
        <v>9.1331295116113314</v>
      </c>
      <c r="Q60" s="7">
        <f>SUM(D60,I60,N60)</f>
        <v>1.1248603345557662E-2</v>
      </c>
      <c r="R60" s="7">
        <f>SUM(E60,J60,O60)</f>
        <v>9.6869568966875264E-2</v>
      </c>
      <c r="S60" s="7">
        <f>SUM(F60,K60,P60)</f>
        <v>0.89423820001687027</v>
      </c>
      <c r="T60" s="17">
        <v>-2.2807198247528698E-3</v>
      </c>
      <c r="U60" s="17">
        <v>5.4975808919005206E-2</v>
      </c>
      <c r="V60" s="17">
        <v>0.94398061818187207</v>
      </c>
      <c r="W60" s="18">
        <f>SUM((Q60-T60)^2, (R60-U60)^2, (S60-V60)^2)/60</f>
        <v>7.3540631354951925E-5</v>
      </c>
    </row>
    <row r="61" spans="1:23">
      <c r="A61" s="6">
        <v>59</v>
      </c>
      <c r="B61" s="7">
        <f>$Z$2*A61+$Z$3</f>
        <v>-429.0365993074646</v>
      </c>
      <c r="C61" s="7">
        <f>1/(1+EXP(-B61))</f>
        <v>4.6964790159416882E-187</v>
      </c>
      <c r="D61" s="7">
        <f>$Z$4*C61+$Z$5</f>
        <v>-4.7908518076447066</v>
      </c>
      <c r="E61" s="7">
        <f>$Z$6*C61+$Z$7</f>
        <v>-2.2995980672046148</v>
      </c>
      <c r="F61" s="7">
        <f>$Z$6*C61+$Z$7</f>
        <v>-2.2995980672046148</v>
      </c>
      <c r="G61" s="7">
        <f>$Z$10*A61+$Z$11</f>
        <v>-4.1675559149576848</v>
      </c>
      <c r="H61" s="7">
        <f>TANH(G61)</f>
        <v>-0.99952023039694615</v>
      </c>
      <c r="I61" s="7">
        <f>$Z$12*H61+$Z$13</f>
        <v>-1.047601936781799</v>
      </c>
      <c r="J61" s="7">
        <f>$Z$14*H61+$Z$15</f>
        <v>13.608606269112382</v>
      </c>
      <c r="K61" s="7">
        <f>$Z$16*H61+$Z$17</f>
        <v>-5.9399371002279562</v>
      </c>
      <c r="L61" s="7">
        <f>$Z$18*A61+$Z$19</f>
        <v>-3.9207796240169168</v>
      </c>
      <c r="M61" s="7">
        <f>TANH(L61)</f>
        <v>-0.99921419748158469</v>
      </c>
      <c r="N61" s="7">
        <f>$Z$20*M61+$Z$21</f>
        <v>5.849831310901191</v>
      </c>
      <c r="O61" s="7">
        <f>$Z$22*M61+$Z$23</f>
        <v>-11.212695846411334</v>
      </c>
      <c r="P61" s="7">
        <f>$Z$24*M61+$Z$25</f>
        <v>9.134209994741795</v>
      </c>
      <c r="Q61" s="7">
        <f>SUM(D61,I61,N61)</f>
        <v>1.1377566474685352E-2</v>
      </c>
      <c r="R61" s="7">
        <f>SUM(E61,J61,O61)</f>
        <v>9.6312355496433355E-2</v>
      </c>
      <c r="S61" s="7">
        <f>SUM(F61,K61,P61)</f>
        <v>0.89467482730922399</v>
      </c>
      <c r="T61" s="17">
        <v>-1.0788247514761E-4</v>
      </c>
      <c r="U61" s="17">
        <v>5.3596926243307502E-2</v>
      </c>
      <c r="V61" s="17">
        <v>0.94100736181572697</v>
      </c>
      <c r="W61" s="18">
        <f>SUM((Q61-T61)^2, (R61-U61)^2, (S61-V61)^2)/60</f>
        <v>6.8387119794238474E-5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28709-C57F-4D2D-A243-CE0624D7D7D3}">
  <dimension ref="A1:J61"/>
  <sheetViews>
    <sheetView zoomScale="70" zoomScaleNormal="70" workbookViewId="0">
      <selection activeCell="I22" sqref="I22"/>
    </sheetView>
  </sheetViews>
  <sheetFormatPr defaultRowHeight="14.5"/>
  <cols>
    <col min="9" max="9" width="11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1</v>
      </c>
      <c r="F1" t="s">
        <v>2</v>
      </c>
      <c r="G1" t="s">
        <v>3</v>
      </c>
      <c r="I1" t="s">
        <v>4</v>
      </c>
      <c r="J1">
        <v>1000</v>
      </c>
    </row>
    <row r="2" spans="1:10">
      <c r="A2">
        <v>0</v>
      </c>
      <c r="B2">
        <v>999.16902781949102</v>
      </c>
      <c r="C2" s="2">
        <v>-0.51644142064485399</v>
      </c>
      <c r="D2">
        <v>1.2964653234524799</v>
      </c>
      <c r="E2">
        <f>B2/1000</f>
        <v>0.99916902781949102</v>
      </c>
      <c r="F2">
        <f t="shared" ref="F2:G2" si="0">C2/1000</f>
        <v>-5.1644142064485399E-4</v>
      </c>
      <c r="G2">
        <f t="shared" si="0"/>
        <v>1.29646532345248E-3</v>
      </c>
    </row>
    <row r="3" spans="1:10">
      <c r="A3">
        <v>1</v>
      </c>
      <c r="B3">
        <v>989.60193539692398</v>
      </c>
      <c r="C3" s="2">
        <v>2.1639113228485898</v>
      </c>
      <c r="D3" s="3">
        <v>2.6945909567850399</v>
      </c>
      <c r="E3">
        <f t="shared" ref="E3:E61" si="1">B3/1000</f>
        <v>0.98960193539692398</v>
      </c>
      <c r="F3">
        <f t="shared" ref="F3:F61" si="2">C3/1000</f>
        <v>2.1639113228485896E-3</v>
      </c>
      <c r="G3">
        <f t="shared" ref="G3:G61" si="3">D3/1000</f>
        <v>2.6945909567850398E-3</v>
      </c>
    </row>
    <row r="4" spans="1:10">
      <c r="A4">
        <v>2</v>
      </c>
      <c r="B4">
        <v>1002.70067481488</v>
      </c>
      <c r="C4" s="2">
        <v>3.3100596480907898</v>
      </c>
      <c r="D4" s="3">
        <v>-4.7185297244242701</v>
      </c>
      <c r="E4">
        <f t="shared" si="1"/>
        <v>1.0027006748148801</v>
      </c>
      <c r="F4">
        <f t="shared" si="2"/>
        <v>3.31005964809079E-3</v>
      </c>
      <c r="G4">
        <f t="shared" si="3"/>
        <v>-4.7185297244242705E-3</v>
      </c>
    </row>
    <row r="5" spans="1:10">
      <c r="A5">
        <v>3</v>
      </c>
      <c r="B5">
        <v>991.10329365628104</v>
      </c>
      <c r="C5" s="2">
        <v>1.51656377199005</v>
      </c>
      <c r="D5" s="3">
        <v>2.4789689316632599</v>
      </c>
      <c r="E5">
        <f t="shared" si="1"/>
        <v>0.99110329365628103</v>
      </c>
      <c r="F5">
        <f t="shared" si="2"/>
        <v>1.5165637719900501E-3</v>
      </c>
      <c r="G5">
        <f t="shared" si="3"/>
        <v>2.4789689316632598E-3</v>
      </c>
    </row>
    <row r="6" spans="1:10">
      <c r="A6">
        <v>4</v>
      </c>
      <c r="B6">
        <v>998.55053119660397</v>
      </c>
      <c r="C6" s="2">
        <v>2.00511121509177</v>
      </c>
      <c r="D6" s="3">
        <v>3.86363487767975</v>
      </c>
      <c r="E6">
        <f t="shared" si="1"/>
        <v>0.99855053119660397</v>
      </c>
      <c r="F6">
        <f t="shared" si="2"/>
        <v>2.0051112150917699E-3</v>
      </c>
      <c r="G6">
        <f t="shared" si="3"/>
        <v>3.86363487767975E-3</v>
      </c>
    </row>
    <row r="7" spans="1:10">
      <c r="A7">
        <v>5</v>
      </c>
      <c r="B7">
        <v>993.34815329542801</v>
      </c>
      <c r="C7" s="2">
        <v>5.7859344004262399</v>
      </c>
      <c r="D7" s="3">
        <v>-4.67986083149819</v>
      </c>
      <c r="E7">
        <f t="shared" si="1"/>
        <v>0.99334815329542803</v>
      </c>
      <c r="F7">
        <f t="shared" si="2"/>
        <v>5.7859344004262394E-3</v>
      </c>
      <c r="G7">
        <f t="shared" si="3"/>
        <v>-4.6798608314981898E-3</v>
      </c>
    </row>
    <row r="8" spans="1:10">
      <c r="A8">
        <v>6</v>
      </c>
      <c r="B8">
        <v>982.830737401541</v>
      </c>
      <c r="C8" s="2">
        <v>12.6513308399596</v>
      </c>
      <c r="D8" s="3">
        <v>3.03460950328035</v>
      </c>
      <c r="E8">
        <f t="shared" si="1"/>
        <v>0.98283073740154103</v>
      </c>
      <c r="F8">
        <f t="shared" si="2"/>
        <v>1.2651330839959601E-2</v>
      </c>
      <c r="G8">
        <f t="shared" si="3"/>
        <v>3.0346095032803499E-3</v>
      </c>
    </row>
    <row r="9" spans="1:10">
      <c r="A9">
        <v>7</v>
      </c>
      <c r="B9">
        <v>975.39398785926005</v>
      </c>
      <c r="C9" s="2">
        <v>20.3539996715329</v>
      </c>
      <c r="D9" s="3">
        <v>7.4668309922445504</v>
      </c>
      <c r="E9">
        <f t="shared" si="1"/>
        <v>0.97539398785926001</v>
      </c>
      <c r="F9">
        <f t="shared" si="2"/>
        <v>2.03539996715329E-2</v>
      </c>
      <c r="G9">
        <f t="shared" si="3"/>
        <v>7.4668309922445502E-3</v>
      </c>
    </row>
    <row r="10" spans="1:10">
      <c r="A10">
        <v>8</v>
      </c>
      <c r="B10">
        <v>962.49140793574099</v>
      </c>
      <c r="C10" s="2">
        <v>33.533967396356999</v>
      </c>
      <c r="D10" s="3">
        <v>9.1761695406187602</v>
      </c>
      <c r="E10">
        <f t="shared" si="1"/>
        <v>0.96249140793574095</v>
      </c>
      <c r="F10">
        <f t="shared" si="2"/>
        <v>3.3533967396357001E-2</v>
      </c>
      <c r="G10">
        <f t="shared" si="3"/>
        <v>9.1761695406187595E-3</v>
      </c>
    </row>
    <row r="11" spans="1:10">
      <c r="A11">
        <v>9</v>
      </c>
      <c r="B11">
        <v>944.50237023887598</v>
      </c>
      <c r="C11" s="2">
        <v>47.496166004264602</v>
      </c>
      <c r="D11" s="3">
        <v>7.5225339506602404</v>
      </c>
      <c r="E11">
        <f t="shared" si="1"/>
        <v>0.94450237023887595</v>
      </c>
      <c r="F11">
        <f t="shared" si="2"/>
        <v>4.7496166004264602E-2</v>
      </c>
      <c r="G11">
        <f t="shared" si="3"/>
        <v>7.5225339506602403E-3</v>
      </c>
    </row>
    <row r="12" spans="1:10">
      <c r="A12">
        <v>10</v>
      </c>
      <c r="B12">
        <v>918.198981681178</v>
      </c>
      <c r="C12" s="2">
        <v>67.597221336325006</v>
      </c>
      <c r="D12" s="3">
        <v>3.2927993138720799</v>
      </c>
      <c r="E12">
        <f t="shared" si="1"/>
        <v>0.91819898168117797</v>
      </c>
      <c r="F12">
        <f t="shared" si="2"/>
        <v>6.7597221336325009E-2</v>
      </c>
      <c r="G12">
        <f t="shared" si="3"/>
        <v>3.2927993138720797E-3</v>
      </c>
    </row>
    <row r="13" spans="1:10">
      <c r="A13">
        <v>11</v>
      </c>
      <c r="B13">
        <v>890.21613947898595</v>
      </c>
      <c r="C13" s="2">
        <v>95.969397639399304</v>
      </c>
      <c r="D13" s="3">
        <v>19.651499073407301</v>
      </c>
      <c r="E13">
        <f t="shared" si="1"/>
        <v>0.89021613947898592</v>
      </c>
      <c r="F13">
        <f t="shared" si="2"/>
        <v>9.5969397639399309E-2</v>
      </c>
      <c r="G13">
        <f t="shared" si="3"/>
        <v>1.96514990734073E-2</v>
      </c>
    </row>
    <row r="14" spans="1:10">
      <c r="A14">
        <v>12</v>
      </c>
      <c r="B14">
        <v>831.05634839519701</v>
      </c>
      <c r="C14" s="2">
        <v>139.820372745182</v>
      </c>
      <c r="D14" s="3">
        <v>24.532806481925299</v>
      </c>
      <c r="E14">
        <f t="shared" si="1"/>
        <v>0.83105634839519704</v>
      </c>
      <c r="F14">
        <f t="shared" si="2"/>
        <v>0.139820372745182</v>
      </c>
      <c r="G14">
        <f t="shared" si="3"/>
        <v>2.4532806481925299E-2</v>
      </c>
    </row>
    <row r="15" spans="1:10">
      <c r="A15">
        <v>13</v>
      </c>
      <c r="B15">
        <v>773.38802087821102</v>
      </c>
      <c r="C15" s="2">
        <v>195.76330278256401</v>
      </c>
      <c r="D15" s="3">
        <v>38.447975365746899</v>
      </c>
      <c r="E15">
        <f t="shared" si="1"/>
        <v>0.77338802087821101</v>
      </c>
      <c r="F15">
        <f t="shared" si="2"/>
        <v>0.19576330278256401</v>
      </c>
      <c r="G15">
        <f t="shared" si="3"/>
        <v>3.84479753657469E-2</v>
      </c>
    </row>
    <row r="16" spans="1:10">
      <c r="A16">
        <v>14</v>
      </c>
      <c r="B16">
        <v>687.908710122652</v>
      </c>
      <c r="C16" s="2">
        <v>258.94601239861498</v>
      </c>
      <c r="D16" s="3">
        <v>63.388110834698502</v>
      </c>
      <c r="E16">
        <f t="shared" si="1"/>
        <v>0.68790871012265198</v>
      </c>
      <c r="F16">
        <f t="shared" si="2"/>
        <v>0.25894601239861498</v>
      </c>
      <c r="G16">
        <f t="shared" si="3"/>
        <v>6.3388110834698502E-2</v>
      </c>
    </row>
    <row r="17" spans="1:7">
      <c r="A17">
        <v>15</v>
      </c>
      <c r="B17">
        <v>594.97831839092703</v>
      </c>
      <c r="C17">
        <v>330.76845698165101</v>
      </c>
      <c r="D17">
        <v>73.720662375898101</v>
      </c>
      <c r="E17">
        <f t="shared" si="1"/>
        <v>0.59497831839092707</v>
      </c>
      <c r="F17">
        <f t="shared" si="2"/>
        <v>0.33076845698165103</v>
      </c>
      <c r="G17">
        <f t="shared" si="3"/>
        <v>7.3720662375898097E-2</v>
      </c>
    </row>
    <row r="18" spans="1:7">
      <c r="A18">
        <v>16</v>
      </c>
      <c r="B18">
        <v>488.98600704502002</v>
      </c>
      <c r="C18">
        <v>407.899802805256</v>
      </c>
      <c r="D18">
        <v>99.755417736937702</v>
      </c>
      <c r="E18">
        <f t="shared" si="1"/>
        <v>0.48898600704502004</v>
      </c>
      <c r="F18">
        <f t="shared" si="2"/>
        <v>0.40789980280525601</v>
      </c>
      <c r="G18">
        <f t="shared" si="3"/>
        <v>9.9755417736937704E-2</v>
      </c>
    </row>
    <row r="19" spans="1:7">
      <c r="A19">
        <v>17</v>
      </c>
      <c r="B19">
        <v>396.51123517081101</v>
      </c>
      <c r="C19">
        <v>473.72642816447598</v>
      </c>
      <c r="D19">
        <v>133.53312106332501</v>
      </c>
      <c r="E19">
        <f t="shared" si="1"/>
        <v>0.39651123517081099</v>
      </c>
      <c r="F19">
        <f t="shared" si="2"/>
        <v>0.47372642816447597</v>
      </c>
      <c r="G19">
        <f t="shared" si="3"/>
        <v>0.13353312106332502</v>
      </c>
    </row>
    <row r="20" spans="1:7">
      <c r="A20">
        <v>18</v>
      </c>
      <c r="B20">
        <v>312.51275507811602</v>
      </c>
      <c r="C20">
        <v>527.50319456345505</v>
      </c>
      <c r="D20">
        <v>171.73200730487801</v>
      </c>
      <c r="E20">
        <f t="shared" si="1"/>
        <v>0.31251275507811599</v>
      </c>
      <c r="F20">
        <f t="shared" si="2"/>
        <v>0.52750319456345507</v>
      </c>
      <c r="G20">
        <f t="shared" si="3"/>
        <v>0.171732007304878</v>
      </c>
    </row>
    <row r="21" spans="1:7">
      <c r="A21">
        <v>19</v>
      </c>
      <c r="B21">
        <v>235.520710019029</v>
      </c>
      <c r="C21">
        <v>557.93614971574402</v>
      </c>
      <c r="D21">
        <v>208.73749079431201</v>
      </c>
      <c r="E21">
        <f t="shared" si="1"/>
        <v>0.23552071001902899</v>
      </c>
      <c r="F21">
        <f t="shared" si="2"/>
        <v>0.55793614971574401</v>
      </c>
      <c r="G21">
        <f t="shared" si="3"/>
        <v>0.208737490794312</v>
      </c>
    </row>
    <row r="22" spans="1:7">
      <c r="A22">
        <v>20</v>
      </c>
      <c r="B22">
        <v>188.024971201353</v>
      </c>
      <c r="C22">
        <v>577.27762091975205</v>
      </c>
      <c r="D22">
        <v>245.86793752496399</v>
      </c>
      <c r="E22">
        <f t="shared" si="1"/>
        <v>0.188024971201353</v>
      </c>
      <c r="F22">
        <f t="shared" si="2"/>
        <v>0.5772776209197521</v>
      </c>
      <c r="G22">
        <f t="shared" si="3"/>
        <v>0.245867937524964</v>
      </c>
    </row>
    <row r="23" spans="1:7">
      <c r="A23">
        <v>21</v>
      </c>
      <c r="B23">
        <v>137.90739996198701</v>
      </c>
      <c r="C23">
        <v>579.47852857229998</v>
      </c>
      <c r="D23">
        <v>289.65693379235603</v>
      </c>
      <c r="E23">
        <f t="shared" si="1"/>
        <v>0.137907399961987</v>
      </c>
      <c r="F23">
        <f t="shared" si="2"/>
        <v>0.57947852857229998</v>
      </c>
      <c r="G23">
        <f t="shared" si="3"/>
        <v>0.28965693379235602</v>
      </c>
    </row>
    <row r="24" spans="1:7">
      <c r="A24">
        <v>22</v>
      </c>
      <c r="B24">
        <v>99.076317792327899</v>
      </c>
      <c r="C24">
        <v>572.61055388682598</v>
      </c>
      <c r="D24">
        <v>331.41838551950201</v>
      </c>
      <c r="E24">
        <f t="shared" si="1"/>
        <v>9.9076317792327895E-2</v>
      </c>
      <c r="F24">
        <f t="shared" si="2"/>
        <v>0.57261055388682602</v>
      </c>
      <c r="G24">
        <f t="shared" si="3"/>
        <v>0.33141838551950203</v>
      </c>
    </row>
    <row r="25" spans="1:7">
      <c r="A25">
        <v>23</v>
      </c>
      <c r="B25">
        <v>76.771548896384303</v>
      </c>
      <c r="C25">
        <v>554.62505584915698</v>
      </c>
      <c r="D25">
        <v>374.86334043008497</v>
      </c>
      <c r="E25">
        <f t="shared" si="1"/>
        <v>7.6771548896384309E-2</v>
      </c>
      <c r="F25">
        <f t="shared" si="2"/>
        <v>0.554625055849157</v>
      </c>
      <c r="G25">
        <f t="shared" si="3"/>
        <v>0.37486334043008496</v>
      </c>
    </row>
    <row r="26" spans="1:7">
      <c r="A26">
        <v>24</v>
      </c>
      <c r="B26">
        <v>55.033184890921802</v>
      </c>
      <c r="C26">
        <v>533.85373128166395</v>
      </c>
      <c r="D26">
        <v>412.05954274061997</v>
      </c>
      <c r="E26">
        <f t="shared" si="1"/>
        <v>5.50331848909218E-2</v>
      </c>
      <c r="F26">
        <f t="shared" si="2"/>
        <v>0.53385373128166391</v>
      </c>
      <c r="G26">
        <f t="shared" si="3"/>
        <v>0.41205954274061996</v>
      </c>
    </row>
    <row r="27" spans="1:7">
      <c r="A27">
        <v>25</v>
      </c>
      <c r="B27">
        <v>41.882891498532302</v>
      </c>
      <c r="C27">
        <v>510.04856673586698</v>
      </c>
      <c r="D27">
        <v>443.88223355148898</v>
      </c>
      <c r="E27">
        <f t="shared" si="1"/>
        <v>4.1882891498532304E-2</v>
      </c>
      <c r="F27">
        <f t="shared" si="2"/>
        <v>0.51004856673586696</v>
      </c>
      <c r="G27">
        <f t="shared" si="3"/>
        <v>0.44388223355148898</v>
      </c>
    </row>
    <row r="28" spans="1:7">
      <c r="A28">
        <v>26</v>
      </c>
      <c r="B28">
        <v>26.899076645389702</v>
      </c>
      <c r="C28">
        <v>480.54748715594701</v>
      </c>
      <c r="D28">
        <v>487.72295463553502</v>
      </c>
      <c r="E28">
        <f t="shared" si="1"/>
        <v>2.6899076645389701E-2</v>
      </c>
      <c r="F28">
        <f t="shared" si="2"/>
        <v>0.48054748715594703</v>
      </c>
      <c r="G28">
        <f t="shared" si="3"/>
        <v>0.487722954635535</v>
      </c>
    </row>
    <row r="29" spans="1:7">
      <c r="A29">
        <v>27</v>
      </c>
      <c r="B29">
        <v>28.643066551244299</v>
      </c>
      <c r="C29">
        <v>456.21581041098199</v>
      </c>
      <c r="D29">
        <v>513.59201939365801</v>
      </c>
      <c r="E29">
        <f t="shared" si="1"/>
        <v>2.8643066551244298E-2</v>
      </c>
      <c r="F29">
        <f t="shared" si="2"/>
        <v>0.45621581041098197</v>
      </c>
      <c r="G29">
        <f t="shared" si="3"/>
        <v>0.51359201939365806</v>
      </c>
    </row>
    <row r="30" spans="1:7">
      <c r="A30">
        <v>28</v>
      </c>
      <c r="B30">
        <v>18.585382566350301</v>
      </c>
      <c r="C30">
        <v>434.6218274103</v>
      </c>
      <c r="D30">
        <v>547.71314249850104</v>
      </c>
      <c r="E30">
        <f t="shared" si="1"/>
        <v>1.8585382566350301E-2</v>
      </c>
      <c r="F30">
        <f t="shared" si="2"/>
        <v>0.43462182741029998</v>
      </c>
      <c r="G30">
        <f t="shared" si="3"/>
        <v>0.547713142498501</v>
      </c>
    </row>
    <row r="31" spans="1:7">
      <c r="A31">
        <v>29</v>
      </c>
      <c r="B31">
        <v>16.4410509755673</v>
      </c>
      <c r="C31">
        <v>407.70546813070098</v>
      </c>
      <c r="D31">
        <v>573.31041777418704</v>
      </c>
      <c r="E31">
        <f t="shared" si="1"/>
        <v>1.6441050975567299E-2</v>
      </c>
      <c r="F31">
        <f t="shared" si="2"/>
        <v>0.40770546813070097</v>
      </c>
      <c r="G31">
        <f t="shared" si="3"/>
        <v>0.57331041777418701</v>
      </c>
    </row>
    <row r="32" spans="1:7">
      <c r="A32">
        <v>30</v>
      </c>
      <c r="B32">
        <v>16.927265894710001</v>
      </c>
      <c r="C32">
        <v>380.76372682378798</v>
      </c>
      <c r="D32">
        <v>602.13874453186702</v>
      </c>
      <c r="E32">
        <f t="shared" si="1"/>
        <v>1.6927265894710001E-2</v>
      </c>
      <c r="F32">
        <f t="shared" si="2"/>
        <v>0.38076372682378795</v>
      </c>
      <c r="G32">
        <f t="shared" si="3"/>
        <v>0.602138744531867</v>
      </c>
    </row>
    <row r="33" spans="1:7">
      <c r="A33">
        <v>31</v>
      </c>
      <c r="B33">
        <v>5.5360201456173197</v>
      </c>
      <c r="C33">
        <v>355.16465630493701</v>
      </c>
      <c r="D33">
        <v>624.92175297246195</v>
      </c>
      <c r="E33">
        <f t="shared" si="1"/>
        <v>5.5360201456173194E-3</v>
      </c>
      <c r="F33">
        <f t="shared" si="2"/>
        <v>0.35516465630493699</v>
      </c>
      <c r="G33">
        <f t="shared" si="3"/>
        <v>0.624921752972462</v>
      </c>
    </row>
    <row r="34" spans="1:7">
      <c r="A34">
        <v>32</v>
      </c>
      <c r="B34">
        <v>5.5516744239331803</v>
      </c>
      <c r="C34">
        <v>332.75256354035901</v>
      </c>
      <c r="D34">
        <v>655.13191440359503</v>
      </c>
      <c r="E34">
        <f t="shared" si="1"/>
        <v>5.5516744239331806E-3</v>
      </c>
      <c r="F34">
        <f t="shared" si="2"/>
        <v>0.33275256354035898</v>
      </c>
      <c r="G34">
        <f t="shared" si="3"/>
        <v>0.65513191440359508</v>
      </c>
    </row>
    <row r="35" spans="1:7">
      <c r="A35">
        <v>33</v>
      </c>
      <c r="B35">
        <v>12.931474477337201</v>
      </c>
      <c r="C35">
        <v>311.62242112024097</v>
      </c>
      <c r="D35">
        <v>681.66378325101903</v>
      </c>
      <c r="E35">
        <f t="shared" si="1"/>
        <v>1.2931474477337201E-2</v>
      </c>
      <c r="F35">
        <f t="shared" si="2"/>
        <v>0.31162242112024097</v>
      </c>
      <c r="G35">
        <f t="shared" si="3"/>
        <v>0.68166378325101906</v>
      </c>
    </row>
    <row r="36" spans="1:7">
      <c r="A36">
        <v>34</v>
      </c>
      <c r="B36">
        <v>8.6066661943624698</v>
      </c>
      <c r="C36">
        <v>290.35002727487699</v>
      </c>
      <c r="D36">
        <v>698.14062804294099</v>
      </c>
      <c r="E36">
        <f t="shared" si="1"/>
        <v>8.6066661943624695E-3</v>
      </c>
      <c r="F36">
        <f t="shared" si="2"/>
        <v>0.29035002727487702</v>
      </c>
      <c r="G36">
        <f t="shared" si="3"/>
        <v>0.69814062804294097</v>
      </c>
    </row>
    <row r="37" spans="1:7">
      <c r="A37">
        <v>35</v>
      </c>
      <c r="B37">
        <v>7.3575980325581396</v>
      </c>
      <c r="C37">
        <v>272.509543831852</v>
      </c>
      <c r="D37">
        <v>719.41411557586696</v>
      </c>
      <c r="E37">
        <f t="shared" si="1"/>
        <v>7.3575980325581393E-3</v>
      </c>
      <c r="F37">
        <f t="shared" si="2"/>
        <v>0.272509543831852</v>
      </c>
      <c r="G37">
        <f t="shared" si="3"/>
        <v>0.71941411557586699</v>
      </c>
    </row>
    <row r="38" spans="1:7">
      <c r="A38">
        <v>36</v>
      </c>
      <c r="B38">
        <v>2.8505374714209899</v>
      </c>
      <c r="C38">
        <v>256.22929206751002</v>
      </c>
      <c r="D38">
        <v>739.83758563310403</v>
      </c>
      <c r="E38">
        <f t="shared" si="1"/>
        <v>2.8505374714209897E-3</v>
      </c>
      <c r="F38">
        <f t="shared" si="2"/>
        <v>0.25622929206750999</v>
      </c>
      <c r="G38">
        <f t="shared" si="3"/>
        <v>0.73983758563310398</v>
      </c>
    </row>
    <row r="39" spans="1:7">
      <c r="A39">
        <v>37</v>
      </c>
      <c r="B39">
        <v>-0.218385218208412</v>
      </c>
      <c r="C39">
        <v>235.91031536785101</v>
      </c>
      <c r="D39">
        <v>756.84413386429605</v>
      </c>
      <c r="E39">
        <f t="shared" si="1"/>
        <v>-2.1838521820841201E-4</v>
      </c>
      <c r="F39">
        <f t="shared" si="2"/>
        <v>0.23591031536785101</v>
      </c>
      <c r="G39">
        <f t="shared" si="3"/>
        <v>0.75684413386429605</v>
      </c>
    </row>
    <row r="40" spans="1:7">
      <c r="A40">
        <v>38</v>
      </c>
      <c r="B40">
        <v>8.2348707294253298</v>
      </c>
      <c r="C40">
        <v>220.781075929617</v>
      </c>
      <c r="D40">
        <v>775.04412081992996</v>
      </c>
      <c r="E40">
        <f t="shared" si="1"/>
        <v>8.2348707294253292E-3</v>
      </c>
      <c r="F40">
        <f t="shared" si="2"/>
        <v>0.22078107592961702</v>
      </c>
      <c r="G40">
        <f t="shared" si="3"/>
        <v>0.7750441208199299</v>
      </c>
    </row>
    <row r="41" spans="1:7">
      <c r="A41">
        <v>39</v>
      </c>
      <c r="B41">
        <v>3.9663387236011598</v>
      </c>
      <c r="C41">
        <v>204.82321244088499</v>
      </c>
      <c r="D41">
        <v>783.95269848070495</v>
      </c>
      <c r="E41">
        <f t="shared" si="1"/>
        <v>3.9663387236011597E-3</v>
      </c>
      <c r="F41">
        <f t="shared" si="2"/>
        <v>0.204823212440885</v>
      </c>
      <c r="G41">
        <f t="shared" si="3"/>
        <v>0.78395269848070492</v>
      </c>
    </row>
    <row r="42" spans="1:7">
      <c r="A42">
        <v>40</v>
      </c>
      <c r="B42">
        <v>7.9785242352294397</v>
      </c>
      <c r="C42">
        <v>192.86137258476199</v>
      </c>
      <c r="D42">
        <v>802.33719563429599</v>
      </c>
      <c r="E42">
        <f t="shared" si="1"/>
        <v>7.9785242352294391E-3</v>
      </c>
      <c r="F42">
        <f t="shared" si="2"/>
        <v>0.19286137258476199</v>
      </c>
      <c r="G42">
        <f t="shared" si="3"/>
        <v>0.80233719563429595</v>
      </c>
    </row>
    <row r="43" spans="1:7">
      <c r="A43">
        <v>41</v>
      </c>
      <c r="B43">
        <v>3.13966703727804</v>
      </c>
      <c r="C43">
        <v>176.304381164847</v>
      </c>
      <c r="D43">
        <v>818.44367482675705</v>
      </c>
      <c r="E43">
        <f t="shared" si="1"/>
        <v>3.1396670372780401E-3</v>
      </c>
      <c r="F43">
        <f t="shared" si="2"/>
        <v>0.17630438116484701</v>
      </c>
      <c r="G43">
        <f t="shared" si="3"/>
        <v>0.81844367482675706</v>
      </c>
    </row>
    <row r="44" spans="1:7">
      <c r="A44">
        <v>42</v>
      </c>
      <c r="B44">
        <v>2.6118371468564701</v>
      </c>
      <c r="C44">
        <v>166.77826328596299</v>
      </c>
      <c r="D44">
        <v>830.17491401183395</v>
      </c>
      <c r="E44">
        <f t="shared" si="1"/>
        <v>2.6118371468564702E-3</v>
      </c>
      <c r="F44">
        <f t="shared" si="2"/>
        <v>0.16677826328596299</v>
      </c>
      <c r="G44">
        <f t="shared" si="3"/>
        <v>0.83017491401183396</v>
      </c>
    </row>
    <row r="45" spans="1:7">
      <c r="A45">
        <v>43</v>
      </c>
      <c r="B45">
        <v>2.39128185473625</v>
      </c>
      <c r="C45">
        <v>157.90989924786101</v>
      </c>
      <c r="D45">
        <v>839.69352077445706</v>
      </c>
      <c r="E45">
        <f t="shared" si="1"/>
        <v>2.39128185473625E-3</v>
      </c>
      <c r="F45">
        <f t="shared" si="2"/>
        <v>0.157909899247861</v>
      </c>
      <c r="G45">
        <f t="shared" si="3"/>
        <v>0.83969352077445703</v>
      </c>
    </row>
    <row r="46" spans="1:7">
      <c r="A46">
        <v>44</v>
      </c>
      <c r="B46">
        <v>1.2757458204968699</v>
      </c>
      <c r="C46">
        <v>149.23463373831001</v>
      </c>
      <c r="D46">
        <v>846.73055231667502</v>
      </c>
      <c r="E46">
        <f t="shared" si="1"/>
        <v>1.2757458204968699E-3</v>
      </c>
      <c r="F46">
        <f t="shared" si="2"/>
        <v>0.14923463373831</v>
      </c>
      <c r="G46">
        <f t="shared" si="3"/>
        <v>0.84673055231667504</v>
      </c>
    </row>
    <row r="47" spans="1:7">
      <c r="A47">
        <v>45</v>
      </c>
      <c r="B47">
        <v>3.5362804167817599</v>
      </c>
      <c r="C47">
        <v>135.57712777576799</v>
      </c>
      <c r="D47">
        <v>865.34225693530902</v>
      </c>
      <c r="E47">
        <f t="shared" si="1"/>
        <v>3.5362804167817599E-3</v>
      </c>
      <c r="F47">
        <f t="shared" si="2"/>
        <v>0.135577127775768</v>
      </c>
      <c r="G47">
        <f t="shared" si="3"/>
        <v>0.86534225693530897</v>
      </c>
    </row>
    <row r="48" spans="1:7">
      <c r="A48">
        <v>46</v>
      </c>
      <c r="B48">
        <v>-3.1346344649783999</v>
      </c>
      <c r="C48">
        <v>125.187367886479</v>
      </c>
      <c r="D48">
        <v>878.33605384871601</v>
      </c>
      <c r="E48">
        <f t="shared" si="1"/>
        <v>-3.1346344649783998E-3</v>
      </c>
      <c r="F48">
        <f t="shared" si="2"/>
        <v>0.125187367886479</v>
      </c>
      <c r="G48">
        <f t="shared" si="3"/>
        <v>0.87833605384871605</v>
      </c>
    </row>
    <row r="49" spans="1:7">
      <c r="A49">
        <v>47</v>
      </c>
      <c r="B49">
        <v>9.0828857896239104</v>
      </c>
      <c r="C49">
        <v>115.64560923284699</v>
      </c>
      <c r="D49">
        <v>878.02773465304801</v>
      </c>
      <c r="E49">
        <f t="shared" si="1"/>
        <v>9.0828857896239103E-3</v>
      </c>
      <c r="F49">
        <f t="shared" si="2"/>
        <v>0.11564560923284699</v>
      </c>
      <c r="G49">
        <f t="shared" si="3"/>
        <v>0.87802773465304806</v>
      </c>
    </row>
    <row r="50" spans="1:7">
      <c r="A50">
        <v>48</v>
      </c>
      <c r="B50">
        <v>10.53823055272</v>
      </c>
      <c r="C50">
        <v>111.612530534534</v>
      </c>
      <c r="D50">
        <v>889.08099354612204</v>
      </c>
      <c r="E50">
        <f t="shared" si="1"/>
        <v>1.0538230552720001E-2</v>
      </c>
      <c r="F50">
        <f t="shared" si="2"/>
        <v>0.111612530534534</v>
      </c>
      <c r="G50">
        <f t="shared" si="3"/>
        <v>0.88908099354612202</v>
      </c>
    </row>
    <row r="51" spans="1:7">
      <c r="A51">
        <v>49</v>
      </c>
      <c r="B51">
        <v>2.58593441383774</v>
      </c>
      <c r="C51">
        <v>103.42211054485</v>
      </c>
      <c r="D51">
        <v>894.72708248588401</v>
      </c>
      <c r="E51">
        <f t="shared" si="1"/>
        <v>2.5859344138377399E-3</v>
      </c>
      <c r="F51">
        <f t="shared" si="2"/>
        <v>0.10342211054485</v>
      </c>
      <c r="G51">
        <f t="shared" si="3"/>
        <v>0.89472708248588406</v>
      </c>
    </row>
    <row r="52" spans="1:7">
      <c r="A52">
        <v>50</v>
      </c>
      <c r="B52">
        <v>2.0336631835871901</v>
      </c>
      <c r="C52">
        <v>94.972241588527098</v>
      </c>
      <c r="D52">
        <v>904.50311421663901</v>
      </c>
      <c r="E52">
        <f t="shared" si="1"/>
        <v>2.0336631835871899E-3</v>
      </c>
      <c r="F52">
        <f t="shared" si="2"/>
        <v>9.4972241588527101E-2</v>
      </c>
      <c r="G52">
        <f t="shared" si="3"/>
        <v>0.90450311421663898</v>
      </c>
    </row>
    <row r="53" spans="1:7">
      <c r="A53">
        <v>51</v>
      </c>
      <c r="B53">
        <v>2.29495579716815</v>
      </c>
      <c r="C53">
        <v>87.440881600336297</v>
      </c>
      <c r="D53">
        <v>909.22037148508502</v>
      </c>
      <c r="E53">
        <f t="shared" si="1"/>
        <v>2.2949557971681501E-3</v>
      </c>
      <c r="F53">
        <f t="shared" si="2"/>
        <v>8.7440881600336293E-2</v>
      </c>
      <c r="G53">
        <f t="shared" si="3"/>
        <v>0.90922037148508505</v>
      </c>
    </row>
    <row r="54" spans="1:7">
      <c r="A54">
        <v>52</v>
      </c>
      <c r="B54">
        <v>2.3936274802814101</v>
      </c>
      <c r="C54">
        <v>83.053244128702104</v>
      </c>
      <c r="D54">
        <v>906.30963623923299</v>
      </c>
      <c r="E54">
        <f t="shared" si="1"/>
        <v>2.3936274802814103E-3</v>
      </c>
      <c r="F54">
        <f t="shared" si="2"/>
        <v>8.3053244128702103E-2</v>
      </c>
      <c r="G54">
        <f t="shared" si="3"/>
        <v>0.906309636239233</v>
      </c>
    </row>
    <row r="55" spans="1:7">
      <c r="A55">
        <v>53</v>
      </c>
      <c r="B55">
        <v>2.3043154567460098</v>
      </c>
      <c r="C55">
        <v>78.073186837302998</v>
      </c>
      <c r="D55">
        <v>926.30169320256596</v>
      </c>
      <c r="E55">
        <f t="shared" si="1"/>
        <v>2.3043154567460099E-3</v>
      </c>
      <c r="F55">
        <f t="shared" si="2"/>
        <v>7.8073186837302994E-2</v>
      </c>
      <c r="G55">
        <f t="shared" si="3"/>
        <v>0.92630169320256595</v>
      </c>
    </row>
    <row r="56" spans="1:7">
      <c r="A56">
        <v>54</v>
      </c>
      <c r="B56">
        <v>3.03855858647022</v>
      </c>
      <c r="C56">
        <v>71.018266657233397</v>
      </c>
      <c r="D56">
        <v>927.36038017037697</v>
      </c>
      <c r="E56">
        <f t="shared" si="1"/>
        <v>3.0385585864702198E-3</v>
      </c>
      <c r="F56">
        <f t="shared" si="2"/>
        <v>7.1018266657233403E-2</v>
      </c>
      <c r="G56">
        <f t="shared" si="3"/>
        <v>0.92736038017037692</v>
      </c>
    </row>
    <row r="57" spans="1:7">
      <c r="A57">
        <v>55</v>
      </c>
      <c r="B57">
        <v>7.9515125832206497</v>
      </c>
      <c r="C57">
        <v>66.968684958737697</v>
      </c>
      <c r="D57">
        <v>933.89441761834496</v>
      </c>
      <c r="E57">
        <f t="shared" si="1"/>
        <v>7.9515125832206497E-3</v>
      </c>
      <c r="F57">
        <f t="shared" si="2"/>
        <v>6.6968684958737701E-2</v>
      </c>
      <c r="G57">
        <f t="shared" si="3"/>
        <v>0.93389441761834491</v>
      </c>
    </row>
    <row r="58" spans="1:7">
      <c r="A58">
        <v>56</v>
      </c>
      <c r="B58">
        <v>-0.11013052498209</v>
      </c>
      <c r="C58">
        <v>61.842269129692198</v>
      </c>
      <c r="D58">
        <v>942.75156262420398</v>
      </c>
      <c r="E58">
        <f t="shared" si="1"/>
        <v>-1.1013052498209E-4</v>
      </c>
      <c r="F58">
        <f t="shared" si="2"/>
        <v>6.18422691296922E-2</v>
      </c>
      <c r="G58">
        <f t="shared" si="3"/>
        <v>0.94275156262420401</v>
      </c>
    </row>
    <row r="59" spans="1:7">
      <c r="A59">
        <v>57</v>
      </c>
      <c r="B59">
        <v>5.6947636442931602</v>
      </c>
      <c r="C59">
        <v>60.470398956274998</v>
      </c>
      <c r="D59">
        <v>936.80268831874901</v>
      </c>
      <c r="E59">
        <f t="shared" si="1"/>
        <v>5.6947636442931599E-3</v>
      </c>
      <c r="F59">
        <f t="shared" si="2"/>
        <v>6.0470398956274998E-2</v>
      </c>
      <c r="G59">
        <f t="shared" si="3"/>
        <v>0.93680268831874902</v>
      </c>
    </row>
    <row r="60" spans="1:7">
      <c r="A60">
        <v>58</v>
      </c>
      <c r="B60">
        <v>-2.2807198247528699</v>
      </c>
      <c r="C60">
        <v>54.975808919005203</v>
      </c>
      <c r="D60">
        <v>943.98061818187205</v>
      </c>
      <c r="E60">
        <f t="shared" si="1"/>
        <v>-2.2807198247528698E-3</v>
      </c>
      <c r="F60">
        <f t="shared" si="2"/>
        <v>5.4975808919005206E-2</v>
      </c>
      <c r="G60">
        <f t="shared" si="3"/>
        <v>0.94398061818187207</v>
      </c>
    </row>
    <row r="61" spans="1:7">
      <c r="A61">
        <v>59</v>
      </c>
      <c r="B61">
        <v>-0.10788247514761</v>
      </c>
      <c r="C61">
        <v>53.5969262433075</v>
      </c>
      <c r="D61">
        <v>941.00736181572699</v>
      </c>
      <c r="E61">
        <f t="shared" si="1"/>
        <v>-1.0788247514761E-4</v>
      </c>
      <c r="F61">
        <f t="shared" si="2"/>
        <v>5.3596926243307502E-2</v>
      </c>
      <c r="G61">
        <f t="shared" si="3"/>
        <v>0.94100736181572697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DEF9A-D3F8-4A30-B3EA-D4B75CCE8465}">
  <dimension ref="A1:I33"/>
  <sheetViews>
    <sheetView zoomScale="115" zoomScaleNormal="115" workbookViewId="0">
      <selection activeCell="E11" sqref="E11"/>
    </sheetView>
  </sheetViews>
  <sheetFormatPr defaultRowHeight="14.5"/>
  <cols>
    <col min="9" max="9" width="11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H1" t="s">
        <v>4</v>
      </c>
      <c r="I1">
        <v>950</v>
      </c>
    </row>
    <row r="2" spans="1:9">
      <c r="A2">
        <v>0</v>
      </c>
      <c r="B2">
        <v>0.45</v>
      </c>
      <c r="C2">
        <v>0</v>
      </c>
      <c r="D2">
        <v>0</v>
      </c>
    </row>
    <row r="3" spans="1:9">
      <c r="A3">
        <v>1</v>
      </c>
      <c r="B3">
        <f t="shared" ref="B3:B16" si="0">N-C3-D3</f>
        <v>947</v>
      </c>
      <c r="C3">
        <v>3</v>
      </c>
      <c r="D3">
        <v>0</v>
      </c>
    </row>
    <row r="4" spans="1:9">
      <c r="A4">
        <v>2</v>
      </c>
      <c r="B4">
        <f t="shared" si="0"/>
        <v>942</v>
      </c>
      <c r="C4">
        <v>8</v>
      </c>
      <c r="D4">
        <v>0</v>
      </c>
    </row>
    <row r="5" spans="1:9">
      <c r="A5">
        <v>3</v>
      </c>
      <c r="B5">
        <f t="shared" si="0"/>
        <v>922</v>
      </c>
      <c r="C5">
        <v>28</v>
      </c>
      <c r="D5">
        <v>0</v>
      </c>
    </row>
    <row r="6" spans="1:9">
      <c r="A6">
        <v>4</v>
      </c>
      <c r="B6">
        <f t="shared" si="0"/>
        <v>875</v>
      </c>
      <c r="C6">
        <v>75</v>
      </c>
      <c r="D6">
        <v>0</v>
      </c>
    </row>
    <row r="7" spans="1:9">
      <c r="A7">
        <v>5</v>
      </c>
      <c r="B7">
        <f t="shared" si="0"/>
        <v>720</v>
      </c>
      <c r="C7">
        <v>221</v>
      </c>
      <c r="D7">
        <v>9</v>
      </c>
    </row>
    <row r="8" spans="1:9">
      <c r="A8">
        <v>6</v>
      </c>
      <c r="B8">
        <f t="shared" si="0"/>
        <v>633</v>
      </c>
      <c r="C8">
        <v>291</v>
      </c>
      <c r="D8">
        <v>26</v>
      </c>
    </row>
    <row r="9" spans="1:9">
      <c r="A9">
        <v>7</v>
      </c>
      <c r="B9">
        <f t="shared" si="0"/>
        <v>564</v>
      </c>
      <c r="C9">
        <v>255</v>
      </c>
      <c r="D9">
        <v>131</v>
      </c>
    </row>
    <row r="10" spans="1:9">
      <c r="A10">
        <v>8</v>
      </c>
      <c r="B10">
        <f t="shared" si="0"/>
        <v>422</v>
      </c>
      <c r="C10">
        <v>235</v>
      </c>
      <c r="D10">
        <v>293</v>
      </c>
    </row>
    <row r="11" spans="1:9">
      <c r="A11">
        <v>9</v>
      </c>
      <c r="B11">
        <f t="shared" si="0"/>
        <v>291</v>
      </c>
      <c r="C11">
        <v>190</v>
      </c>
      <c r="D11">
        <v>469</v>
      </c>
    </row>
    <row r="12" spans="1:9">
      <c r="A12">
        <v>10</v>
      </c>
      <c r="B12">
        <f t="shared" si="0"/>
        <v>189</v>
      </c>
      <c r="C12">
        <v>126</v>
      </c>
      <c r="D12">
        <v>635</v>
      </c>
    </row>
    <row r="13" spans="1:9">
      <c r="A13">
        <v>11</v>
      </c>
      <c r="B13">
        <f t="shared" si="0"/>
        <v>95</v>
      </c>
      <c r="C13">
        <v>70</v>
      </c>
      <c r="D13">
        <v>785</v>
      </c>
    </row>
    <row r="14" spans="1:9">
      <c r="A14">
        <v>12</v>
      </c>
      <c r="B14">
        <f t="shared" si="0"/>
        <v>52</v>
      </c>
      <c r="C14">
        <v>28</v>
      </c>
      <c r="D14">
        <v>870</v>
      </c>
    </row>
    <row r="15" spans="1:9">
      <c r="A15">
        <v>13</v>
      </c>
      <c r="B15">
        <f t="shared" si="0"/>
        <v>21</v>
      </c>
      <c r="C15">
        <v>12</v>
      </c>
      <c r="D15">
        <v>917</v>
      </c>
    </row>
    <row r="16" spans="1:9">
      <c r="A16">
        <v>14</v>
      </c>
      <c r="B16">
        <f t="shared" si="0"/>
        <v>8</v>
      </c>
      <c r="C16">
        <v>5</v>
      </c>
      <c r="D16">
        <v>937</v>
      </c>
    </row>
    <row r="18" spans="1:4">
      <c r="A18" t="s">
        <v>0</v>
      </c>
      <c r="B18" t="s">
        <v>1</v>
      </c>
      <c r="C18" t="s">
        <v>2</v>
      </c>
      <c r="D18" t="s">
        <v>3</v>
      </c>
    </row>
    <row r="19" spans="1:4">
      <c r="A19">
        <v>0</v>
      </c>
      <c r="B19">
        <f t="shared" ref="B19:D33" si="1">B2/N</f>
        <v>4.7368421052631582E-4</v>
      </c>
      <c r="C19">
        <f t="shared" si="1"/>
        <v>0</v>
      </c>
      <c r="D19">
        <f t="shared" si="1"/>
        <v>0</v>
      </c>
    </row>
    <row r="20" spans="1:4">
      <c r="A20">
        <v>1</v>
      </c>
      <c r="B20">
        <f t="shared" si="1"/>
        <v>0.99684210526315786</v>
      </c>
      <c r="C20">
        <f t="shared" si="1"/>
        <v>3.1578947368421052E-3</v>
      </c>
      <c r="D20">
        <f t="shared" si="1"/>
        <v>0</v>
      </c>
    </row>
    <row r="21" spans="1:4">
      <c r="A21">
        <v>2</v>
      </c>
      <c r="B21">
        <f t="shared" si="1"/>
        <v>0.991578947368421</v>
      </c>
      <c r="C21">
        <f t="shared" si="1"/>
        <v>8.4210526315789472E-3</v>
      </c>
      <c r="D21">
        <f t="shared" si="1"/>
        <v>0</v>
      </c>
    </row>
    <row r="22" spans="1:4">
      <c r="A22">
        <v>3</v>
      </c>
      <c r="B22">
        <f t="shared" si="1"/>
        <v>0.97052631578947368</v>
      </c>
      <c r="C22">
        <f t="shared" si="1"/>
        <v>2.9473684210526315E-2</v>
      </c>
      <c r="D22">
        <f t="shared" si="1"/>
        <v>0</v>
      </c>
    </row>
    <row r="23" spans="1:4">
      <c r="A23">
        <v>4</v>
      </c>
      <c r="B23">
        <f t="shared" si="1"/>
        <v>0.92105263157894735</v>
      </c>
      <c r="C23">
        <f t="shared" si="1"/>
        <v>7.8947368421052627E-2</v>
      </c>
      <c r="D23">
        <f t="shared" si="1"/>
        <v>0</v>
      </c>
    </row>
    <row r="24" spans="1:4">
      <c r="A24">
        <v>5</v>
      </c>
      <c r="B24">
        <f t="shared" si="1"/>
        <v>0.75789473684210529</v>
      </c>
      <c r="C24">
        <f t="shared" si="1"/>
        <v>0.23263157894736841</v>
      </c>
      <c r="D24">
        <f t="shared" si="1"/>
        <v>9.4736842105263164E-3</v>
      </c>
    </row>
    <row r="25" spans="1:4">
      <c r="A25">
        <v>6</v>
      </c>
      <c r="B25">
        <f t="shared" si="1"/>
        <v>0.66631578947368419</v>
      </c>
      <c r="C25">
        <f t="shared" si="1"/>
        <v>0.30631578947368421</v>
      </c>
      <c r="D25">
        <f t="shared" si="1"/>
        <v>2.736842105263158E-2</v>
      </c>
    </row>
    <row r="26" spans="1:4">
      <c r="A26">
        <v>7</v>
      </c>
      <c r="B26">
        <f t="shared" si="1"/>
        <v>0.59368421052631581</v>
      </c>
      <c r="C26">
        <f t="shared" si="1"/>
        <v>0.26842105263157895</v>
      </c>
      <c r="D26">
        <f t="shared" si="1"/>
        <v>0.13789473684210526</v>
      </c>
    </row>
    <row r="27" spans="1:4">
      <c r="A27">
        <v>8</v>
      </c>
      <c r="B27">
        <f t="shared" si="1"/>
        <v>0.4442105263157895</v>
      </c>
      <c r="C27">
        <f t="shared" si="1"/>
        <v>0.24736842105263157</v>
      </c>
      <c r="D27">
        <f t="shared" si="1"/>
        <v>0.30842105263157893</v>
      </c>
    </row>
    <row r="28" spans="1:4">
      <c r="A28">
        <v>9</v>
      </c>
      <c r="B28">
        <f t="shared" si="1"/>
        <v>0.30631578947368421</v>
      </c>
      <c r="C28">
        <f t="shared" si="1"/>
        <v>0.2</v>
      </c>
      <c r="D28">
        <f t="shared" si="1"/>
        <v>0.49368421052631578</v>
      </c>
    </row>
    <row r="29" spans="1:4">
      <c r="A29">
        <v>10</v>
      </c>
      <c r="B29">
        <f t="shared" si="1"/>
        <v>0.19894736842105262</v>
      </c>
      <c r="C29">
        <f t="shared" si="1"/>
        <v>0.13263157894736843</v>
      </c>
      <c r="D29">
        <f t="shared" si="1"/>
        <v>0.66842105263157892</v>
      </c>
    </row>
    <row r="30" spans="1:4">
      <c r="A30">
        <v>11</v>
      </c>
      <c r="B30">
        <f t="shared" si="1"/>
        <v>0.1</v>
      </c>
      <c r="C30">
        <f t="shared" si="1"/>
        <v>7.3684210526315783E-2</v>
      </c>
      <c r="D30">
        <f t="shared" si="1"/>
        <v>0.82631578947368423</v>
      </c>
    </row>
    <row r="31" spans="1:4">
      <c r="A31">
        <v>12</v>
      </c>
      <c r="B31">
        <f t="shared" si="1"/>
        <v>5.473684210526316E-2</v>
      </c>
      <c r="C31">
        <f t="shared" si="1"/>
        <v>2.9473684210526315E-2</v>
      </c>
      <c r="D31">
        <f t="shared" si="1"/>
        <v>0.91578947368421049</v>
      </c>
    </row>
    <row r="32" spans="1:4">
      <c r="A32">
        <v>13</v>
      </c>
      <c r="B32">
        <f t="shared" si="1"/>
        <v>2.2105263157894735E-2</v>
      </c>
      <c r="C32">
        <f t="shared" si="1"/>
        <v>1.2631578947368421E-2</v>
      </c>
      <c r="D32">
        <f t="shared" si="1"/>
        <v>0.96526315789473682</v>
      </c>
    </row>
    <row r="33" spans="1:4">
      <c r="A33">
        <v>14</v>
      </c>
      <c r="B33">
        <f t="shared" si="1"/>
        <v>8.4210526315789472E-3</v>
      </c>
      <c r="C33">
        <f t="shared" si="1"/>
        <v>5.263157894736842E-3</v>
      </c>
      <c r="D33">
        <f t="shared" si="1"/>
        <v>0.98631578947368426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19CDC-07D1-43DD-A18A-244C39710B90}">
  <dimension ref="A1:J16"/>
  <sheetViews>
    <sheetView workbookViewId="0">
      <selection activeCell="J2" sqref="J2"/>
    </sheetView>
  </sheetViews>
  <sheetFormatPr defaultRowHeight="14.5"/>
  <cols>
    <col min="4" max="4" width="12.7265625" bestFit="1" customWidth="1"/>
    <col min="5" max="5" width="12.1796875" bestFit="1" customWidth="1"/>
    <col min="6" max="6" width="12.7265625" bestFit="1" customWidth="1"/>
    <col min="7" max="7" width="12.1796875" customWidth="1"/>
  </cols>
  <sheetData>
    <row r="1" spans="1:10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</row>
    <row r="2" spans="1:10">
      <c r="A2">
        <v>0</v>
      </c>
      <c r="B2">
        <f>'Param (No DINN)'!$B$2*Estimation!A2 + 'Param (No DINN)'!$B$3</f>
        <v>-5.4163908198240653</v>
      </c>
      <c r="C2">
        <f>1/(1+EXP(-1*B2))</f>
        <v>4.4234995974476417E-3</v>
      </c>
      <c r="D2">
        <f>w12S1*Estimation!C2 + b12S1</f>
        <v>0.93744596318135376</v>
      </c>
      <c r="E2">
        <f>w12I1*Estimation!C2 + b12I1</f>
        <v>0.12401742947629356</v>
      </c>
      <c r="F2">
        <f>w12R1*Estimation!C2 + b12R1</f>
        <v>-6.1464257226088573E-2</v>
      </c>
      <c r="G2">
        <v>1</v>
      </c>
      <c r="H2">
        <v>0</v>
      </c>
      <c r="I2">
        <v>0</v>
      </c>
      <c r="J2">
        <f>SUM((D2-G2)^2,(E2-H2)^2,(F2-I2)^2)</f>
        <v>2.3071185252570778E-2</v>
      </c>
    </row>
    <row r="3" spans="1:10">
      <c r="A3">
        <v>1</v>
      </c>
      <c r="B3">
        <f>'Param (No DINN)'!$B$2*Estimation!A3 + 'Param (No DINN)'!$B$3</f>
        <v>-4.7805938096657927</v>
      </c>
      <c r="C3">
        <f t="shared" ref="C3:C16" si="0">1/(1+EXP(-1*B3))</f>
        <v>8.3211915802265651E-3</v>
      </c>
      <c r="D3">
        <f>w12S1*Estimation!C3 + b12S1</f>
        <v>0.93349231866442328</v>
      </c>
      <c r="E3">
        <f>w12I1*Estimation!C3 + b12I1</f>
        <v>0.12386539608127582</v>
      </c>
      <c r="F3">
        <f>w12R1*Estimation!C3 + b12R1</f>
        <v>-5.7358580345432827E-2</v>
      </c>
      <c r="G3">
        <v>0.99684210526315786</v>
      </c>
      <c r="H3">
        <v>3.1578947368421052E-3</v>
      </c>
      <c r="I3">
        <v>0</v>
      </c>
      <c r="J3">
        <f t="shared" ref="J3:J16" si="1">SUM((D3-G3)^2,(E3-H3)^2,(F3-I3)^2)</f>
        <v>2.1873503082165152E-2</v>
      </c>
    </row>
    <row r="4" spans="1:10">
      <c r="A4">
        <v>2</v>
      </c>
      <c r="B4">
        <f>'Param (No DINN)'!$B$2*Estimation!A4 + 'Param (No DINN)'!$B$3</f>
        <v>-4.1447967995075192</v>
      </c>
      <c r="C4">
        <f t="shared" si="0"/>
        <v>1.5599456457267125E-2</v>
      </c>
      <c r="D4">
        <f>w12S1*Estimation!C4 + b12S1</f>
        <v>0.92610957211825762</v>
      </c>
      <c r="E4">
        <f>w12I1*Estimation!C4 + b12I1</f>
        <v>0.12358150004126449</v>
      </c>
      <c r="F4">
        <f>w12R1*Estimation!C4 + b12R1</f>
        <v>-4.9691939685015861E-2</v>
      </c>
      <c r="G4">
        <v>0.991578947368421</v>
      </c>
      <c r="H4">
        <v>8.4210526315789472E-3</v>
      </c>
      <c r="I4">
        <v>0</v>
      </c>
      <c r="J4">
        <f t="shared" si="1"/>
        <v>2.001745661290491E-2</v>
      </c>
    </row>
    <row r="5" spans="1:10">
      <c r="A5">
        <v>3</v>
      </c>
      <c r="B5">
        <f>'Param (No DINN)'!$B$2*Estimation!A5 + 'Param (No DINN)'!$B$3</f>
        <v>-3.5089997893492466</v>
      </c>
      <c r="C5">
        <f t="shared" si="0"/>
        <v>2.9057241409184243E-2</v>
      </c>
      <c r="D5">
        <f>w12S1*Estimation!C5 + b12S1</f>
        <v>0.91245859663834272</v>
      </c>
      <c r="E5">
        <f>w12I1*Estimation!C5 + b12I1</f>
        <v>0.12305656560706636</v>
      </c>
      <c r="F5">
        <f>w12R1*Estimation!C5 + b12R1</f>
        <v>-3.5516033331705436E-2</v>
      </c>
      <c r="G5">
        <v>0.97052631578947368</v>
      </c>
      <c r="H5">
        <v>2.9473684210526315E-2</v>
      </c>
      <c r="I5">
        <v>0</v>
      </c>
      <c r="J5">
        <f t="shared" si="1"/>
        <v>1.3391004321512315E-2</v>
      </c>
    </row>
    <row r="6" spans="1:10">
      <c r="A6">
        <v>4</v>
      </c>
      <c r="B6">
        <f>'Param (No DINN)'!$B$2*Estimation!A6 + 'Param (No DINN)'!$B$3</f>
        <v>-2.8732027791909736</v>
      </c>
      <c r="C6">
        <f t="shared" si="0"/>
        <v>5.3494254808211995E-2</v>
      </c>
      <c r="D6">
        <f>w12S1*Estimation!C6 + b12S1</f>
        <v>0.8876707826032435</v>
      </c>
      <c r="E6">
        <f>w12I1*Estimation!C6 + b12I1</f>
        <v>0.12210337532739236</v>
      </c>
      <c r="F6">
        <f>w12R1*Estimation!C6 + b12R1</f>
        <v>-9.7750354827346869E-3</v>
      </c>
      <c r="G6">
        <v>0.92105263157894735</v>
      </c>
      <c r="H6">
        <v>7.8947368421052627E-2</v>
      </c>
      <c r="I6">
        <v>0</v>
      </c>
      <c r="J6">
        <f t="shared" si="1"/>
        <v>3.0723400918254646E-3</v>
      </c>
    </row>
    <row r="7" spans="1:10">
      <c r="A7">
        <v>5</v>
      </c>
      <c r="B7">
        <f>'Param (No DINN)'!$B$2*Estimation!A7 + 'Param (No DINN)'!$B$3</f>
        <v>-2.2374057690327005</v>
      </c>
      <c r="C7">
        <f t="shared" si="0"/>
        <v>9.6441367563961128E-2</v>
      </c>
      <c r="D7">
        <f>w12S1*Estimation!C7 + b12S1</f>
        <v>0.84410715119907587</v>
      </c>
      <c r="E7">
        <f>w12I1*Estimation!C7 + b12I1</f>
        <v>0.12042818000992889</v>
      </c>
      <c r="F7">
        <f>w12R1*Estimation!C7 + b12R1</f>
        <v>3.546377987549669E-2</v>
      </c>
      <c r="G7">
        <v>0.75789473684210529</v>
      </c>
      <c r="H7">
        <v>0.23263157894736841</v>
      </c>
      <c r="I7">
        <v>9.4736842105263164E-3</v>
      </c>
      <c r="J7">
        <f t="shared" si="1"/>
        <v>2.0697668195046502E-2</v>
      </c>
    </row>
    <row r="8" spans="1:10">
      <c r="A8">
        <v>6</v>
      </c>
      <c r="B8">
        <f>'Param (No DINN)'!$B$2*Estimation!A8 + 'Param (No DINN)'!$B$3</f>
        <v>-1.6016087588744279</v>
      </c>
      <c r="C8">
        <f t="shared" si="0"/>
        <v>0.16775688870862063</v>
      </c>
      <c r="D8">
        <f>w12S1*Estimation!C8 + b12S1</f>
        <v>0.77176787441902783</v>
      </c>
      <c r="E8">
        <f>w12I1*Estimation!C8 + b12I1</f>
        <v>0.11764644639809234</v>
      </c>
      <c r="F8">
        <f>w12R1*Estimation!C8 + b12R1</f>
        <v>0.11058477139796909</v>
      </c>
      <c r="G8">
        <v>0.66631578947368419</v>
      </c>
      <c r="H8">
        <v>0.30631578947368421</v>
      </c>
      <c r="I8">
        <v>2.736842105263158E-2</v>
      </c>
      <c r="J8">
        <f t="shared" si="1"/>
        <v>5.3641224200693303E-2</v>
      </c>
    </row>
    <row r="9" spans="1:10">
      <c r="A9">
        <v>7</v>
      </c>
      <c r="B9">
        <f>'Param (No DINN)'!$B$2*Estimation!A9 + 'Param (No DINN)'!$B$3</f>
        <v>-0.96581174871615438</v>
      </c>
      <c r="C9">
        <f t="shared" si="0"/>
        <v>0.27571609615520065</v>
      </c>
      <c r="D9">
        <f>w12S1*Estimation!C9 + b12S1</f>
        <v>0.66225888026064172</v>
      </c>
      <c r="E9">
        <f>w12I1*Estimation!C9 + b12I1</f>
        <v>0.11343538895588119</v>
      </c>
      <c r="F9">
        <f>w12R1*Estimation!C9 + b12R1</f>
        <v>0.22430479443358142</v>
      </c>
      <c r="G9">
        <v>0.59368421052631581</v>
      </c>
      <c r="H9">
        <v>0.26842105263157895</v>
      </c>
      <c r="I9">
        <v>0.13789473684210526</v>
      </c>
      <c r="J9">
        <f t="shared" si="1"/>
        <v>3.6189739327130606E-2</v>
      </c>
    </row>
    <row r="10" spans="1:10">
      <c r="A10">
        <v>8</v>
      </c>
      <c r="B10">
        <f>'Param (No DINN)'!$B$2*Estimation!A10 + 'Param (No DINN)'!$B$3</f>
        <v>-0.33001473855788177</v>
      </c>
      <c r="C10">
        <f t="shared" si="0"/>
        <v>0.41823703704431536</v>
      </c>
      <c r="D10">
        <f>w12S1*Estimation!C10 + b12S1</f>
        <v>0.51769200863927956</v>
      </c>
      <c r="E10">
        <f>w12I1*Estimation!C10 + b12I1</f>
        <v>0.10787621634803286</v>
      </c>
      <c r="F10">
        <f>w12R1*Estimation!C10 + b12R1</f>
        <v>0.37443080095309944</v>
      </c>
      <c r="G10">
        <v>0.4442105263157895</v>
      </c>
      <c r="H10">
        <v>0.24736842105263157</v>
      </c>
      <c r="I10">
        <v>0.30842105263157893</v>
      </c>
      <c r="J10">
        <f t="shared" si="1"/>
        <v>2.9214890291277537E-2</v>
      </c>
    </row>
    <row r="11" spans="1:10">
      <c r="A11">
        <v>9</v>
      </c>
      <c r="B11">
        <f>'Param (No DINN)'!$B$2*Estimation!A11 + 'Param (No DINN)'!$B$3</f>
        <v>0.30578227160039084</v>
      </c>
      <c r="C11">
        <f t="shared" si="0"/>
        <v>0.57585542904452169</v>
      </c>
      <c r="D11">
        <f>w12S1*Estimation!C11 + b12S1</f>
        <v>0.35781095748071434</v>
      </c>
      <c r="E11">
        <f>w12I1*Estimation!C11 + b12I1</f>
        <v>0.10172815247872136</v>
      </c>
      <c r="F11">
        <f>w12R1*Estimation!C11 + b12R1</f>
        <v>0.54045987427664077</v>
      </c>
      <c r="G11">
        <v>0.30631578947368421</v>
      </c>
      <c r="H11">
        <v>0.2</v>
      </c>
      <c r="I11">
        <v>0.49368421052631578</v>
      </c>
      <c r="J11">
        <f t="shared" si="1"/>
        <v>1.4497071062601168E-2</v>
      </c>
    </row>
    <row r="12" spans="1:10">
      <c r="A12">
        <v>10</v>
      </c>
      <c r="B12">
        <f>'Param (No DINN)'!$B$2*Estimation!A12 + 'Param (No DINN)'!$B$3</f>
        <v>0.94157928175866434</v>
      </c>
      <c r="C12">
        <f t="shared" si="0"/>
        <v>0.71941855456127013</v>
      </c>
      <c r="D12">
        <f>w12S1*Estimation!C12 + b12S1</f>
        <v>0.21218694035968755</v>
      </c>
      <c r="E12">
        <f>w12I1*Estimation!C12 + b12I1</f>
        <v>9.6128328411528755E-2</v>
      </c>
      <c r="F12">
        <f>w12R1*Estimation!C12 + b12R1</f>
        <v>0.69168367747941539</v>
      </c>
      <c r="G12">
        <v>0.19894736842105262</v>
      </c>
      <c r="H12">
        <v>0.13263157894736843</v>
      </c>
      <c r="I12">
        <v>0.66842105263157892</v>
      </c>
      <c r="J12">
        <f t="shared" si="1"/>
        <v>2.0489232796117481E-3</v>
      </c>
    </row>
    <row r="13" spans="1:10">
      <c r="A13">
        <v>11</v>
      </c>
      <c r="B13">
        <f>'Param (No DINN)'!$B$2*Estimation!A13 + 'Param (No DINN)'!$B$3</f>
        <v>1.577376291916937</v>
      </c>
      <c r="C13">
        <f t="shared" si="0"/>
        <v>0.82883261592098367</v>
      </c>
      <c r="D13">
        <f>w12S1*Estimation!C13 + b12S1</f>
        <v>0.10120220742512087</v>
      </c>
      <c r="E13">
        <f>w12I1*Estimation!C13 + b12I1</f>
        <v>9.1860522929542832E-2</v>
      </c>
      <c r="F13">
        <f>w12R1*Estimation!C13 + b12R1</f>
        <v>0.80693618694604252</v>
      </c>
      <c r="G13">
        <v>0.1</v>
      </c>
      <c r="H13">
        <v>7.3684210526315783E-2</v>
      </c>
      <c r="I13">
        <v>0.82631578947368423</v>
      </c>
      <c r="J13">
        <f t="shared" si="1"/>
        <v>7.0739262940209798E-4</v>
      </c>
    </row>
    <row r="14" spans="1:10">
      <c r="A14">
        <v>12</v>
      </c>
      <c r="B14">
        <f>'Param (No DINN)'!$B$2*Estimation!A14 + 'Param (No DINN)'!$B$3</f>
        <v>2.2131733020752096</v>
      </c>
      <c r="C14">
        <f t="shared" si="0"/>
        <v>0.9014262562074794</v>
      </c>
      <c r="D14">
        <f>w12S1*Estimation!C14 + b12S1</f>
        <v>2.756646372069016E-2</v>
      </c>
      <c r="E14">
        <f>w12I1*Estimation!C14 + b12I1</f>
        <v>8.9028934995397324E-2</v>
      </c>
      <c r="F14">
        <f>w12R1*Estimation!C14 + b12R1</f>
        <v>0.88340349937702833</v>
      </c>
      <c r="G14">
        <v>5.473684210526316E-2</v>
      </c>
      <c r="H14">
        <v>2.9473684210526315E-2</v>
      </c>
      <c r="I14">
        <v>0.91578947368421049</v>
      </c>
      <c r="J14">
        <f t="shared" si="1"/>
        <v>5.3339086894352121E-3</v>
      </c>
    </row>
    <row r="15" spans="1:10">
      <c r="A15">
        <v>13</v>
      </c>
      <c r="B15">
        <f>'Param (No DINN)'!$B$2*Estimation!A15 + 'Param (No DINN)'!$B$3</f>
        <v>2.8489703122334822</v>
      </c>
      <c r="C15">
        <f t="shared" si="0"/>
        <v>0.94526543250228157</v>
      </c>
      <c r="D15">
        <f>w12S1*Estimation!C15 + b12S1</f>
        <v>-1.6902037061435893E-2</v>
      </c>
      <c r="E15">
        <f>w12I1*Estimation!C15 + b12I1</f>
        <v>8.7318943842600277E-2</v>
      </c>
      <c r="F15">
        <f>w12R1*Estimation!C15 + b12R1</f>
        <v>0.9295819797125201</v>
      </c>
      <c r="G15">
        <v>2.2105263157894735E-2</v>
      </c>
      <c r="H15">
        <v>1.2631578947368421E-2</v>
      </c>
      <c r="I15">
        <v>0.96526315789473682</v>
      </c>
      <c r="J15">
        <f t="shared" si="1"/>
        <v>8.3729184218656015E-3</v>
      </c>
    </row>
    <row r="16" spans="1:10">
      <c r="A16">
        <v>14</v>
      </c>
      <c r="B16">
        <f>'Param (No DINN)'!$B$2*Estimation!A16 + 'Param (No DINN)'!$B$3</f>
        <v>3.4847673223917566</v>
      </c>
      <c r="C16">
        <f t="shared" si="0"/>
        <v>0.97025123205014097</v>
      </c>
      <c r="D16">
        <f>w12S1*Estimation!C16 + b12S1</f>
        <v>-4.2246515234666604E-2</v>
      </c>
      <c r="E16">
        <f>w12I1*Estimation!C16 + b12I1</f>
        <v>8.6344347607372515E-2</v>
      </c>
      <c r="F16">
        <f>w12R1*Estimation!C16 + b12R1</f>
        <v>0.9559010475099724</v>
      </c>
      <c r="G16">
        <v>8.4210526315789472E-3</v>
      </c>
      <c r="H16">
        <v>5.263157894736842E-3</v>
      </c>
      <c r="I16">
        <v>0.98631578947368426</v>
      </c>
      <c r="J16">
        <f t="shared" si="1"/>
        <v>1.006641828741619E-2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DAF63-28D6-4D3E-A59F-CE9D72ED9D08}">
  <dimension ref="A1:E20"/>
  <sheetViews>
    <sheetView zoomScale="130" zoomScaleNormal="130" workbookViewId="0">
      <selection activeCell="B2" sqref="B2:B9"/>
    </sheetView>
  </sheetViews>
  <sheetFormatPr defaultRowHeight="14.5"/>
  <sheetData>
    <row r="1" spans="1:5">
      <c r="A1" t="s">
        <v>14</v>
      </c>
      <c r="B1" t="s">
        <v>15</v>
      </c>
      <c r="D1" t="s">
        <v>13</v>
      </c>
      <c r="E1">
        <f>SUM(Estimation!J2:J16)</f>
        <v>0.26219564374545856</v>
      </c>
    </row>
    <row r="2" spans="1:5">
      <c r="A2" t="s">
        <v>16</v>
      </c>
      <c r="B2">
        <v>0.63579701015827295</v>
      </c>
    </row>
    <row r="3" spans="1:5">
      <c r="A3" t="s">
        <v>17</v>
      </c>
      <c r="B3">
        <v>-5.4163908198240653</v>
      </c>
    </row>
    <row r="4" spans="1:5">
      <c r="A4" t="s">
        <v>18</v>
      </c>
      <c r="B4">
        <v>-1.0143552990843594</v>
      </c>
    </row>
    <row r="5" spans="1:5">
      <c r="A5" t="s">
        <v>19</v>
      </c>
      <c r="B5">
        <v>0.94193296343852229</v>
      </c>
    </row>
    <row r="6" spans="1:5">
      <c r="A6" t="s">
        <v>20</v>
      </c>
      <c r="B6">
        <v>-3.9006005525696878E-2</v>
      </c>
    </row>
    <row r="7" spans="1:5">
      <c r="A7" t="s">
        <v>21</v>
      </c>
      <c r="B7">
        <v>0.12418997252603452</v>
      </c>
    </row>
    <row r="8" spans="1:5">
      <c r="A8" t="s">
        <v>22</v>
      </c>
      <c r="B8">
        <v>1.0533610400195172</v>
      </c>
    </row>
    <row r="9" spans="1:5">
      <c r="A9" t="s">
        <v>23</v>
      </c>
      <c r="B9">
        <v>-6.6123799362581934E-2</v>
      </c>
    </row>
    <row r="13" spans="1:5">
      <c r="B13">
        <v>1.8450998399224386E-2</v>
      </c>
    </row>
    <row r="14" spans="1:5">
      <c r="B14">
        <v>4.2353909465321554E-2</v>
      </c>
    </row>
    <row r="15" spans="1:5">
      <c r="B15">
        <v>-4.7728159958157939</v>
      </c>
    </row>
    <row r="16" spans="1:5">
      <c r="B16">
        <v>1.3413969601300071</v>
      </c>
    </row>
    <row r="17" spans="2:2">
      <c r="B17">
        <v>0.13341642032138401</v>
      </c>
    </row>
    <row r="18" spans="2:2">
      <c r="B18">
        <v>8.6317436312931026E-2</v>
      </c>
    </row>
    <row r="19" spans="2:2">
      <c r="B19">
        <v>4.8113476935260975</v>
      </c>
    </row>
    <row r="20" spans="2:2">
      <c r="B20">
        <v>-0.45649758778944788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262F8-C88B-4147-BB65-036F9CF1B752}">
  <dimension ref="A1:T15"/>
  <sheetViews>
    <sheetView topLeftCell="D1" zoomScale="71" zoomScaleNormal="115" workbookViewId="0">
      <selection activeCell="K27" sqref="K27"/>
    </sheetView>
  </sheetViews>
  <sheetFormatPr defaultRowHeight="14.5"/>
  <cols>
    <col min="2" max="3" width="9" bestFit="1" customWidth="1"/>
    <col min="4" max="4" width="12.7265625" bestFit="1" customWidth="1"/>
    <col min="5" max="5" width="12.26953125" bestFit="1" customWidth="1"/>
    <col min="6" max="6" width="12.81640625" bestFit="1" customWidth="1"/>
    <col min="7" max="7" width="12.1796875" customWidth="1"/>
    <col min="8" max="13" width="9" bestFit="1" customWidth="1"/>
    <col min="14" max="14" width="9.26953125" bestFit="1" customWidth="1"/>
    <col min="15" max="15" width="9" bestFit="1" customWidth="1"/>
    <col min="16" max="16" width="13.453125" bestFit="1" customWidth="1"/>
    <col min="17" max="19" width="9" bestFit="1" customWidth="1"/>
    <col min="20" max="20" width="13.1796875" bestFit="1" customWidth="1"/>
  </cols>
  <sheetData>
    <row r="1" spans="1:20">
      <c r="A1" t="s">
        <v>0</v>
      </c>
      <c r="B1" t="s">
        <v>5</v>
      </c>
      <c r="C1" t="s">
        <v>6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s="1" t="s">
        <v>30</v>
      </c>
      <c r="K1" t="s">
        <v>31</v>
      </c>
      <c r="L1" t="s">
        <v>32</v>
      </c>
      <c r="M1" t="s">
        <v>33</v>
      </c>
      <c r="N1" t="s">
        <v>34</v>
      </c>
      <c r="O1" t="s">
        <v>35</v>
      </c>
      <c r="P1" t="s">
        <v>36</v>
      </c>
      <c r="Q1" s="1" t="s">
        <v>37</v>
      </c>
      <c r="R1" s="1" t="s">
        <v>38</v>
      </c>
      <c r="S1" s="1" t="s">
        <v>39</v>
      </c>
      <c r="T1" s="1" t="s">
        <v>40</v>
      </c>
    </row>
    <row r="2" spans="1:20">
      <c r="A2">
        <v>1</v>
      </c>
      <c r="B2">
        <f>'Param (DINN)'!$B$2*'Estimation with Equations'!A2 + 'Param (DINN)'!$B$3</f>
        <v>2.3190705777749838</v>
      </c>
      <c r="C2">
        <f t="shared" ref="C2:C15" si="0">TANH(B2)</f>
        <v>0.98083410980007879</v>
      </c>
      <c r="D2">
        <f>w12S*'Estimation with Equations'!C2 + b12S</f>
        <v>0.939522768401301</v>
      </c>
      <c r="E2">
        <f>w12I*'Estimation with Equations'!C2 + b12I</f>
        <v>0.11900787380661333</v>
      </c>
      <c r="F2">
        <f>w12R*'Estimation with Equations'!C2 + b12R</f>
        <v>-5.8534529124635248E-2</v>
      </c>
      <c r="G2">
        <v>0.99684210526315786</v>
      </c>
      <c r="H2">
        <v>3.1578947368421052E-3</v>
      </c>
      <c r="I2">
        <v>0</v>
      </c>
      <c r="J2" s="1">
        <f t="shared" ref="J2:J15" si="1">SUM((D2-G2)^2,(E2-H2)^2,(F2-I2)^2)</f>
        <v>2.0133015128592224E-2</v>
      </c>
      <c r="K2">
        <f>G2-1</f>
        <v>-3.1578947368421373E-3</v>
      </c>
      <c r="L2">
        <f>H2</f>
        <v>3.1578947368421052E-3</v>
      </c>
      <c r="M2">
        <f>I2</f>
        <v>0</v>
      </c>
      <c r="N2">
        <f t="shared" ref="N2:N15" si="2">b*G2*H2</f>
        <v>2.7149172086463856E-3</v>
      </c>
      <c r="O2">
        <f t="shared" ref="O2:O15" si="3">-b*G2*H2+a*H2</f>
        <v>-1.3663252683988993E-3</v>
      </c>
      <c r="P2">
        <f t="shared" ref="P2:P15" si="4">-a*H2</f>
        <v>-1.3485919402474863E-3</v>
      </c>
      <c r="Q2" s="1">
        <f t="shared" ref="Q2:Q15" si="5">(K2+N2)^2</f>
        <v>1.9622909048641797E-7</v>
      </c>
      <c r="R2" s="1">
        <f t="shared" ref="R2:R15" si="6">(L2+O2)^2</f>
        <v>3.2097211602578712E-6</v>
      </c>
      <c r="S2" s="1">
        <f>(M2+P2)^2</f>
        <v>1.8187002213004798E-6</v>
      </c>
      <c r="T2" s="1">
        <f>(1-SUM(D2:F2))^2</f>
        <v>1.5108121595444362E-11</v>
      </c>
    </row>
    <row r="3" spans="1:20">
      <c r="A3">
        <v>2</v>
      </c>
      <c r="B3">
        <f>'Param (DINN)'!$B$2*'Estimation with Equations'!A3 + 'Param (DINN)'!$B$3</f>
        <v>2.0109240424340498</v>
      </c>
      <c r="C3">
        <f t="shared" si="0"/>
        <v>0.96479129951620046</v>
      </c>
      <c r="D3">
        <f>w12S*'Estimation with Equations'!C3 + b12S</f>
        <v>0.93113749386024947</v>
      </c>
      <c r="E3">
        <f>w12I*'Estimation with Equations'!C3 + b12I</f>
        <v>0.1189381550460029</v>
      </c>
      <c r="F3">
        <f>w12R*'Estimation with Equations'!C3 + b12R</f>
        <v>-5.0079528372672211E-2</v>
      </c>
      <c r="G3">
        <v>0.991578947368421</v>
      </c>
      <c r="H3">
        <v>8.4210526315789472E-3</v>
      </c>
      <c r="I3">
        <v>0</v>
      </c>
      <c r="J3" s="1">
        <f t="shared" si="1"/>
        <v>1.8375158390290011E-2</v>
      </c>
      <c r="K3">
        <f>G3-G2</f>
        <v>-5.2631578947368585E-3</v>
      </c>
      <c r="L3">
        <f t="shared" ref="L3:L15" si="7">H3-H2</f>
        <v>5.263157894736842E-3</v>
      </c>
      <c r="M3">
        <f t="shared" ref="M3:M15" si="8">I3</f>
        <v>0</v>
      </c>
      <c r="N3">
        <f t="shared" si="2"/>
        <v>7.201554411953243E-3</v>
      </c>
      <c r="O3">
        <f t="shared" si="3"/>
        <v>-3.6053092379599457E-3</v>
      </c>
      <c r="P3">
        <f t="shared" si="4"/>
        <v>-3.5962451739932973E-3</v>
      </c>
      <c r="Q3" s="1">
        <f t="shared" si="5"/>
        <v>3.7573810579566094E-6</v>
      </c>
      <c r="R3" s="1">
        <f t="shared" si="6"/>
        <v>2.7484621687769592E-6</v>
      </c>
      <c r="S3" s="1">
        <f t="shared" ref="S3:S15" si="9">(M3+P3)^2</f>
        <v>1.2932979351470081E-5</v>
      </c>
      <c r="T3" s="1">
        <f t="shared" ref="T3:T15" si="10">(1-SUM(D3:F3))^2</f>
        <v>1.5050259703031811E-11</v>
      </c>
    </row>
    <row r="4" spans="1:20">
      <c r="A4">
        <v>3</v>
      </c>
      <c r="B4">
        <f>'Param (DINN)'!$B$2*'Estimation with Equations'!A4 + 'Param (DINN)'!$B$3</f>
        <v>1.7027775070931155</v>
      </c>
      <c r="C4">
        <f t="shared" si="0"/>
        <v>0.93575538575170558</v>
      </c>
      <c r="D4">
        <f>w12S*'Estimation with Equations'!C4 + b12S</f>
        <v>0.9159609690396413</v>
      </c>
      <c r="E4">
        <f>w12I*'Estimation with Equations'!C4 + b12I</f>
        <v>0.11881197092457835</v>
      </c>
      <c r="F4">
        <f>w12R*'Estimation with Equations'!C4 + b12R</f>
        <v>-3.4776805946325151E-2</v>
      </c>
      <c r="G4">
        <v>0.97052631578947368</v>
      </c>
      <c r="H4">
        <v>2.9473684210526315E-2</v>
      </c>
      <c r="I4">
        <v>0</v>
      </c>
      <c r="J4" s="1">
        <f t="shared" si="1"/>
        <v>1.2168132770759964E-2</v>
      </c>
      <c r="K4">
        <f t="shared" ref="K4:K15" si="11">G4-G3</f>
        <v>-2.1052631578947323E-2</v>
      </c>
      <c r="L4">
        <f t="shared" si="7"/>
        <v>2.1052631578947368E-2</v>
      </c>
      <c r="M4">
        <f t="shared" si="8"/>
        <v>0</v>
      </c>
      <c r="N4">
        <f t="shared" si="2"/>
        <v>2.4670293086383351E-2</v>
      </c>
      <c r="O4">
        <f t="shared" si="3"/>
        <v>-1.2083434977406811E-2</v>
      </c>
      <c r="P4">
        <f t="shared" si="4"/>
        <v>-1.2586858108976541E-2</v>
      </c>
      <c r="Q4" s="1">
        <f t="shared" si="5"/>
        <v>1.3087474782384318E-5</v>
      </c>
      <c r="R4" s="1">
        <f t="shared" si="6"/>
        <v>8.0446487677086683E-5</v>
      </c>
      <c r="S4" s="1">
        <f t="shared" si="9"/>
        <v>1.584289970555085E-4</v>
      </c>
      <c r="T4" s="1">
        <f t="shared" si="10"/>
        <v>1.4945817640474041E-11</v>
      </c>
    </row>
    <row r="5" spans="1:20">
      <c r="A5">
        <v>4</v>
      </c>
      <c r="B5">
        <f>'Param (DINN)'!$B$2*'Estimation with Equations'!A5 + 'Param (DINN)'!$B$3</f>
        <v>1.3946309717521814</v>
      </c>
      <c r="C5">
        <f t="shared" si="0"/>
        <v>0.88418558790638968</v>
      </c>
      <c r="D5">
        <f>w12S*'Estimation with Equations'!C5 + b12S</f>
        <v>0.88900640775594542</v>
      </c>
      <c r="E5">
        <f>w12I*'Estimation with Equations'!C5 + b12I</f>
        <v>0.11858785916815379</v>
      </c>
      <c r="F5">
        <f>w12R*'Estimation with Equations'!C5 + b12R</f>
        <v>-7.598108957126759E-3</v>
      </c>
      <c r="G5">
        <v>0.92105263157894735</v>
      </c>
      <c r="H5">
        <v>7.8947368421052627E-2</v>
      </c>
      <c r="I5">
        <v>0</v>
      </c>
      <c r="J5" s="1">
        <f t="shared" si="1"/>
        <v>2.6560602277093184E-3</v>
      </c>
      <c r="K5">
        <f t="shared" si="11"/>
        <v>-4.9473684210526336E-2</v>
      </c>
      <c r="L5">
        <f t="shared" si="7"/>
        <v>4.9473684210526309E-2</v>
      </c>
      <c r="M5">
        <f t="shared" si="8"/>
        <v>0</v>
      </c>
      <c r="N5">
        <f t="shared" si="2"/>
        <v>6.2712580717148567E-2</v>
      </c>
      <c r="O5">
        <f t="shared" si="3"/>
        <v>-2.8997782210961408E-2</v>
      </c>
      <c r="P5">
        <f t="shared" si="4"/>
        <v>-3.3714798506187159E-2</v>
      </c>
      <c r="Q5" s="1">
        <f t="shared" si="5"/>
        <v>1.7526838071305428E-4</v>
      </c>
      <c r="R5" s="1">
        <f t="shared" si="6"/>
        <v>4.1926256269578591E-4</v>
      </c>
      <c r="S5" s="1">
        <f t="shared" si="9"/>
        <v>1.1366876383127999E-3</v>
      </c>
      <c r="T5" s="1">
        <f t="shared" si="10"/>
        <v>1.4761217785263921E-11</v>
      </c>
    </row>
    <row r="6" spans="1:20">
      <c r="A6">
        <v>5</v>
      </c>
      <c r="B6">
        <f>'Param (DINN)'!$B$2*'Estimation with Equations'!A6 + 'Param (DINN)'!$B$3</f>
        <v>1.0864844364112474</v>
      </c>
      <c r="C6">
        <f t="shared" si="0"/>
        <v>0.79559141600637306</v>
      </c>
      <c r="D6">
        <f>w12S*'Estimation with Equations'!C6 + b12S</f>
        <v>0.84269990403413209</v>
      </c>
      <c r="E6">
        <f>w12I*'Estimation with Equations'!C6 + b12I</f>
        <v>0.11820284708156296</v>
      </c>
      <c r="F6">
        <f>w12R*'Estimation with Equations'!C6 + b12R</f>
        <v>3.9093447994520525E-2</v>
      </c>
      <c r="G6">
        <v>0.75789473684210529</v>
      </c>
      <c r="H6">
        <v>0.23263157894736841</v>
      </c>
      <c r="I6">
        <v>9.4736842105263164E-3</v>
      </c>
      <c r="J6" s="1">
        <f t="shared" si="1"/>
        <v>2.1163181465503632E-2</v>
      </c>
      <c r="K6">
        <f t="shared" si="11"/>
        <v>-0.16315789473684206</v>
      </c>
      <c r="L6">
        <f t="shared" si="7"/>
        <v>0.15368421052631578</v>
      </c>
      <c r="M6">
        <f t="shared" si="8"/>
        <v>9.4736842105263164E-3</v>
      </c>
      <c r="N6">
        <f t="shared" si="2"/>
        <v>0.1520582985708599</v>
      </c>
      <c r="O6">
        <f t="shared" si="3"/>
        <v>-5.2712025639295071E-2</v>
      </c>
      <c r="P6">
        <f t="shared" si="4"/>
        <v>-9.9346272931564825E-2</v>
      </c>
      <c r="Q6" s="1">
        <f t="shared" si="5"/>
        <v>1.232010350478859E-4</v>
      </c>
      <c r="R6" s="1">
        <f t="shared" si="6"/>
        <v>1.0195382120858694E-2</v>
      </c>
      <c r="S6" s="1">
        <f t="shared" si="9"/>
        <v>8.0770822034209391E-3</v>
      </c>
      <c r="T6" s="1">
        <f t="shared" si="10"/>
        <v>1.4446763153662381E-11</v>
      </c>
    </row>
    <row r="7" spans="1:20">
      <c r="A7">
        <v>6</v>
      </c>
      <c r="B7">
        <f>'Param (DINN)'!$B$2*'Estimation with Equations'!A7 + 'Param (DINN)'!$B$3</f>
        <v>0.77833790107031309</v>
      </c>
      <c r="C7">
        <f t="shared" si="0"/>
        <v>0.65175166925942529</v>
      </c>
      <c r="D7">
        <f>w12S*'Estimation with Equations'!C7 + b12S</f>
        <v>0.76751757967537859</v>
      </c>
      <c r="E7">
        <f>w12I*'Estimation with Equations'!C7 + b12I</f>
        <v>0.11757774906617391</v>
      </c>
      <c r="F7">
        <f>w12R*'Estimation with Equations'!C7 + b12R</f>
        <v>0.11490093716801975</v>
      </c>
      <c r="G7">
        <v>0.66631578947368419</v>
      </c>
      <c r="H7">
        <v>0.30631578947368421</v>
      </c>
      <c r="I7">
        <v>2.736842105263158E-2</v>
      </c>
      <c r="J7" s="1">
        <f t="shared" si="1"/>
        <v>5.3525791614385441E-2</v>
      </c>
      <c r="K7">
        <f t="shared" si="11"/>
        <v>-9.1578947368421093E-2</v>
      </c>
      <c r="L7">
        <f t="shared" si="7"/>
        <v>7.3684210526315796E-2</v>
      </c>
      <c r="M7">
        <f t="shared" si="8"/>
        <v>2.736842105263158E-2</v>
      </c>
      <c r="N7">
        <f t="shared" si="2"/>
        <v>0.17602812199376636</v>
      </c>
      <c r="O7">
        <f t="shared" si="3"/>
        <v>-4.5214703789760169E-2</v>
      </c>
      <c r="P7">
        <f t="shared" si="4"/>
        <v>-0.13081341820400619</v>
      </c>
      <c r="Q7" s="1">
        <f t="shared" si="5"/>
        <v>7.1316630949020583E-3</v>
      </c>
      <c r="R7" s="1">
        <f t="shared" si="6"/>
        <v>8.1051281382278628E-4</v>
      </c>
      <c r="S7" s="1">
        <f t="shared" si="9"/>
        <v>1.0700867435647901E-2</v>
      </c>
      <c r="T7" s="1">
        <f t="shared" si="10"/>
        <v>1.3943431322642972E-11</v>
      </c>
    </row>
    <row r="8" spans="1:20">
      <c r="A8">
        <v>7</v>
      </c>
      <c r="B8">
        <f>'Param (DINN)'!$B$2*'Estimation with Equations'!A8 + 'Param (DINN)'!$B$3</f>
        <v>0.47019136572937903</v>
      </c>
      <c r="C8">
        <f t="shared" si="0"/>
        <v>0.4383539218084796</v>
      </c>
      <c r="D8">
        <f>w12S*'Estimation with Equations'!C8 + b12S</f>
        <v>0.65597859946214476</v>
      </c>
      <c r="E8">
        <f>w12I*'Estimation with Equations'!C8 + b12I</f>
        <v>0.11665036625692328</v>
      </c>
      <c r="F8">
        <f>w12R*'Estimation with Equations'!C8 + b12R</f>
        <v>0.22736739929268251</v>
      </c>
      <c r="G8">
        <v>0.59368421052631581</v>
      </c>
      <c r="H8">
        <v>0.26842105263157895</v>
      </c>
      <c r="I8">
        <v>0.13789473684210526</v>
      </c>
      <c r="J8" s="1">
        <f t="shared" si="1"/>
        <v>3.4920289461517359E-2</v>
      </c>
      <c r="K8">
        <f t="shared" si="11"/>
        <v>-7.263157894736838E-2</v>
      </c>
      <c r="L8">
        <f t="shared" si="7"/>
        <v>-3.7894736842105259E-2</v>
      </c>
      <c r="M8">
        <f t="shared" si="8"/>
        <v>0.13789473684210526</v>
      </c>
      <c r="N8">
        <f t="shared" si="2"/>
        <v>0.13743730832366183</v>
      </c>
      <c r="O8">
        <f t="shared" si="3"/>
        <v>-2.2806993402625472E-2</v>
      </c>
      <c r="P8">
        <f t="shared" si="4"/>
        <v>-0.11463031492103636</v>
      </c>
      <c r="Q8" s="1">
        <f t="shared" si="5"/>
        <v>4.1997825599933833E-3</v>
      </c>
      <c r="R8" s="1">
        <f t="shared" si="6"/>
        <v>3.6847000547040576E-3</v>
      </c>
      <c r="S8" s="1">
        <f t="shared" si="9"/>
        <v>5.412333273215116E-4</v>
      </c>
      <c r="T8" s="1">
        <f t="shared" si="10"/>
        <v>1.3213139574092938E-11</v>
      </c>
    </row>
    <row r="9" spans="1:20">
      <c r="A9">
        <v>8</v>
      </c>
      <c r="B9">
        <f>'Param (DINN)'!$B$2*'Estimation with Equations'!A9 + 'Param (DINN)'!$B$3</f>
        <v>0.16204483038844497</v>
      </c>
      <c r="C9">
        <f t="shared" si="0"/>
        <v>0.1606412184061152</v>
      </c>
      <c r="D9">
        <f>w12S*'Estimation with Equations'!C9 + b12S</f>
        <v>0.51082340405934201</v>
      </c>
      <c r="E9">
        <f>w12I*'Estimation with Equations'!C9 + b12I</f>
        <v>0.11544348385013935</v>
      </c>
      <c r="F9">
        <f>w12R*'Estimation with Equations'!C9 + b12R</f>
        <v>0.37372960607239286</v>
      </c>
      <c r="G9">
        <v>0.4442105263157895</v>
      </c>
      <c r="H9">
        <v>0.24736842105263157</v>
      </c>
      <c r="I9">
        <v>0.30842105263157893</v>
      </c>
      <c r="J9" s="1">
        <f t="shared" si="1"/>
        <v>2.6106671689690636E-2</v>
      </c>
      <c r="K9">
        <f t="shared" si="11"/>
        <v>-0.14947368421052631</v>
      </c>
      <c r="L9">
        <f t="shared" si="7"/>
        <v>-2.1052631578947378E-2</v>
      </c>
      <c r="M9">
        <f t="shared" si="8"/>
        <v>0.30842105263157893</v>
      </c>
      <c r="N9">
        <f t="shared" si="2"/>
        <v>9.4768862929060935E-2</v>
      </c>
      <c r="O9">
        <f t="shared" si="3"/>
        <v>1.0870839056992168E-2</v>
      </c>
      <c r="P9">
        <f t="shared" si="4"/>
        <v>-0.1056397019860531</v>
      </c>
      <c r="Q9" s="1">
        <f t="shared" si="5"/>
        <v>2.9926174714370673E-3</v>
      </c>
      <c r="R9" s="1">
        <f t="shared" si="6"/>
        <v>1.0366889896014304E-4</v>
      </c>
      <c r="S9" s="1">
        <f t="shared" si="9"/>
        <v>4.1120276169623694E-2</v>
      </c>
      <c r="T9" s="1">
        <f t="shared" si="10"/>
        <v>1.2292163098582812E-11</v>
      </c>
    </row>
    <row r="10" spans="1:20">
      <c r="A10">
        <v>9</v>
      </c>
      <c r="B10">
        <f>'Param (DINN)'!$B$2*'Estimation with Equations'!A10 + 'Param (DINN)'!$B$3</f>
        <v>-0.14610170495248909</v>
      </c>
      <c r="C10">
        <f t="shared" si="0"/>
        <v>-0.14507095675883674</v>
      </c>
      <c r="D10">
        <f>w12S*'Estimation with Equations'!C10 + b12S</f>
        <v>0.35103341253421289</v>
      </c>
      <c r="E10">
        <f>w12I*'Estimation with Equations'!C10 + b12I</f>
        <v>0.11411492148613518</v>
      </c>
      <c r="F10">
        <f>w12R*'Estimation with Equations'!C10 + b12R</f>
        <v>0.53484830193463906</v>
      </c>
      <c r="G10">
        <v>0.30631578947368421</v>
      </c>
      <c r="H10">
        <v>0.2</v>
      </c>
      <c r="I10">
        <v>0.49368421052631578</v>
      </c>
      <c r="J10" s="1">
        <f t="shared" si="1"/>
        <v>1.1070394944989046E-2</v>
      </c>
      <c r="K10">
        <f t="shared" si="11"/>
        <v>-0.13789473684210529</v>
      </c>
      <c r="L10">
        <f t="shared" si="7"/>
        <v>-4.736842105263156E-2</v>
      </c>
      <c r="M10">
        <f t="shared" si="8"/>
        <v>0.49368421052631578</v>
      </c>
      <c r="N10">
        <f t="shared" si="2"/>
        <v>5.2836245148207922E-2</v>
      </c>
      <c r="O10">
        <f t="shared" si="3"/>
        <v>3.2574577734132887E-2</v>
      </c>
      <c r="P10">
        <f t="shared" si="4"/>
        <v>-8.5410822882340809E-2</v>
      </c>
      <c r="Q10" s="1">
        <f t="shared" si="5"/>
        <v>7.234947009240808E-3</v>
      </c>
      <c r="R10" s="1">
        <f t="shared" si="6"/>
        <v>2.1885780013228783E-4</v>
      </c>
      <c r="S10" s="1">
        <f t="shared" si="9"/>
        <v>0.16668715905828746</v>
      </c>
      <c r="T10" s="1">
        <f t="shared" si="10"/>
        <v>1.1316798848736666E-11</v>
      </c>
    </row>
    <row r="11" spans="1:20">
      <c r="A11">
        <v>10</v>
      </c>
      <c r="B11">
        <f>'Param (DINN)'!$B$2*'Estimation with Equations'!A11 + 'Param (DINN)'!$B$3</f>
        <v>-0.45424824029342314</v>
      </c>
      <c r="C11">
        <f t="shared" si="0"/>
        <v>-0.42538479534347678</v>
      </c>
      <c r="D11">
        <f>w12S*'Estimation with Equations'!C11 + b12S</f>
        <v>0.204518652800983</v>
      </c>
      <c r="E11">
        <f>w12I*'Estimation with Equations'!C11 + b12I</f>
        <v>0.11289673507974772</v>
      </c>
      <c r="F11">
        <f>w12R*'Estimation with Equations'!C11 + b12R</f>
        <v>0.68258137825235032</v>
      </c>
      <c r="G11">
        <v>0.19894736842105262</v>
      </c>
      <c r="H11">
        <v>0.13263157894736843</v>
      </c>
      <c r="I11">
        <v>0.66842105263157892</v>
      </c>
      <c r="J11" s="1">
        <f t="shared" si="1"/>
        <v>6.2101809380769825E-4</v>
      </c>
      <c r="K11">
        <f t="shared" si="11"/>
        <v>-0.10736842105263159</v>
      </c>
      <c r="L11">
        <f t="shared" si="7"/>
        <v>-6.7368421052631577E-2</v>
      </c>
      <c r="M11">
        <f t="shared" si="8"/>
        <v>0.66842105263157892</v>
      </c>
      <c r="N11">
        <f t="shared" si="2"/>
        <v>2.2757141290638872E-2</v>
      </c>
      <c r="O11">
        <f t="shared" si="3"/>
        <v>3.3883720199755565E-2</v>
      </c>
      <c r="P11">
        <f t="shared" si="4"/>
        <v>-5.6640861490394434E-2</v>
      </c>
      <c r="Q11" s="1">
        <f t="shared" si="5"/>
        <v>7.1590686629621984E-3</v>
      </c>
      <c r="R11" s="1">
        <f t="shared" si="6"/>
        <v>1.1212251912065955E-3</v>
      </c>
      <c r="S11" s="1">
        <f t="shared" si="9"/>
        <v>0.37427500227274413</v>
      </c>
      <c r="T11" s="1">
        <f t="shared" si="10"/>
        <v>1.0457895249265192E-11</v>
      </c>
    </row>
    <row r="12" spans="1:20">
      <c r="A12">
        <v>11</v>
      </c>
      <c r="B12">
        <f>'Param (DINN)'!$B$2*'Estimation with Equations'!A12 + 'Param (DINN)'!$B$3</f>
        <v>-0.7623947756343572</v>
      </c>
      <c r="C12">
        <f t="shared" si="0"/>
        <v>-0.6424853677912018</v>
      </c>
      <c r="D12">
        <f>w12S*'Estimation with Equations'!C12 + b12S</f>
        <v>9.1044275757265869E-2</v>
      </c>
      <c r="E12">
        <f>w12I*'Estimation with Equations'!C12 + b12I</f>
        <v>0.1119532605530882</v>
      </c>
      <c r="F12">
        <f>w12R*'Estimation with Equations'!C12 + b12R</f>
        <v>0.79699933064450179</v>
      </c>
      <c r="G12">
        <v>0.1</v>
      </c>
      <c r="H12">
        <v>7.3684210526315783E-2</v>
      </c>
      <c r="I12">
        <v>0.82631578947368423</v>
      </c>
      <c r="J12" s="1">
        <f t="shared" si="1"/>
        <v>2.4041799449466546E-3</v>
      </c>
      <c r="K12">
        <f t="shared" si="11"/>
        <v>-9.8947368421052617E-2</v>
      </c>
      <c r="L12">
        <f t="shared" si="7"/>
        <v>-5.8947368421052651E-2</v>
      </c>
      <c r="M12">
        <f t="shared" si="8"/>
        <v>0.82631578947368423</v>
      </c>
      <c r="N12">
        <f t="shared" si="2"/>
        <v>6.354874846004388E-3</v>
      </c>
      <c r="O12">
        <f t="shared" si="3"/>
        <v>2.5112270426436961E-2</v>
      </c>
      <c r="P12">
        <f t="shared" si="4"/>
        <v>-3.1467145272441349E-2</v>
      </c>
      <c r="Q12" s="1">
        <f t="shared" si="5"/>
        <v>8.5733698664453468E-3</v>
      </c>
      <c r="R12" s="1">
        <f t="shared" si="6"/>
        <v>1.1448138563052467E-3</v>
      </c>
      <c r="S12" s="1">
        <f t="shared" si="9"/>
        <v>0.63178436718855402</v>
      </c>
      <c r="T12" s="1">
        <f t="shared" si="10"/>
        <v>9.8159718756591144E-12</v>
      </c>
    </row>
    <row r="13" spans="1:20">
      <c r="A13">
        <v>12</v>
      </c>
      <c r="B13">
        <f>'Param (DINN)'!$B$2*'Estimation with Equations'!A13 + 'Param (DINN)'!$B$3</f>
        <v>-1.0705413109752917</v>
      </c>
      <c r="C13">
        <f t="shared" si="0"/>
        <v>-0.78966507326076019</v>
      </c>
      <c r="D13">
        <f>w12S*'Estimation with Equations'!C13 + b12S</f>
        <v>1.4116217929793728E-2</v>
      </c>
      <c r="E13">
        <f>w12I*'Estimation with Equations'!C13 + b12I</f>
        <v>0.11131364776263729</v>
      </c>
      <c r="F13">
        <f>w12R*'Estimation with Equations'!C13 + b12R</f>
        <v>0.87456706961286246</v>
      </c>
      <c r="G13">
        <v>5.473684210526316E-2</v>
      </c>
      <c r="H13">
        <v>2.9473684210526315E-2</v>
      </c>
      <c r="I13">
        <v>0.91578947368421049</v>
      </c>
      <c r="J13" s="1">
        <f t="shared" si="1"/>
        <v>1.0047101340037074E-2</v>
      </c>
      <c r="K13">
        <f t="shared" si="11"/>
        <v>-4.5263157894736845E-2</v>
      </c>
      <c r="L13">
        <f t="shared" si="7"/>
        <v>-4.4210526315789464E-2</v>
      </c>
      <c r="M13">
        <f t="shared" si="8"/>
        <v>0.91578947368421049</v>
      </c>
      <c r="N13">
        <f t="shared" si="2"/>
        <v>1.391383124177803E-3</v>
      </c>
      <c r="O13">
        <f t="shared" si="3"/>
        <v>1.1195474984798738E-2</v>
      </c>
      <c r="P13">
        <f t="shared" si="4"/>
        <v>-1.2586858108976541E-2</v>
      </c>
      <c r="Q13" s="1">
        <f t="shared" si="5"/>
        <v>1.9247326215186609E-3</v>
      </c>
      <c r="R13" s="1">
        <f t="shared" si="6"/>
        <v>1.0899936143879524E-3</v>
      </c>
      <c r="S13" s="1">
        <f t="shared" si="9"/>
        <v>0.81577496478194389</v>
      </c>
      <c r="T13" s="1">
        <f t="shared" si="10"/>
        <v>9.3923536437800083E-12</v>
      </c>
    </row>
    <row r="14" spans="1:20">
      <c r="A14">
        <v>13</v>
      </c>
      <c r="B14">
        <f>'Param (DINN)'!$B$2*'Estimation with Equations'!A14 + 'Param (DINN)'!$B$3</f>
        <v>-1.3786878463162258</v>
      </c>
      <c r="C14">
        <f t="shared" si="0"/>
        <v>-0.88065710434491462</v>
      </c>
      <c r="D14">
        <f>w12S*'Estimation with Equations'!C14 + b12S</f>
        <v>-3.3443601589812355E-2</v>
      </c>
      <c r="E14">
        <f>w12I*'Estimation with Equations'!C14 + b12I</f>
        <v>0.11091821507220721</v>
      </c>
      <c r="F14">
        <f>w12R*'Estimation with Equations'!C14 + b12R</f>
        <v>0.92252236407971067</v>
      </c>
      <c r="G14">
        <v>2.2105263157894735E-2</v>
      </c>
      <c r="H14">
        <v>1.2631578947368421E-2</v>
      </c>
      <c r="I14">
        <v>0.96526315789473682</v>
      </c>
      <c r="J14" s="1">
        <f t="shared" si="1"/>
        <v>1.45727146714341E-2</v>
      </c>
      <c r="K14">
        <f t="shared" si="11"/>
        <v>-3.2631578947368428E-2</v>
      </c>
      <c r="L14">
        <f t="shared" si="7"/>
        <v>-1.6842105263157894E-2</v>
      </c>
      <c r="M14">
        <f t="shared" si="8"/>
        <v>0.96526315789473682</v>
      </c>
      <c r="N14">
        <f t="shared" si="2"/>
        <v>2.4081630995385049E-4</v>
      </c>
      <c r="O14">
        <f t="shared" si="3"/>
        <v>5.1535514510360949E-3</v>
      </c>
      <c r="P14">
        <f t="shared" si="4"/>
        <v>-5.3943677609899453E-3</v>
      </c>
      <c r="Q14" s="1">
        <f t="shared" si="5"/>
        <v>1.049161504233332E-3</v>
      </c>
      <c r="R14" s="1">
        <f t="shared" si="6"/>
        <v>1.3662229021886704E-4</v>
      </c>
      <c r="S14" s="1">
        <f t="shared" si="9"/>
        <v>0.92134809427282316</v>
      </c>
      <c r="T14" s="1">
        <f t="shared" si="10"/>
        <v>9.1351308262160764E-12</v>
      </c>
    </row>
    <row r="15" spans="1:20">
      <c r="A15">
        <v>14</v>
      </c>
      <c r="B15">
        <f>'Param (DINN)'!$B$2*'Estimation with Equations'!A15 + 'Param (DINN)'!$B$3</f>
        <v>-1.6868343816571598</v>
      </c>
      <c r="C15">
        <f t="shared" si="0"/>
        <v>-0.93374281428432448</v>
      </c>
      <c r="D15">
        <f>w12S*'Estimation with Equations'!C15 + b12S</f>
        <v>-6.1190501551342702E-2</v>
      </c>
      <c r="E15">
        <f>w12I*'Estimation with Equations'!C15 + b12I</f>
        <v>0.1106875154729718</v>
      </c>
      <c r="F15">
        <f>w12R*'Estimation with Equations'!C15 + b12R</f>
        <v>0.95049998829354587</v>
      </c>
      <c r="G15">
        <v>8.4210526315789472E-3</v>
      </c>
      <c r="H15">
        <v>5.263157894736842E-3</v>
      </c>
      <c r="I15">
        <v>0.98631578947368426</v>
      </c>
      <c r="J15" s="1">
        <f t="shared" si="1"/>
        <v>1.7242835260720586E-2</v>
      </c>
      <c r="K15">
        <f t="shared" si="11"/>
        <v>-1.3684210526315788E-2</v>
      </c>
      <c r="L15">
        <f t="shared" si="7"/>
        <v>-7.3684210526315788E-3</v>
      </c>
      <c r="M15">
        <f t="shared" si="8"/>
        <v>0.98631578947368426</v>
      </c>
      <c r="N15">
        <f t="shared" si="2"/>
        <v>3.8224811103785792E-5</v>
      </c>
      <c r="O15">
        <f t="shared" si="3"/>
        <v>2.2094284226420249E-3</v>
      </c>
      <c r="P15">
        <f t="shared" si="4"/>
        <v>-2.2476532337458105E-3</v>
      </c>
      <c r="Q15" s="1">
        <f t="shared" si="5"/>
        <v>1.8621292613977002E-4</v>
      </c>
      <c r="R15" s="1">
        <f t="shared" si="6"/>
        <v>2.6615204956286533E-5</v>
      </c>
      <c r="S15" s="1">
        <f t="shared" si="9"/>
        <v>0.96839009676274612</v>
      </c>
      <c r="T15" s="1">
        <f t="shared" si="10"/>
        <v>8.9867138572573151E-12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A791D-D5B3-4374-B7E5-9EF681E1A4E0}">
  <dimension ref="A1:R37"/>
  <sheetViews>
    <sheetView zoomScale="111" zoomScaleNormal="115" workbookViewId="0">
      <selection activeCell="B2" sqref="B2:B9"/>
    </sheetView>
  </sheetViews>
  <sheetFormatPr defaultRowHeight="14.5"/>
  <cols>
    <col min="1" max="1" width="9.453125" bestFit="1" customWidth="1"/>
    <col min="2" max="2" width="7" bestFit="1" customWidth="1"/>
    <col min="4" max="4" width="11.26953125" bestFit="1" customWidth="1"/>
  </cols>
  <sheetData>
    <row r="1" spans="1:18">
      <c r="A1" t="s">
        <v>14</v>
      </c>
      <c r="B1" t="s">
        <v>15</v>
      </c>
      <c r="D1" t="s">
        <v>13</v>
      </c>
      <c r="E1">
        <f>AVERAGE('Estimation with Equations'!J2:J15)</f>
        <v>1.7500467500313126E-2</v>
      </c>
      <c r="G1" t="s">
        <v>37</v>
      </c>
      <c r="H1">
        <f>SUM('Estimation with Equations'!Q2:Q15)</f>
        <v>4.0767066217564388E-2</v>
      </c>
      <c r="M1" t="s">
        <v>41</v>
      </c>
      <c r="N1">
        <v>5</v>
      </c>
      <c r="Q1" t="s">
        <v>42</v>
      </c>
    </row>
    <row r="2" spans="1:18">
      <c r="A2" t="s">
        <v>16</v>
      </c>
      <c r="B2">
        <v>-0.30814653534093411</v>
      </c>
      <c r="D2" t="s">
        <v>43</v>
      </c>
      <c r="E2">
        <f>SUM(H1:H4)</f>
        <v>3.9998141372577383</v>
      </c>
      <c r="G2" t="s">
        <v>38</v>
      </c>
      <c r="H2">
        <f>SUM('Estimation with Equations'!R2:R15)</f>
        <v>1.9038059079254821E-2</v>
      </c>
      <c r="M2" t="s">
        <v>44</v>
      </c>
      <c r="N2">
        <v>-5</v>
      </c>
      <c r="Q2">
        <v>0.30807236361155332</v>
      </c>
      <c r="R2">
        <v>-0.30814653534093411</v>
      </c>
    </row>
    <row r="3" spans="1:18">
      <c r="A3" t="s">
        <v>17</v>
      </c>
      <c r="B3">
        <v>2.6272171131159179</v>
      </c>
      <c r="D3" t="s">
        <v>45</v>
      </c>
      <c r="E3">
        <f>E1+SUM(H1:H4)</f>
        <v>4.0173146047580515</v>
      </c>
      <c r="G3" t="s">
        <v>39</v>
      </c>
      <c r="H3">
        <f>SUM('Estimation with Equations'!S2:S15)</f>
        <v>3.9400090117880535</v>
      </c>
      <c r="Q3">
        <v>-2.6266219145011989</v>
      </c>
      <c r="R3">
        <v>2.6272171131159179</v>
      </c>
    </row>
    <row r="4" spans="1:18">
      <c r="A4" t="s">
        <v>18</v>
      </c>
      <c r="B4">
        <v>0.52268115078803057</v>
      </c>
      <c r="G4" t="s">
        <v>40</v>
      </c>
      <c r="H4">
        <f>SUM('Estimation with Equations'!T2:T15)</f>
        <v>1.7286577817410958E-10</v>
      </c>
      <c r="Q4">
        <v>-0.52271300011765209</v>
      </c>
      <c r="R4">
        <v>0.52268115078803057</v>
      </c>
    </row>
    <row r="5" spans="1:18">
      <c r="A5" t="s">
        <v>19</v>
      </c>
      <c r="B5">
        <v>0.42685926715884231</v>
      </c>
      <c r="Q5">
        <v>0.42685956395574504</v>
      </c>
      <c r="R5">
        <v>0.42685926715884231</v>
      </c>
    </row>
    <row r="6" spans="1:18">
      <c r="A6" t="s">
        <v>20</v>
      </c>
      <c r="B6">
        <v>4.3457947439852927E-3</v>
      </c>
      <c r="Q6">
        <v>-4.3502333582829409E-3</v>
      </c>
      <c r="R6">
        <v>4.3457947439852927E-3</v>
      </c>
    </row>
    <row r="7" spans="1:18">
      <c r="A7" t="s">
        <v>21</v>
      </c>
      <c r="B7">
        <v>0.11474537008752266</v>
      </c>
      <c r="Q7">
        <v>0.11472288238370509</v>
      </c>
      <c r="R7">
        <v>0.11474537008752266</v>
      </c>
    </row>
    <row r="8" spans="1:18">
      <c r="A8" t="s">
        <v>22</v>
      </c>
      <c r="B8">
        <v>-0.52702740993325492</v>
      </c>
      <c r="Q8">
        <v>0.52706255108090438</v>
      </c>
      <c r="R8">
        <v>-0.52702740993325492</v>
      </c>
    </row>
    <row r="9" spans="1:18">
      <c r="A9" t="s">
        <v>23</v>
      </c>
      <c r="B9">
        <v>0.45839193133749007</v>
      </c>
      <c r="Q9">
        <v>0.4584169948987088</v>
      </c>
      <c r="R9">
        <v>0.45839193133749007</v>
      </c>
    </row>
    <row r="10" spans="1:18">
      <c r="A10" t="s">
        <v>46</v>
      </c>
      <c r="B10">
        <v>0.42705411441170404</v>
      </c>
      <c r="Q10">
        <v>0.42708504114817009</v>
      </c>
      <c r="R10">
        <v>0.42704944191662347</v>
      </c>
    </row>
    <row r="11" spans="1:18">
      <c r="A11" t="s">
        <v>47</v>
      </c>
      <c r="B11">
        <v>0.86244730052916696</v>
      </c>
      <c r="Q11">
        <v>0.86255585319981887</v>
      </c>
      <c r="R11">
        <v>0.8624394771926881</v>
      </c>
    </row>
    <row r="17" spans="2:2">
      <c r="B17">
        <v>-0.30814653534093411</v>
      </c>
    </row>
    <row r="18" spans="2:2">
      <c r="B18">
        <v>2.6272171131159179</v>
      </c>
    </row>
    <row r="19" spans="2:2">
      <c r="B19">
        <v>0.52268115078803057</v>
      </c>
    </row>
    <row r="20" spans="2:2">
      <c r="B20">
        <v>0.42685926715884231</v>
      </c>
    </row>
    <row r="21" spans="2:2">
      <c r="B21">
        <v>4.3457947439852927E-3</v>
      </c>
    </row>
    <row r="22" spans="2:2">
      <c r="B22">
        <v>0.11474537008752266</v>
      </c>
    </row>
    <row r="23" spans="2:2">
      <c r="B23">
        <v>-0.52702740993325492</v>
      </c>
    </row>
    <row r="24" spans="2:2">
      <c r="B24">
        <v>0.45839193133749007</v>
      </c>
    </row>
    <row r="25" spans="2:2">
      <c r="B25">
        <v>0.42705411441170404</v>
      </c>
    </row>
    <row r="26" spans="2:2">
      <c r="B26">
        <v>0.86244730052916696</v>
      </c>
    </row>
    <row r="28" spans="2:2">
      <c r="B28">
        <v>0.32082880892990956</v>
      </c>
    </row>
    <row r="29" spans="2:2">
      <c r="B29">
        <v>-2.7420369909533688</v>
      </c>
    </row>
    <row r="30" spans="2:2">
      <c r="B30">
        <v>-0.49868142129252158</v>
      </c>
    </row>
    <row r="31" spans="2:2">
      <c r="B31">
        <v>0.42950744324813861</v>
      </c>
    </row>
    <row r="32" spans="2:2">
      <c r="B32">
        <v>-3.3936088684169731E-2</v>
      </c>
    </row>
    <row r="33" spans="2:2">
      <c r="B33">
        <v>0.11136003089390274</v>
      </c>
    </row>
    <row r="34" spans="2:2">
      <c r="B34">
        <v>0.53261751045146544</v>
      </c>
    </row>
    <row r="35" spans="2:2">
      <c r="B35">
        <v>0.45913252607236099</v>
      </c>
    </row>
    <row r="36" spans="2:2">
      <c r="B36">
        <v>0.90722416798219607</v>
      </c>
    </row>
    <row r="37" spans="2:2">
      <c r="B37">
        <v>1.2527335953878564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F1126-71D1-49FB-B639-5BB680530AF8}">
  <dimension ref="A1:M15"/>
  <sheetViews>
    <sheetView workbookViewId="0">
      <selection activeCell="P34" sqref="P34"/>
    </sheetView>
  </sheetViews>
  <sheetFormatPr defaultRowHeight="14.5"/>
  <sheetData>
    <row r="1" spans="1:13">
      <c r="A1" t="s">
        <v>0</v>
      </c>
      <c r="B1" t="s">
        <v>1</v>
      </c>
      <c r="C1" t="s">
        <v>2</v>
      </c>
      <c r="D1" t="s">
        <v>3</v>
      </c>
      <c r="J1" t="s">
        <v>48</v>
      </c>
      <c r="K1" t="s">
        <v>49</v>
      </c>
      <c r="L1" t="s">
        <v>50</v>
      </c>
    </row>
    <row r="2" spans="1:13">
      <c r="A2">
        <v>1</v>
      </c>
      <c r="B2">
        <v>947</v>
      </c>
      <c r="C2">
        <v>3</v>
      </c>
      <c r="D2">
        <v>0</v>
      </c>
      <c r="F2" cm="1">
        <f t="array" ref="F2:H15">('Estimation with Equations'!N2:P15)*-1*N</f>
        <v>-2.5791713482140661</v>
      </c>
      <c r="G2">
        <v>1.2980090049789543</v>
      </c>
      <c r="H2">
        <v>1.281162343235112</v>
      </c>
      <c r="J2">
        <f>F2+950</f>
        <v>947.42082865178588</v>
      </c>
      <c r="K2">
        <f t="shared" ref="K2:L2" si="0">G2</f>
        <v>1.2980090049789543</v>
      </c>
      <c r="L2">
        <f t="shared" si="0"/>
        <v>1.281162343235112</v>
      </c>
      <c r="M2">
        <f>SUM(J2:L2)</f>
        <v>950</v>
      </c>
    </row>
    <row r="3" spans="1:13">
      <c r="A3">
        <v>2</v>
      </c>
      <c r="B3">
        <v>942</v>
      </c>
      <c r="C3">
        <v>8</v>
      </c>
      <c r="D3">
        <v>0</v>
      </c>
      <c r="F3">
        <v>-6.8414766913555809</v>
      </c>
      <c r="G3">
        <v>3.4250437760619485</v>
      </c>
      <c r="H3">
        <v>3.4164329152936324</v>
      </c>
      <c r="J3">
        <f>F3+J2</f>
        <v>940.57935196043036</v>
      </c>
      <c r="K3">
        <f>G3+K2</f>
        <v>4.7230527810409031</v>
      </c>
      <c r="L3">
        <f>H3+L2</f>
        <v>4.6975952585287448</v>
      </c>
      <c r="M3">
        <f t="shared" ref="M3:M15" si="1">SUM(J3:L3)</f>
        <v>950</v>
      </c>
    </row>
    <row r="4" spans="1:13">
      <c r="A4">
        <v>3</v>
      </c>
      <c r="B4">
        <v>922</v>
      </c>
      <c r="C4">
        <v>28</v>
      </c>
      <c r="D4">
        <v>0</v>
      </c>
      <c r="F4">
        <v>-23.436778432064184</v>
      </c>
      <c r="G4">
        <v>11.479263228536469</v>
      </c>
      <c r="H4">
        <v>11.957515203527713</v>
      </c>
      <c r="J4">
        <f t="shared" ref="J4:J15" si="2">F4+J3</f>
        <v>917.14257352836614</v>
      </c>
      <c r="K4">
        <f t="shared" ref="K4:K15" si="3">G4+K3</f>
        <v>16.202316009577373</v>
      </c>
      <c r="L4">
        <f t="shared" ref="L4:L15" si="4">H4+L3</f>
        <v>16.655110462056456</v>
      </c>
      <c r="M4">
        <f t="shared" si="1"/>
        <v>950</v>
      </c>
    </row>
    <row r="5" spans="1:13">
      <c r="A5">
        <v>4</v>
      </c>
      <c r="B5">
        <v>875</v>
      </c>
      <c r="C5">
        <v>75</v>
      </c>
      <c r="D5">
        <v>0</v>
      </c>
      <c r="F5">
        <v>-59.576951681291135</v>
      </c>
      <c r="G5">
        <v>27.547893100413336</v>
      </c>
      <c r="H5">
        <v>32.029058580877802</v>
      </c>
      <c r="J5">
        <f t="shared" si="2"/>
        <v>857.56562184707502</v>
      </c>
      <c r="K5">
        <f t="shared" si="3"/>
        <v>43.750209109990706</v>
      </c>
      <c r="L5">
        <f t="shared" si="4"/>
        <v>48.684169042934258</v>
      </c>
      <c r="M5">
        <f t="shared" si="1"/>
        <v>950</v>
      </c>
    </row>
    <row r="6" spans="1:13">
      <c r="A6">
        <v>5</v>
      </c>
      <c r="B6">
        <v>720</v>
      </c>
      <c r="C6">
        <v>221</v>
      </c>
      <c r="D6">
        <v>9</v>
      </c>
      <c r="F6">
        <v>-144.45538364231689</v>
      </c>
      <c r="G6">
        <v>50.076424357330318</v>
      </c>
      <c r="H6">
        <v>94.378959284986578</v>
      </c>
      <c r="J6">
        <f t="shared" si="2"/>
        <v>713.11023820475816</v>
      </c>
      <c r="K6">
        <f t="shared" si="3"/>
        <v>93.826633467321017</v>
      </c>
      <c r="L6">
        <f t="shared" si="4"/>
        <v>143.06312832792082</v>
      </c>
      <c r="M6">
        <f t="shared" si="1"/>
        <v>950</v>
      </c>
    </row>
    <row r="7" spans="1:13">
      <c r="A7">
        <v>6</v>
      </c>
      <c r="B7">
        <v>633</v>
      </c>
      <c r="C7">
        <v>291</v>
      </c>
      <c r="D7">
        <v>26</v>
      </c>
      <c r="F7">
        <v>-167.22671589407804</v>
      </c>
      <c r="G7">
        <v>42.953968600272162</v>
      </c>
      <c r="H7">
        <v>124.27274729380588</v>
      </c>
      <c r="J7">
        <f t="shared" si="2"/>
        <v>545.88352231068006</v>
      </c>
      <c r="K7">
        <f t="shared" si="3"/>
        <v>136.78060206759318</v>
      </c>
      <c r="L7">
        <f t="shared" si="4"/>
        <v>267.3358756217267</v>
      </c>
      <c r="M7">
        <f t="shared" si="1"/>
        <v>950</v>
      </c>
    </row>
    <row r="8" spans="1:13">
      <c r="A8">
        <v>7</v>
      </c>
      <c r="B8">
        <v>564</v>
      </c>
      <c r="C8">
        <v>255</v>
      </c>
      <c r="D8">
        <v>131</v>
      </c>
      <c r="F8">
        <v>-130.56544290747874</v>
      </c>
      <c r="G8">
        <v>21.666643732494197</v>
      </c>
      <c r="H8">
        <v>108.89879917498453</v>
      </c>
      <c r="J8">
        <f t="shared" si="2"/>
        <v>415.3180794032013</v>
      </c>
      <c r="K8">
        <f t="shared" si="3"/>
        <v>158.44724580008739</v>
      </c>
      <c r="L8">
        <f t="shared" si="4"/>
        <v>376.23467479671126</v>
      </c>
      <c r="M8">
        <f t="shared" si="1"/>
        <v>950</v>
      </c>
    </row>
    <row r="9" spans="1:13">
      <c r="A9">
        <v>8</v>
      </c>
      <c r="B9">
        <v>422</v>
      </c>
      <c r="C9">
        <v>235</v>
      </c>
      <c r="D9">
        <v>293</v>
      </c>
      <c r="F9">
        <v>-90.030419782607893</v>
      </c>
      <c r="G9">
        <v>-10.327297104142559</v>
      </c>
      <c r="H9">
        <v>100.35771688675045</v>
      </c>
      <c r="J9">
        <f t="shared" si="2"/>
        <v>325.28765962059339</v>
      </c>
      <c r="K9">
        <f t="shared" si="3"/>
        <v>148.11994869594483</v>
      </c>
      <c r="L9">
        <f t="shared" si="4"/>
        <v>476.5923916834617</v>
      </c>
      <c r="M9">
        <f t="shared" si="1"/>
        <v>950</v>
      </c>
    </row>
    <row r="10" spans="1:13">
      <c r="A10">
        <v>9</v>
      </c>
      <c r="B10">
        <v>291</v>
      </c>
      <c r="C10">
        <v>190</v>
      </c>
      <c r="D10">
        <v>469</v>
      </c>
      <c r="F10">
        <v>-50.194432890797529</v>
      </c>
      <c r="G10">
        <v>-30.945848847426241</v>
      </c>
      <c r="H10">
        <v>81.140281738223763</v>
      </c>
      <c r="J10">
        <f t="shared" si="2"/>
        <v>275.09322672979584</v>
      </c>
      <c r="K10">
        <f t="shared" si="3"/>
        <v>117.17409984851858</v>
      </c>
      <c r="L10">
        <f t="shared" si="4"/>
        <v>557.73267342168549</v>
      </c>
      <c r="M10">
        <f t="shared" si="1"/>
        <v>949.99999999999989</v>
      </c>
    </row>
    <row r="11" spans="1:13">
      <c r="A11">
        <v>10</v>
      </c>
      <c r="B11">
        <v>189</v>
      </c>
      <c r="C11">
        <v>126</v>
      </c>
      <c r="D11">
        <v>635</v>
      </c>
      <c r="F11">
        <v>-21.619284226106927</v>
      </c>
      <c r="G11">
        <v>-32.189534189767784</v>
      </c>
      <c r="H11">
        <v>53.808818415874711</v>
      </c>
      <c r="J11">
        <f t="shared" si="2"/>
        <v>253.47394250368893</v>
      </c>
      <c r="K11">
        <f t="shared" si="3"/>
        <v>84.984565658750796</v>
      </c>
      <c r="L11">
        <f t="shared" si="4"/>
        <v>611.54149183756022</v>
      </c>
      <c r="M11">
        <f t="shared" si="1"/>
        <v>950</v>
      </c>
    </row>
    <row r="12" spans="1:13">
      <c r="A12">
        <v>11</v>
      </c>
      <c r="B12">
        <v>95</v>
      </c>
      <c r="C12">
        <v>70</v>
      </c>
      <c r="D12">
        <v>785</v>
      </c>
      <c r="F12">
        <v>-6.0371311037041684</v>
      </c>
      <c r="G12">
        <v>-23.856656905115113</v>
      </c>
      <c r="H12">
        <v>29.893788008819282</v>
      </c>
      <c r="J12">
        <f t="shared" si="2"/>
        <v>247.43681139998478</v>
      </c>
      <c r="K12">
        <f t="shared" si="3"/>
        <v>61.12790875363568</v>
      </c>
      <c r="L12">
        <f t="shared" si="4"/>
        <v>641.43527984637944</v>
      </c>
      <c r="M12">
        <f t="shared" si="1"/>
        <v>949.99999999999989</v>
      </c>
    </row>
    <row r="13" spans="1:13">
      <c r="A13">
        <v>12</v>
      </c>
      <c r="B13">
        <v>52</v>
      </c>
      <c r="C13">
        <v>28</v>
      </c>
      <c r="D13">
        <v>870</v>
      </c>
      <c r="F13">
        <v>-1.3218139679689127</v>
      </c>
      <c r="G13">
        <v>-10.6357012355588</v>
      </c>
      <c r="H13">
        <v>11.957515203527713</v>
      </c>
      <c r="J13">
        <f t="shared" si="2"/>
        <v>246.11499743201585</v>
      </c>
      <c r="K13">
        <f t="shared" si="3"/>
        <v>50.492207518076881</v>
      </c>
      <c r="L13">
        <f t="shared" si="4"/>
        <v>653.39279504990714</v>
      </c>
      <c r="M13">
        <f t="shared" si="1"/>
        <v>949.99999999999989</v>
      </c>
    </row>
    <row r="14" spans="1:13">
      <c r="A14">
        <v>13</v>
      </c>
      <c r="B14">
        <v>21</v>
      </c>
      <c r="C14">
        <v>12</v>
      </c>
      <c r="D14">
        <v>917</v>
      </c>
      <c r="F14">
        <v>-0.22877549445615797</v>
      </c>
      <c r="G14">
        <v>-4.8958738784842906</v>
      </c>
      <c r="H14">
        <v>5.1246493729404481</v>
      </c>
      <c r="J14">
        <f t="shared" si="2"/>
        <v>245.8862219375597</v>
      </c>
      <c r="K14">
        <f t="shared" si="3"/>
        <v>45.596333639592594</v>
      </c>
      <c r="L14">
        <f t="shared" si="4"/>
        <v>658.51744442284757</v>
      </c>
      <c r="M14">
        <f t="shared" si="1"/>
        <v>949.99999999999989</v>
      </c>
    </row>
    <row r="15" spans="1:13">
      <c r="A15">
        <v>14</v>
      </c>
      <c r="B15">
        <v>8</v>
      </c>
      <c r="C15">
        <v>5</v>
      </c>
      <c r="D15">
        <v>937</v>
      </c>
      <c r="F15">
        <v>-3.6313570548596505E-2</v>
      </c>
      <c r="G15">
        <v>-2.0989570015099237</v>
      </c>
      <c r="H15">
        <v>2.1352705720585199</v>
      </c>
      <c r="J15">
        <f t="shared" si="2"/>
        <v>245.8499083670111</v>
      </c>
      <c r="K15">
        <f t="shared" si="3"/>
        <v>43.49737663808267</v>
      </c>
      <c r="L15">
        <f t="shared" si="4"/>
        <v>660.65271499490609</v>
      </c>
      <c r="M15">
        <f t="shared" si="1"/>
        <v>949.99999999999989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F423F-D291-479D-ABB2-46B4D565EAAE}">
  <dimension ref="A1:AE63"/>
  <sheetViews>
    <sheetView tabSelected="1" zoomScale="80" zoomScaleNormal="80" workbookViewId="0">
      <selection activeCell="T14" sqref="T14"/>
    </sheetView>
  </sheetViews>
  <sheetFormatPr defaultRowHeight="14.5"/>
  <cols>
    <col min="2" max="2" width="17.453125" customWidth="1"/>
    <col min="4" max="4" width="13.36328125" bestFit="1" customWidth="1"/>
    <col min="5" max="5" width="12.7265625" bestFit="1" customWidth="1"/>
    <col min="6" max="6" width="13.36328125" bestFit="1" customWidth="1"/>
    <col min="7" max="7" width="8.453125" bestFit="1" customWidth="1"/>
    <col min="8" max="8" width="8.26953125" bestFit="1" customWidth="1"/>
    <col min="9" max="9" width="8.7265625" bestFit="1" customWidth="1"/>
    <col min="18" max="18" width="0" hidden="1" customWidth="1"/>
    <col min="19" max="19" width="9.81640625" bestFit="1" customWidth="1"/>
    <col min="21" max="21" width="0" hidden="1" customWidth="1"/>
    <col min="22" max="22" width="10.453125" bestFit="1" customWidth="1"/>
    <col min="25" max="25" width="13" bestFit="1" customWidth="1"/>
    <col min="27" max="27" width="33.81640625" bestFit="1" customWidth="1"/>
    <col min="28" max="28" width="10" bestFit="1" customWidth="1"/>
    <col min="29" max="29" width="10.453125" bestFit="1" customWidth="1"/>
    <col min="30" max="30" width="4.36328125" bestFit="1" customWidth="1"/>
    <col min="31" max="31" width="13.54296875" bestFit="1" customWidth="1"/>
  </cols>
  <sheetData>
    <row r="1" spans="1:31">
      <c r="A1" s="35" t="s">
        <v>123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Y1" s="36" t="s">
        <v>153</v>
      </c>
      <c r="Z1" s="36"/>
      <c r="AA1" s="36"/>
      <c r="AC1" s="36" t="s">
        <v>124</v>
      </c>
      <c r="AD1" s="36"/>
      <c r="AE1" s="36"/>
    </row>
    <row r="2" spans="1:31">
      <c r="A2" s="6" t="s">
        <v>166</v>
      </c>
      <c r="B2" s="37" t="s">
        <v>167</v>
      </c>
      <c r="C2" s="38"/>
      <c r="D2" s="38"/>
      <c r="E2" s="38"/>
      <c r="F2" s="39"/>
      <c r="G2" s="40" t="s">
        <v>165</v>
      </c>
      <c r="H2" s="41"/>
      <c r="I2" s="42"/>
      <c r="J2" s="18" t="s">
        <v>169</v>
      </c>
      <c r="K2" s="47" t="s">
        <v>60</v>
      </c>
      <c r="L2" s="48"/>
      <c r="M2" s="49"/>
      <c r="N2" s="44" t="s">
        <v>168</v>
      </c>
      <c r="O2" s="45"/>
      <c r="P2" s="45"/>
      <c r="Q2" s="46"/>
      <c r="S2" s="43" t="s">
        <v>125</v>
      </c>
      <c r="T2" s="43"/>
      <c r="V2" s="43" t="s">
        <v>124</v>
      </c>
      <c r="W2" s="43"/>
      <c r="Y2" s="14"/>
      <c r="Z2" s="14"/>
      <c r="AA2" s="14"/>
      <c r="AC2" s="14"/>
      <c r="AD2" s="14"/>
      <c r="AE2" s="14"/>
    </row>
    <row r="3" spans="1:31">
      <c r="A3" s="5" t="s">
        <v>0</v>
      </c>
      <c r="B3" s="15" t="s">
        <v>5</v>
      </c>
      <c r="C3" s="15" t="s">
        <v>6</v>
      </c>
      <c r="D3" s="15" t="s">
        <v>7</v>
      </c>
      <c r="E3" s="15" t="s">
        <v>8</v>
      </c>
      <c r="F3" s="15" t="s">
        <v>9</v>
      </c>
      <c r="G3" s="15" t="s">
        <v>10</v>
      </c>
      <c r="H3" s="15" t="s">
        <v>11</v>
      </c>
      <c r="I3" s="15" t="s">
        <v>12</v>
      </c>
      <c r="J3" s="15" t="s">
        <v>13</v>
      </c>
      <c r="K3" s="15" t="s">
        <v>57</v>
      </c>
      <c r="L3" s="15" t="s">
        <v>58</v>
      </c>
      <c r="M3" s="15" t="s">
        <v>59</v>
      </c>
      <c r="N3" s="15" t="s">
        <v>37</v>
      </c>
      <c r="O3" s="15" t="s">
        <v>38</v>
      </c>
      <c r="P3" s="15" t="s">
        <v>39</v>
      </c>
      <c r="Q3" s="15" t="s">
        <v>40</v>
      </c>
      <c r="R3" s="13"/>
      <c r="S3" s="15" t="s">
        <v>14</v>
      </c>
      <c r="T3" s="15" t="s">
        <v>15</v>
      </c>
      <c r="V3" s="15" t="s">
        <v>13</v>
      </c>
      <c r="W3" s="22">
        <f>SUM(J4:J63)</f>
        <v>3.045142184428796</v>
      </c>
      <c r="Y3" s="5" t="s">
        <v>154</v>
      </c>
      <c r="Z3" s="5" t="s">
        <v>126</v>
      </c>
      <c r="AA3" s="5" t="s">
        <v>127</v>
      </c>
      <c r="AC3" s="5" t="s">
        <v>154</v>
      </c>
      <c r="AD3" s="5" t="s">
        <v>126</v>
      </c>
      <c r="AE3" s="5" t="s">
        <v>127</v>
      </c>
    </row>
    <row r="4" spans="1:31">
      <c r="A4" s="6">
        <v>0</v>
      </c>
      <c r="B4" s="16">
        <f>$T$4*A4+$T$5</f>
        <v>1.8938822102131863</v>
      </c>
      <c r="C4" s="16">
        <f>TANH(B4)</f>
        <v>0.95571063926165523</v>
      </c>
      <c r="D4" s="16">
        <f>$T$6*C4+$T$7</f>
        <v>0.97155583420803893</v>
      </c>
      <c r="E4" s="16">
        <f>$T$8*C4+$T$9</f>
        <v>0.15212836581249589</v>
      </c>
      <c r="F4" s="16">
        <f>$T$10*C4+$T$11</f>
        <v>-0.12346379366297278</v>
      </c>
      <c r="G4" s="17">
        <v>0.99916902781949102</v>
      </c>
      <c r="H4" s="17">
        <v>-5.1644142064485399E-4</v>
      </c>
      <c r="I4" s="17">
        <v>1.29646532345248E-3</v>
      </c>
      <c r="J4" s="18">
        <f>SUM((D4-G4)^2,(E4-H4)^2,(F4-I4)^2)</f>
        <v>3.9628047859026141E-2</v>
      </c>
      <c r="K4" s="19"/>
      <c r="L4" s="19"/>
      <c r="M4" s="19"/>
      <c r="N4" s="18"/>
      <c r="O4" s="18"/>
      <c r="P4" s="18"/>
      <c r="Q4" s="18">
        <f>(1 - SUM(D4:F4))^2</f>
        <v>4.8578962453717707E-8</v>
      </c>
      <c r="S4" s="22" t="s">
        <v>16</v>
      </c>
      <c r="T4" s="22">
        <v>-0.10392257260109389</v>
      </c>
      <c r="V4" s="15" t="s">
        <v>60</v>
      </c>
      <c r="W4" s="22">
        <f>SUM(N4:Q63)</f>
        <v>6.822030501372163E-2</v>
      </c>
      <c r="Y4" s="6" t="s">
        <v>5</v>
      </c>
      <c r="Z4" s="6" t="s">
        <v>128</v>
      </c>
      <c r="AA4" s="6" t="s">
        <v>140</v>
      </c>
      <c r="AC4" s="6" t="s">
        <v>13</v>
      </c>
      <c r="AD4" s="6" t="s">
        <v>155</v>
      </c>
      <c r="AE4" s="6" t="str">
        <f ca="1">_xlfn.FORMULATEXT(W3)</f>
        <v>=SUM(J4:J63)</v>
      </c>
    </row>
    <row r="5" spans="1:31">
      <c r="A5" s="6">
        <v>1</v>
      </c>
      <c r="B5" s="16">
        <f t="shared" ref="B5:B18" si="0">$T$4*A5+$T$5</f>
        <v>1.7899596376120923</v>
      </c>
      <c r="C5" s="16">
        <f t="shared" ref="C5:C18" si="1">TANH(B5)</f>
        <v>0.94575630571044489</v>
      </c>
      <c r="D5" s="16">
        <f t="shared" ref="D5:D18" si="2">$T$6*C5+$T$7</f>
        <v>0.96637180337597872</v>
      </c>
      <c r="E5" s="16">
        <f t="shared" ref="E5:E18" si="3">$T$8*C5+$T$9</f>
        <v>0.15264842653238037</v>
      </c>
      <c r="F5" s="16">
        <f t="shared" ref="F5:F18" si="4">$T$10*C5+$T$11</f>
        <v>-0.11880056115172349</v>
      </c>
      <c r="G5" s="17">
        <v>0.98960193539692398</v>
      </c>
      <c r="H5" s="17">
        <v>2.1639113228485896E-3</v>
      </c>
      <c r="I5" s="17">
        <v>2.6945909567850398E-3</v>
      </c>
      <c r="J5" s="18">
        <f t="shared" ref="J5:J63" si="5">SUM((D5-G5)^2,(E5-H5)^2,(F5-I5)^2)</f>
        <v>3.794630033742797E-2</v>
      </c>
      <c r="K5" s="19">
        <f>D5-D4</f>
        <v>-5.1840308320602047E-3</v>
      </c>
      <c r="L5" s="19">
        <f t="shared" ref="L5:M5" si="6">E5-E4</f>
        <v>5.2006071988447422E-4</v>
      </c>
      <c r="M5" s="19">
        <f t="shared" si="6"/>
        <v>4.6632325112492823E-3</v>
      </c>
      <c r="N5" s="18">
        <f>(K5+$AC$21*D5*E5)^2</f>
        <v>2.6874175667750817E-5</v>
      </c>
      <c r="O5" s="18">
        <f>(L5-$AC$21*D5*E5+$AC$20*E5)^2</f>
        <v>2.7046315236675754E-7</v>
      </c>
      <c r="P5" s="18">
        <f>(M5-$AC$20*E5)^2</f>
        <v>2.1745737453972287E-5</v>
      </c>
      <c r="Q5" s="18">
        <f>(1 - SUM(D5:F5))^2</f>
        <v>4.8254362641827694E-8</v>
      </c>
      <c r="S5" s="22" t="s">
        <v>17</v>
      </c>
      <c r="T5" s="22">
        <v>1.8938822102131863</v>
      </c>
      <c r="V5" s="15" t="s">
        <v>75</v>
      </c>
      <c r="W5" s="22">
        <f>SUM(W3:W4)</f>
        <v>3.1133624894425176</v>
      </c>
      <c r="Y5" s="6" t="s">
        <v>6</v>
      </c>
      <c r="Z5" s="6" t="s">
        <v>129</v>
      </c>
      <c r="AA5" s="6" t="s">
        <v>141</v>
      </c>
      <c r="AC5" s="6" t="s">
        <v>60</v>
      </c>
      <c r="AD5" s="6" t="s">
        <v>156</v>
      </c>
      <c r="AE5" s="6" t="str">
        <f t="shared" ref="AE5:AE6" ca="1" si="7">_xlfn.FORMULATEXT(W4)</f>
        <v>=SUM(N4:Q63)</v>
      </c>
    </row>
    <row r="6" spans="1:31">
      <c r="A6" s="6">
        <v>2</v>
      </c>
      <c r="B6" s="16">
        <f t="shared" si="0"/>
        <v>1.6860370650109986</v>
      </c>
      <c r="C6" s="16">
        <f t="shared" si="1"/>
        <v>0.93364058251315707</v>
      </c>
      <c r="D6" s="16">
        <f t="shared" si="2"/>
        <v>0.96006216122019539</v>
      </c>
      <c r="E6" s="16">
        <f t="shared" si="3"/>
        <v>0.1532814083081554</v>
      </c>
      <c r="F6" s="16">
        <f t="shared" si="4"/>
        <v>-0.11312479852831619</v>
      </c>
      <c r="G6" s="17">
        <v>1.0027006748148801</v>
      </c>
      <c r="H6" s="17">
        <v>3.31005964809079E-3</v>
      </c>
      <c r="I6" s="17">
        <v>-4.7185297244242705E-3</v>
      </c>
      <c r="J6" s="18">
        <f t="shared" si="5"/>
        <v>3.6061367376464454E-2</v>
      </c>
      <c r="K6" s="19">
        <f t="shared" ref="K6:K63" si="8">D6-D5</f>
        <v>-6.3096421557833349E-3</v>
      </c>
      <c r="L6" s="19">
        <f t="shared" ref="L6:L63" si="9">E6-E5</f>
        <v>6.3298177577503223E-4</v>
      </c>
      <c r="M6" s="19">
        <f t="shared" ref="M6:M63" si="10">F6-F5</f>
        <v>5.6757626234072989E-3</v>
      </c>
      <c r="N6" s="18">
        <f t="shared" ref="N6:N63" si="11">(K6+$AC$21*D6*E6)^2</f>
        <v>3.9811584134038173E-5</v>
      </c>
      <c r="O6" s="18">
        <f t="shared" ref="O6:O63" si="12">(L6-$AC$21*D6*E6+$AC$20*E6)^2</f>
        <v>4.006659284633132E-7</v>
      </c>
      <c r="P6" s="18">
        <f t="shared" ref="P6:P63" si="13">(M6-$AC$20*E6)^2</f>
        <v>3.2214281357267305E-5</v>
      </c>
      <c r="Q6" s="18">
        <f t="shared" ref="Q6:Q63" si="14">(1 - SUM(D6:F6))^2</f>
        <v>4.7860750456110262E-8</v>
      </c>
      <c r="S6" s="22" t="s">
        <v>18</v>
      </c>
      <c r="T6" s="22">
        <v>0.52078130649236531</v>
      </c>
      <c r="Y6" s="6" t="s">
        <v>7</v>
      </c>
      <c r="Z6" s="6" t="s">
        <v>130</v>
      </c>
      <c r="AA6" s="6" t="s">
        <v>142</v>
      </c>
      <c r="AC6" s="6" t="s">
        <v>75</v>
      </c>
      <c r="AD6" s="6" t="s">
        <v>157</v>
      </c>
      <c r="AE6" s="6" t="str">
        <f t="shared" ca="1" si="7"/>
        <v>=SUM(W3:W4)</v>
      </c>
    </row>
    <row r="7" spans="1:31">
      <c r="A7" s="6">
        <v>3</v>
      </c>
      <c r="B7" s="16">
        <f t="shared" si="0"/>
        <v>1.5821144924099046</v>
      </c>
      <c r="C7" s="16">
        <f t="shared" si="1"/>
        <v>0.91893147366471051</v>
      </c>
      <c r="D7" s="16">
        <f t="shared" si="2"/>
        <v>0.95240193229676295</v>
      </c>
      <c r="E7" s="16">
        <f t="shared" si="3"/>
        <v>0.15404988062197011</v>
      </c>
      <c r="F7" s="16">
        <f t="shared" si="4"/>
        <v>-0.10623413184121888</v>
      </c>
      <c r="G7" s="17">
        <v>0.99110329365628103</v>
      </c>
      <c r="H7" s="17">
        <v>1.5165637719900501E-3</v>
      </c>
      <c r="I7" s="17">
        <v>2.4789689316632598E-3</v>
      </c>
      <c r="J7" s="18">
        <f t="shared" si="5"/>
        <v>3.6582746399991234E-2</v>
      </c>
      <c r="K7" s="19">
        <f t="shared" si="8"/>
        <v>-7.6602289234324328E-3</v>
      </c>
      <c r="L7" s="19">
        <f t="shared" si="9"/>
        <v>7.6847231381471648E-4</v>
      </c>
      <c r="M7" s="19">
        <f t="shared" si="10"/>
        <v>6.8906666870973132E-3</v>
      </c>
      <c r="N7" s="18">
        <f t="shared" si="11"/>
        <v>5.8679107159390809E-5</v>
      </c>
      <c r="O7" s="18">
        <f t="shared" si="12"/>
        <v>5.9054969709974413E-7</v>
      </c>
      <c r="P7" s="18">
        <f t="shared" si="13"/>
        <v>4.7481287392672663E-5</v>
      </c>
      <c r="Q7" s="18">
        <f t="shared" si="14"/>
        <v>4.7385051507689092E-8</v>
      </c>
      <c r="S7" s="22" t="s">
        <v>19</v>
      </c>
      <c r="T7" s="22">
        <v>0.47383959886470045</v>
      </c>
      <c r="Y7" s="6" t="s">
        <v>8</v>
      </c>
      <c r="Z7" s="6" t="s">
        <v>38</v>
      </c>
      <c r="AA7" s="6" t="s">
        <v>143</v>
      </c>
    </row>
    <row r="8" spans="1:31">
      <c r="A8" s="6">
        <v>4</v>
      </c>
      <c r="B8" s="16">
        <f t="shared" si="0"/>
        <v>1.4781919198088107</v>
      </c>
      <c r="C8" s="16">
        <f t="shared" si="1"/>
        <v>0.90112868144882063</v>
      </c>
      <c r="D8" s="16">
        <f t="shared" si="2"/>
        <v>0.94313057090735974</v>
      </c>
      <c r="E8" s="16">
        <f t="shared" si="3"/>
        <v>0.15497998135529578</v>
      </c>
      <c r="F8" s="16">
        <f t="shared" si="4"/>
        <v>-9.7894190344878507E-2</v>
      </c>
      <c r="G8" s="17">
        <v>0.99855053119660397</v>
      </c>
      <c r="H8" s="17">
        <v>2.0051112150917699E-3</v>
      </c>
      <c r="I8" s="17">
        <v>3.86363487767975E-3</v>
      </c>
      <c r="J8" s="18">
        <f t="shared" si="5"/>
        <v>3.6827337886898404E-2</v>
      </c>
      <c r="K8" s="19">
        <f t="shared" si="8"/>
        <v>-9.2713613894032099E-3</v>
      </c>
      <c r="L8" s="19">
        <f t="shared" si="9"/>
        <v>9.3010073332566723E-4</v>
      </c>
      <c r="M8" s="19">
        <f t="shared" si="10"/>
        <v>8.3399414963403751E-3</v>
      </c>
      <c r="N8" s="18">
        <f t="shared" si="11"/>
        <v>8.5958142012916623E-5</v>
      </c>
      <c r="O8" s="18">
        <f t="shared" si="12"/>
        <v>8.6508737413294397E-7</v>
      </c>
      <c r="P8" s="18">
        <f t="shared" si="13"/>
        <v>6.9554624162380138E-5</v>
      </c>
      <c r="Q8" s="18">
        <f t="shared" si="14"/>
        <v>4.6812479464173678E-8</v>
      </c>
      <c r="S8" s="22" t="s">
        <v>20</v>
      </c>
      <c r="T8" s="22">
        <v>-5.2244654773621238E-2</v>
      </c>
      <c r="Y8" s="6" t="s">
        <v>9</v>
      </c>
      <c r="Z8" s="6" t="s">
        <v>131</v>
      </c>
      <c r="AA8" s="6" t="s">
        <v>144</v>
      </c>
    </row>
    <row r="9" spans="1:31">
      <c r="A9" s="6">
        <v>5</v>
      </c>
      <c r="B9" s="16">
        <f t="shared" si="0"/>
        <v>1.3742693472077168</v>
      </c>
      <c r="C9" s="16">
        <f t="shared" si="1"/>
        <v>0.87966153540250602</v>
      </c>
      <c r="D9" s="16">
        <f t="shared" si="2"/>
        <v>0.93195088254269765</v>
      </c>
      <c r="E9" s="16">
        <f t="shared" si="3"/>
        <v>0.15610152498946042</v>
      </c>
      <c r="F9" s="16">
        <f t="shared" si="4"/>
        <v>-8.7837636297145361E-2</v>
      </c>
      <c r="G9" s="17">
        <v>0.99334815329542803</v>
      </c>
      <c r="H9" s="17">
        <v>5.7859344004262394E-3</v>
      </c>
      <c r="I9" s="17">
        <v>-4.6798608314981898E-3</v>
      </c>
      <c r="J9" s="18">
        <f t="shared" si="5"/>
        <v>3.3279617250409219E-2</v>
      </c>
      <c r="K9" s="19">
        <f t="shared" si="8"/>
        <v>-1.1179688364662099E-2</v>
      </c>
      <c r="L9" s="19">
        <f t="shared" si="9"/>
        <v>1.1215436341646401E-3</v>
      </c>
      <c r="M9" s="19">
        <f t="shared" si="10"/>
        <v>1.0056554047733146E-2</v>
      </c>
      <c r="N9" s="18">
        <f t="shared" si="11"/>
        <v>1.2498543193096111E-4</v>
      </c>
      <c r="O9" s="18">
        <f t="shared" si="12"/>
        <v>1.257860123335228E-6</v>
      </c>
      <c r="P9" s="18">
        <f t="shared" si="13"/>
        <v>1.0113427931497792E-4</v>
      </c>
      <c r="Q9" s="18">
        <f t="shared" si="14"/>
        <v>4.6126683388871167E-8</v>
      </c>
      <c r="S9" s="22" t="s">
        <v>21</v>
      </c>
      <c r="T9" s="22">
        <v>0.20205913822419794</v>
      </c>
      <c r="Y9" s="6" t="s">
        <v>13</v>
      </c>
      <c r="Z9" s="6" t="s">
        <v>132</v>
      </c>
      <c r="AA9" s="6" t="s">
        <v>145</v>
      </c>
    </row>
    <row r="10" spans="1:31">
      <c r="A10" s="6">
        <v>6</v>
      </c>
      <c r="B10" s="16">
        <f t="shared" si="0"/>
        <v>1.2703467746066228</v>
      </c>
      <c r="C10" s="16">
        <f t="shared" si="1"/>
        <v>0.8538916115043681</v>
      </c>
      <c r="D10" s="16">
        <f t="shared" si="2"/>
        <v>0.91853038790681651</v>
      </c>
      <c r="E10" s="16">
        <f t="shared" si="3"/>
        <v>0.15744786576706113</v>
      </c>
      <c r="F10" s="16">
        <f t="shared" si="4"/>
        <v>-7.5765391950902428E-2</v>
      </c>
      <c r="G10" s="17">
        <v>0.98283073740154103</v>
      </c>
      <c r="H10" s="17">
        <v>1.2651330839959601E-2</v>
      </c>
      <c r="I10" s="17">
        <v>3.0346095032803499E-3</v>
      </c>
      <c r="J10" s="18">
        <f t="shared" si="5"/>
        <v>3.1310011701218263E-2</v>
      </c>
      <c r="K10" s="19">
        <f t="shared" si="8"/>
        <v>-1.3420494635881131E-2</v>
      </c>
      <c r="L10" s="19">
        <f t="shared" si="9"/>
        <v>1.3463407776007075E-3</v>
      </c>
      <c r="M10" s="19">
        <f t="shared" si="10"/>
        <v>1.2072244346242933E-2</v>
      </c>
      <c r="N10" s="18">
        <f t="shared" si="11"/>
        <v>1.8010967627171421E-4</v>
      </c>
      <c r="O10" s="18">
        <f t="shared" si="12"/>
        <v>1.8126334894304777E-6</v>
      </c>
      <c r="P10" s="18">
        <f t="shared" si="13"/>
        <v>1.4573908355539446E-4</v>
      </c>
      <c r="Q10" s="18">
        <f t="shared" si="14"/>
        <v>4.5310113107918562E-8</v>
      </c>
      <c r="S10" s="22" t="s">
        <v>22</v>
      </c>
      <c r="T10" s="22">
        <v>-0.4684625532446865</v>
      </c>
      <c r="Y10" s="6" t="s">
        <v>57</v>
      </c>
      <c r="Z10" s="6" t="s">
        <v>133</v>
      </c>
      <c r="AA10" s="6" t="s">
        <v>146</v>
      </c>
    </row>
    <row r="11" spans="1:31">
      <c r="A11" s="6">
        <v>7</v>
      </c>
      <c r="B11" s="16">
        <f t="shared" si="0"/>
        <v>1.1664242020055291</v>
      </c>
      <c r="C11" s="16">
        <f t="shared" si="1"/>
        <v>0.82312247375665237</v>
      </c>
      <c r="D11" s="16">
        <f t="shared" si="2"/>
        <v>0.90250639615091754</v>
      </c>
      <c r="E11" s="16">
        <f t="shared" si="3"/>
        <v>0.15905538874637254</v>
      </c>
      <c r="F11" s="16">
        <f t="shared" si="4"/>
        <v>-6.1351203120470044E-2</v>
      </c>
      <c r="G11" s="17">
        <v>0.97539398785926001</v>
      </c>
      <c r="H11" s="17">
        <v>2.03539996715329E-2</v>
      </c>
      <c r="I11" s="17">
        <v>7.4668309922445502E-3</v>
      </c>
      <c r="J11" s="18">
        <f t="shared" si="5"/>
        <v>2.9286598175470829E-2</v>
      </c>
      <c r="K11" s="19">
        <f t="shared" si="8"/>
        <v>-1.602399175589897E-2</v>
      </c>
      <c r="L11" s="19">
        <f t="shared" si="9"/>
        <v>1.6075229793114099E-3</v>
      </c>
      <c r="M11" s="19">
        <f t="shared" si="10"/>
        <v>1.4414188830432384E-2</v>
      </c>
      <c r="N11" s="18">
        <f t="shared" si="11"/>
        <v>2.5676831179311817E-4</v>
      </c>
      <c r="O11" s="18">
        <f t="shared" si="12"/>
        <v>2.5841301290142313E-6</v>
      </c>
      <c r="P11" s="18">
        <f t="shared" si="13"/>
        <v>2.0776883963936169E-4</v>
      </c>
      <c r="Q11" s="18">
        <f t="shared" si="14"/>
        <v>4.4344684728708602E-8</v>
      </c>
      <c r="S11" s="22" t="s">
        <v>23</v>
      </c>
      <c r="T11" s="22">
        <v>0.32425085256865377</v>
      </c>
      <c r="Y11" s="6" t="s">
        <v>58</v>
      </c>
      <c r="Z11" s="6" t="s">
        <v>134</v>
      </c>
      <c r="AA11" s="6" t="s">
        <v>147</v>
      </c>
    </row>
    <row r="12" spans="1:31">
      <c r="A12" s="6">
        <v>8</v>
      </c>
      <c r="B12" s="16">
        <f t="shared" si="0"/>
        <v>1.0625016294044352</v>
      </c>
      <c r="C12" s="16">
        <f t="shared" si="1"/>
        <v>0.78661943328713013</v>
      </c>
      <c r="D12" s="16">
        <f t="shared" si="2"/>
        <v>0.88349629504425609</v>
      </c>
      <c r="E12" s="16">
        <f t="shared" si="3"/>
        <v>0.16096247749389025</v>
      </c>
      <c r="F12" s="16">
        <f t="shared" si="4"/>
        <v>-4.4250895580923544E-2</v>
      </c>
      <c r="G12" s="17">
        <v>0.96249140793574095</v>
      </c>
      <c r="H12" s="17">
        <v>3.3533967396357001E-2</v>
      </c>
      <c r="I12" s="17">
        <v>9.1761695406187595E-3</v>
      </c>
      <c r="J12" s="18">
        <f t="shared" si="5"/>
        <v>2.5332704333917093E-2</v>
      </c>
      <c r="K12" s="19">
        <f t="shared" si="8"/>
        <v>-1.9010101106661459E-2</v>
      </c>
      <c r="L12" s="19">
        <f t="shared" si="9"/>
        <v>1.9070887475177156E-3</v>
      </c>
      <c r="M12" s="19">
        <f t="shared" si="10"/>
        <v>1.71003075395465E-2</v>
      </c>
      <c r="N12" s="18">
        <f t="shared" si="11"/>
        <v>3.6138394408549121E-4</v>
      </c>
      <c r="O12" s="18">
        <f t="shared" si="12"/>
        <v>3.6369874909086891E-6</v>
      </c>
      <c r="P12" s="18">
        <f t="shared" si="13"/>
        <v>2.9242051794707086E-4</v>
      </c>
      <c r="Q12" s="18">
        <f t="shared" si="14"/>
        <v>4.3212829344254631E-8</v>
      </c>
      <c r="S12" s="22" t="s">
        <v>175</v>
      </c>
      <c r="T12" s="22">
        <v>8.8233629282672699E-2</v>
      </c>
      <c r="Y12" s="6" t="s">
        <v>59</v>
      </c>
      <c r="Z12" s="6" t="s">
        <v>135</v>
      </c>
      <c r="AA12" s="6" t="s">
        <v>148</v>
      </c>
    </row>
    <row r="13" spans="1:31">
      <c r="A13" s="6">
        <v>9</v>
      </c>
      <c r="B13" s="16">
        <f t="shared" si="0"/>
        <v>0.95857905680334121</v>
      </c>
      <c r="C13" s="16">
        <f t="shared" si="1"/>
        <v>0.74364238229703195</v>
      </c>
      <c r="D13" s="16">
        <f t="shared" si="2"/>
        <v>0.86111465028044376</v>
      </c>
      <c r="E13" s="16">
        <f t="shared" si="3"/>
        <v>0.16320779868605623</v>
      </c>
      <c r="F13" s="16">
        <f t="shared" si="4"/>
        <v>-2.4117756543175051E-2</v>
      </c>
      <c r="G13" s="17">
        <v>0.94450237023887595</v>
      </c>
      <c r="H13" s="17">
        <v>4.7496166004264602E-2</v>
      </c>
      <c r="I13" s="17">
        <v>7.5225339506602403E-3</v>
      </c>
      <c r="J13" s="18">
        <f t="shared" si="5"/>
        <v>2.1343801760286066E-2</v>
      </c>
      <c r="K13" s="19">
        <f t="shared" si="8"/>
        <v>-2.2381644763812325E-2</v>
      </c>
      <c r="L13" s="19">
        <f t="shared" si="9"/>
        <v>2.2453211921659721E-3</v>
      </c>
      <c r="M13" s="19">
        <f t="shared" si="10"/>
        <v>2.0133139037748493E-2</v>
      </c>
      <c r="N13" s="18">
        <f t="shared" si="11"/>
        <v>5.0093802233348763E-4</v>
      </c>
      <c r="O13" s="18">
        <f t="shared" si="12"/>
        <v>5.0414672559896227E-6</v>
      </c>
      <c r="P13" s="18">
        <f t="shared" si="13"/>
        <v>4.0534328751331232E-4</v>
      </c>
      <c r="Q13" s="18">
        <f t="shared" si="14"/>
        <v>4.1898988166657927E-8</v>
      </c>
      <c r="S13" s="22" t="s">
        <v>71</v>
      </c>
      <c r="T13" s="22">
        <v>0.60703771496519254</v>
      </c>
      <c r="Y13" s="6" t="s">
        <v>37</v>
      </c>
      <c r="Z13" s="6" t="s">
        <v>136</v>
      </c>
      <c r="AA13" s="6" t="s">
        <v>149</v>
      </c>
    </row>
    <row r="14" spans="1:31">
      <c r="A14" s="6">
        <v>10</v>
      </c>
      <c r="B14" s="16">
        <f t="shared" si="0"/>
        <v>0.85465648420224727</v>
      </c>
      <c r="C14" s="16">
        <f t="shared" si="1"/>
        <v>0.69349430369308696</v>
      </c>
      <c r="D14" s="16">
        <f t="shared" si="2"/>
        <v>0.83499846838699943</v>
      </c>
      <c r="E14" s="16">
        <f t="shared" si="3"/>
        <v>0.16582776774027977</v>
      </c>
      <c r="F14" s="16">
        <f t="shared" si="4"/>
        <v>-6.2525960005577197E-4</v>
      </c>
      <c r="G14" s="17">
        <v>0.91819898168117797</v>
      </c>
      <c r="H14" s="17">
        <v>6.7597221336325009E-2</v>
      </c>
      <c r="I14" s="17">
        <v>3.2927993138720797E-3</v>
      </c>
      <c r="J14" s="18">
        <f t="shared" si="5"/>
        <v>1.6586916844887299E-2</v>
      </c>
      <c r="K14" s="19">
        <f t="shared" si="8"/>
        <v>-2.6116181893444335E-2</v>
      </c>
      <c r="L14" s="19">
        <f t="shared" si="9"/>
        <v>2.6199690542235421E-3</v>
      </c>
      <c r="M14" s="19">
        <f t="shared" si="10"/>
        <v>2.3492496943119279E-2</v>
      </c>
      <c r="N14" s="18">
        <f t="shared" si="11"/>
        <v>6.8205495669146972E-4</v>
      </c>
      <c r="O14" s="18">
        <f t="shared" si="12"/>
        <v>6.8642378450890014E-6</v>
      </c>
      <c r="P14" s="18">
        <f t="shared" si="13"/>
        <v>5.5189741262246861E-4</v>
      </c>
      <c r="Q14" s="18">
        <f t="shared" si="14"/>
        <v>4.0391564494820827E-8</v>
      </c>
      <c r="Y14" s="6" t="s">
        <v>38</v>
      </c>
      <c r="Z14" s="6" t="s">
        <v>137</v>
      </c>
      <c r="AA14" s="6" t="s">
        <v>150</v>
      </c>
    </row>
    <row r="15" spans="1:31">
      <c r="A15" s="6">
        <v>11</v>
      </c>
      <c r="B15" s="16">
        <f t="shared" si="0"/>
        <v>0.75073391160115355</v>
      </c>
      <c r="C15" s="16">
        <f t="shared" si="1"/>
        <v>0.63558658955291214</v>
      </c>
      <c r="D15" s="16">
        <f t="shared" si="2"/>
        <v>0.80484121336109271</v>
      </c>
      <c r="E15" s="16">
        <f t="shared" si="3"/>
        <v>0.16885313627426274</v>
      </c>
      <c r="F15" s="16">
        <f t="shared" si="4"/>
        <v>2.6502336018613959E-2</v>
      </c>
      <c r="G15" s="17">
        <v>0.89021613947898592</v>
      </c>
      <c r="H15" s="17">
        <v>9.5969397639399309E-2</v>
      </c>
      <c r="I15" s="17">
        <v>1.96514990734073E-2</v>
      </c>
      <c r="J15" s="18">
        <f t="shared" si="5"/>
        <v>1.2647851333880617E-2</v>
      </c>
      <c r="K15" s="19">
        <f t="shared" si="8"/>
        <v>-3.0157255025906715E-2</v>
      </c>
      <c r="L15" s="19">
        <f t="shared" si="9"/>
        <v>3.0253685339829695E-3</v>
      </c>
      <c r="M15" s="19">
        <f t="shared" si="10"/>
        <v>2.7127595618669731E-2</v>
      </c>
      <c r="N15" s="18">
        <f t="shared" si="11"/>
        <v>9.0946003069757584E-4</v>
      </c>
      <c r="O15" s="18">
        <f t="shared" si="12"/>
        <v>9.1528547664142615E-6</v>
      </c>
      <c r="P15" s="18">
        <f t="shared" si="13"/>
        <v>7.3590644405006921E-4</v>
      </c>
      <c r="Q15" s="18">
        <f t="shared" si="14"/>
        <v>3.8685246477395694E-8</v>
      </c>
      <c r="Y15" s="6" t="s">
        <v>39</v>
      </c>
      <c r="Z15" s="6" t="s">
        <v>138</v>
      </c>
      <c r="AA15" s="6" t="s">
        <v>151</v>
      </c>
    </row>
    <row r="16" spans="1:31">
      <c r="A16" s="6">
        <v>12</v>
      </c>
      <c r="B16" s="16">
        <f t="shared" si="0"/>
        <v>0.6468113390000596</v>
      </c>
      <c r="C16" s="16">
        <f t="shared" si="1"/>
        <v>0.56951946761316086</v>
      </c>
      <c r="D16" s="16">
        <f t="shared" si="2"/>
        <v>0.77043469128111863</v>
      </c>
      <c r="E16" s="16">
        <f t="shared" si="3"/>
        <v>0.1723047902518918</v>
      </c>
      <c r="F16" s="16">
        <f t="shared" si="4"/>
        <v>5.7452308648037909E-2</v>
      </c>
      <c r="G16" s="17">
        <v>0.83105634839519704</v>
      </c>
      <c r="H16" s="17">
        <v>0.139820372745182</v>
      </c>
      <c r="I16" s="17">
        <v>2.4532806481925299E-2</v>
      </c>
      <c r="J16" s="18">
        <f t="shared" si="5"/>
        <v>5.813916314871821E-3</v>
      </c>
      <c r="K16" s="19">
        <f t="shared" si="8"/>
        <v>-3.4406522079974078E-2</v>
      </c>
      <c r="L16" s="19">
        <f t="shared" si="9"/>
        <v>3.45165397762906E-3</v>
      </c>
      <c r="M16" s="19">
        <f t="shared" si="10"/>
        <v>3.094997262942395E-2</v>
      </c>
      <c r="N16" s="18">
        <f t="shared" si="11"/>
        <v>1.1838087616397438E-3</v>
      </c>
      <c r="O16" s="18">
        <f t="shared" si="12"/>
        <v>1.1913915181282512E-5</v>
      </c>
      <c r="P16" s="18">
        <f t="shared" si="13"/>
        <v>9.5790080576209163E-4</v>
      </c>
      <c r="Q16" s="18">
        <f t="shared" si="14"/>
        <v>3.678347354658706E-8</v>
      </c>
      <c r="Y16" s="6" t="s">
        <v>40</v>
      </c>
      <c r="Z16" s="6" t="s">
        <v>139</v>
      </c>
      <c r="AA16" s="6" t="s">
        <v>152</v>
      </c>
    </row>
    <row r="17" spans="1:17">
      <c r="A17" s="6">
        <v>13</v>
      </c>
      <c r="B17" s="16">
        <f t="shared" si="0"/>
        <v>0.54288876639896566</v>
      </c>
      <c r="C17" s="16">
        <f t="shared" si="1"/>
        <v>0.49517153980461487</v>
      </c>
      <c r="D17" s="16">
        <f t="shared" si="2"/>
        <v>0.73171568030198408</v>
      </c>
      <c r="E17" s="16">
        <f t="shared" si="3"/>
        <v>0.17618907207338338</v>
      </c>
      <c r="F17" s="16">
        <f t="shared" si="4"/>
        <v>9.2281528737680973E-2</v>
      </c>
      <c r="G17" s="17">
        <v>0.77338802087821101</v>
      </c>
      <c r="H17" s="17">
        <v>0.19576330278256401</v>
      </c>
      <c r="I17" s="17">
        <v>3.84479753657469E-2</v>
      </c>
      <c r="J17" s="18">
        <f t="shared" si="5"/>
        <v>5.0177859456061536E-3</v>
      </c>
      <c r="K17" s="19">
        <f t="shared" si="8"/>
        <v>-3.8719010979134549E-2</v>
      </c>
      <c r="L17" s="19">
        <f t="shared" si="9"/>
        <v>3.8842818214915864E-3</v>
      </c>
      <c r="M17" s="19">
        <f t="shared" si="10"/>
        <v>3.4829220089643065E-2</v>
      </c>
      <c r="N17" s="18">
        <f t="shared" si="11"/>
        <v>1.4991618112023418E-3</v>
      </c>
      <c r="O17" s="18">
        <f t="shared" si="12"/>
        <v>1.5087645268769996E-5</v>
      </c>
      <c r="P17" s="18">
        <f t="shared" si="13"/>
        <v>1.2130745720527962E-3</v>
      </c>
      <c r="Q17" s="18">
        <f t="shared" si="14"/>
        <v>3.4700653078556118E-8</v>
      </c>
    </row>
    <row r="18" spans="1:17">
      <c r="A18" s="6">
        <v>14</v>
      </c>
      <c r="B18" s="16">
        <f t="shared" si="0"/>
        <v>0.43896619379787194</v>
      </c>
      <c r="C18" s="16">
        <f t="shared" si="1"/>
        <v>0.41278715571459151</v>
      </c>
      <c r="D18" s="16">
        <f t="shared" si="2"/>
        <v>0.68881143312101289</v>
      </c>
      <c r="E18" s="16">
        <f t="shared" si="3"/>
        <v>0.18049321577890406</v>
      </c>
      <c r="F18" s="16">
        <f t="shared" si="4"/>
        <v>0.13087552765598426</v>
      </c>
      <c r="G18" s="17">
        <v>0.68790871012265198</v>
      </c>
      <c r="H18" s="17">
        <v>0.25894601239861498</v>
      </c>
      <c r="I18" s="17">
        <v>6.3388110834698502E-2</v>
      </c>
      <c r="J18" s="18">
        <f t="shared" si="5"/>
        <v>1.0710207635475458E-2</v>
      </c>
      <c r="K18" s="19">
        <f t="shared" si="8"/>
        <v>-4.2904247180971189E-2</v>
      </c>
      <c r="L18" s="19">
        <f t="shared" si="9"/>
        <v>4.3041437055206799E-3</v>
      </c>
      <c r="M18" s="19">
        <f t="shared" si="10"/>
        <v>3.8593998918303285E-2</v>
      </c>
      <c r="N18" s="18">
        <f t="shared" si="11"/>
        <v>1.8407744261658742E-3</v>
      </c>
      <c r="O18" s="18">
        <f t="shared" si="12"/>
        <v>1.8525653037773288E-5</v>
      </c>
      <c r="P18" s="18">
        <f t="shared" si="13"/>
        <v>1.4894967525059951E-3</v>
      </c>
      <c r="Q18" s="18">
        <f t="shared" si="14"/>
        <v>3.2463591296454759E-8</v>
      </c>
    </row>
    <row r="19" spans="1:17">
      <c r="A19" s="6">
        <v>15</v>
      </c>
      <c r="B19" s="16">
        <f t="shared" ref="B19:B63" si="15">$T$4*A19+$T$5</f>
        <v>0.335043621196778</v>
      </c>
      <c r="C19" s="16">
        <f t="shared" ref="C19:C63" si="16">TANH(B19)</f>
        <v>0.32304538791828308</v>
      </c>
      <c r="D19" s="16">
        <f t="shared" ref="D19:D63" si="17">$T$6*C19+$T$7</f>
        <v>0.64207559804111691</v>
      </c>
      <c r="E19" s="16">
        <f t="shared" ref="E19:E63" si="18">$T$8*C19+$T$9</f>
        <v>0.18518174345619667</v>
      </c>
      <c r="F19" s="16">
        <f t="shared" ref="F19:F63" si="19">$T$10*C19+$T$11</f>
        <v>0.17291618533053468</v>
      </c>
      <c r="G19" s="17">
        <v>0.59497831839092707</v>
      </c>
      <c r="H19" s="17">
        <v>0.33076845698165103</v>
      </c>
      <c r="I19" s="17">
        <v>7.3720662375898097E-2</v>
      </c>
      <c r="J19" s="18">
        <f t="shared" si="5"/>
        <v>3.3253396679834735E-2</v>
      </c>
      <c r="K19" s="19">
        <f t="shared" si="8"/>
        <v>-4.6735835079895982E-2</v>
      </c>
      <c r="L19" s="19">
        <f t="shared" si="9"/>
        <v>4.6885276772926088E-3</v>
      </c>
      <c r="M19" s="19">
        <f t="shared" si="10"/>
        <v>4.2040657674550425E-2</v>
      </c>
      <c r="N19" s="18">
        <f t="shared" si="11"/>
        <v>2.1842382806152357E-3</v>
      </c>
      <c r="O19" s="18">
        <f t="shared" si="12"/>
        <v>2.1982291780738826E-5</v>
      </c>
      <c r="P19" s="18">
        <f t="shared" si="13"/>
        <v>1.7674168977087354E-3</v>
      </c>
      <c r="Q19" s="18">
        <f t="shared" si="14"/>
        <v>3.011155998306364E-8</v>
      </c>
    </row>
    <row r="20" spans="1:17">
      <c r="A20" s="6">
        <v>16</v>
      </c>
      <c r="B20" s="16">
        <f t="shared" si="15"/>
        <v>0.23112104859568405</v>
      </c>
      <c r="C20" s="16">
        <f t="shared" si="16"/>
        <v>0.22709185790298619</v>
      </c>
      <c r="D20" s="16">
        <f t="shared" si="17"/>
        <v>0.59210479331719612</v>
      </c>
      <c r="E20" s="16">
        <f t="shared" si="18"/>
        <v>0.19019480250615617</v>
      </c>
      <c r="F20" s="16">
        <f t="shared" si="19"/>
        <v>0.21786682099434132</v>
      </c>
      <c r="G20" s="17">
        <v>0.48898600704502004</v>
      </c>
      <c r="H20" s="17">
        <v>0.40789980280525601</v>
      </c>
      <c r="I20" s="17">
        <v>9.9755417736937704E-2</v>
      </c>
      <c r="J20" s="18">
        <f t="shared" si="5"/>
        <v>7.1979254816910809E-2</v>
      </c>
      <c r="K20" s="19">
        <f t="shared" si="8"/>
        <v>-4.9970804723920792E-2</v>
      </c>
      <c r="L20" s="19">
        <f t="shared" si="9"/>
        <v>5.0130590499594951E-3</v>
      </c>
      <c r="M20" s="19">
        <f t="shared" si="10"/>
        <v>4.4950635663806637E-2</v>
      </c>
      <c r="N20" s="18">
        <f t="shared" si="11"/>
        <v>2.4970813247562245E-3</v>
      </c>
      <c r="O20" s="18">
        <f t="shared" si="12"/>
        <v>2.5130761038380798E-5</v>
      </c>
      <c r="P20" s="18">
        <f t="shared" si="13"/>
        <v>2.0205596465802853E-3</v>
      </c>
      <c r="Q20" s="18">
        <f t="shared" si="14"/>
        <v>2.7694557211258933E-8</v>
      </c>
    </row>
    <row r="21" spans="1:17">
      <c r="A21" s="6">
        <v>17</v>
      </c>
      <c r="B21" s="16">
        <f t="shared" si="15"/>
        <v>0.12719847599459011</v>
      </c>
      <c r="C21" s="16">
        <f t="shared" si="16"/>
        <v>0.12651688619669732</v>
      </c>
      <c r="D21" s="16">
        <f t="shared" si="17"/>
        <v>0.53972722815156238</v>
      </c>
      <c r="E21" s="16">
        <f t="shared" si="18"/>
        <v>0.19544930718181797</v>
      </c>
      <c r="F21" s="16">
        <f t="shared" si="19"/>
        <v>0.26498242903238151</v>
      </c>
      <c r="G21" s="17">
        <v>0.39651123517081099</v>
      </c>
      <c r="H21" s="17">
        <v>0.47372642816447597</v>
      </c>
      <c r="I21" s="17">
        <v>0.13353312106332502</v>
      </c>
      <c r="J21" s="18">
        <f t="shared" si="5"/>
        <v>0.11522789727340335</v>
      </c>
      <c r="K21" s="19">
        <f t="shared" si="8"/>
        <v>-5.2377565165633744E-2</v>
      </c>
      <c r="L21" s="19">
        <f t="shared" si="9"/>
        <v>5.2545046756617975E-3</v>
      </c>
      <c r="M21" s="19">
        <f t="shared" si="10"/>
        <v>4.7115608038040185E-2</v>
      </c>
      <c r="N21" s="18">
        <f t="shared" si="11"/>
        <v>2.7434093326802094E-3</v>
      </c>
      <c r="O21" s="18">
        <f t="shared" si="12"/>
        <v>2.7609819386551691E-5</v>
      </c>
      <c r="P21" s="18">
        <f t="shared" si="13"/>
        <v>2.2198805207942368E-3</v>
      </c>
      <c r="Q21" s="18">
        <f t="shared" si="14"/>
        <v>2.5269669582049236E-8</v>
      </c>
    </row>
    <row r="22" spans="1:17">
      <c r="A22" s="6">
        <v>18</v>
      </c>
      <c r="B22" s="16">
        <f t="shared" si="15"/>
        <v>2.3275903393496167E-2</v>
      </c>
      <c r="C22" s="16">
        <f t="shared" si="16"/>
        <v>2.3271700926813702E-2</v>
      </c>
      <c r="D22" s="16">
        <f t="shared" si="17"/>
        <v>0.48595906567766606</v>
      </c>
      <c r="E22" s="16">
        <f t="shared" si="18"/>
        <v>0.20084331624328158</v>
      </c>
      <c r="F22" s="16">
        <f t="shared" si="19"/>
        <v>0.3133489321341319</v>
      </c>
      <c r="G22" s="17">
        <v>0.31251275507811599</v>
      </c>
      <c r="H22" s="17">
        <v>0.52750319456345507</v>
      </c>
      <c r="I22" s="17">
        <v>0.171732007304878</v>
      </c>
      <c r="J22" s="18">
        <f t="shared" si="5"/>
        <v>0.15684565216284072</v>
      </c>
      <c r="K22" s="19">
        <f t="shared" si="8"/>
        <v>-5.3768162473896319E-2</v>
      </c>
      <c r="L22" s="19">
        <f t="shared" si="9"/>
        <v>5.3940090614636171E-3</v>
      </c>
      <c r="M22" s="19">
        <f t="shared" si="10"/>
        <v>4.8366503101750391E-2</v>
      </c>
      <c r="N22" s="18">
        <f t="shared" si="11"/>
        <v>2.8910152958193124E-3</v>
      </c>
      <c r="O22" s="18">
        <f t="shared" si="12"/>
        <v>2.9095333755151613E-5</v>
      </c>
      <c r="P22" s="18">
        <f t="shared" si="13"/>
        <v>2.3393186222916301E-3</v>
      </c>
      <c r="Q22" s="18">
        <f t="shared" si="14"/>
        <v>2.289594326460499E-8</v>
      </c>
    </row>
    <row r="23" spans="1:17">
      <c r="A23" s="6">
        <v>19</v>
      </c>
      <c r="B23" s="16">
        <f t="shared" si="15"/>
        <v>-8.0646669207597554E-2</v>
      </c>
      <c r="C23" s="16">
        <f t="shared" si="16"/>
        <v>-8.0472283971954023E-2</v>
      </c>
      <c r="D23" s="16">
        <f t="shared" si="17"/>
        <v>0.4319311376813616</v>
      </c>
      <c r="E23" s="16">
        <f t="shared" si="18"/>
        <v>0.20626338491915749</v>
      </c>
      <c r="F23" s="16">
        <f t="shared" si="19"/>
        <v>0.36194910418358683</v>
      </c>
      <c r="G23" s="17">
        <v>0.23552071001902899</v>
      </c>
      <c r="H23" s="17">
        <v>0.55793614971574401</v>
      </c>
      <c r="I23" s="17">
        <v>0.208737490794312</v>
      </c>
      <c r="J23" s="18">
        <f t="shared" si="5"/>
        <v>0.18572458807152026</v>
      </c>
      <c r="K23" s="19">
        <f t="shared" si="8"/>
        <v>-5.4027927996304459E-2</v>
      </c>
      <c r="L23" s="19">
        <f t="shared" si="9"/>
        <v>5.4200686758759109E-3</v>
      </c>
      <c r="M23" s="19">
        <f t="shared" si="10"/>
        <v>4.8600172049454937E-2</v>
      </c>
      <c r="N23" s="18">
        <f t="shared" si="11"/>
        <v>2.919017003573859E-3</v>
      </c>
      <c r="O23" s="18">
        <f t="shared" si="12"/>
        <v>2.937714445121125E-5</v>
      </c>
      <c r="P23" s="18">
        <f t="shared" si="13"/>
        <v>2.3619767232366208E-3</v>
      </c>
      <c r="Q23" s="18">
        <f t="shared" si="14"/>
        <v>2.0628653112618504E-8</v>
      </c>
    </row>
    <row r="24" spans="1:17">
      <c r="A24" s="6">
        <v>20</v>
      </c>
      <c r="B24" s="16">
        <f t="shared" si="15"/>
        <v>-0.18456924180869172</v>
      </c>
      <c r="C24" s="16">
        <f t="shared" si="16"/>
        <v>-0.18250157862139715</v>
      </c>
      <c r="D24" s="16">
        <f t="shared" si="17"/>
        <v>0.37879618831333012</v>
      </c>
      <c r="E24" s="16">
        <f t="shared" si="18"/>
        <v>0.21159387019491371</v>
      </c>
      <c r="F24" s="16">
        <f t="shared" si="19"/>
        <v>0.4097460080608194</v>
      </c>
      <c r="G24" s="17">
        <v>0.188024971201353</v>
      </c>
      <c r="H24" s="17">
        <v>0.5772776209197521</v>
      </c>
      <c r="I24" s="17">
        <v>0.245867937524964</v>
      </c>
      <c r="J24" s="18">
        <f t="shared" si="5"/>
        <v>0.19697428482512566</v>
      </c>
      <c r="K24" s="19">
        <f t="shared" si="8"/>
        <v>-5.3134949368031481E-2</v>
      </c>
      <c r="L24" s="19">
        <f t="shared" si="9"/>
        <v>5.3304852757562193E-3</v>
      </c>
      <c r="M24" s="19">
        <f t="shared" si="10"/>
        <v>4.7796903877232566E-2</v>
      </c>
      <c r="N24" s="18">
        <f t="shared" si="11"/>
        <v>2.823322844343269E-3</v>
      </c>
      <c r="O24" s="18">
        <f t="shared" si="12"/>
        <v>2.8414073275053857E-5</v>
      </c>
      <c r="P24" s="18">
        <f t="shared" si="13"/>
        <v>2.2845440202494097E-3</v>
      </c>
      <c r="Q24" s="18">
        <f t="shared" si="14"/>
        <v>1.8514111216593755E-8</v>
      </c>
    </row>
    <row r="25" spans="1:17">
      <c r="A25" s="6">
        <v>21</v>
      </c>
      <c r="B25" s="16">
        <f t="shared" si="15"/>
        <v>-0.28849181440978522</v>
      </c>
      <c r="C25" s="16">
        <f t="shared" si="16"/>
        <v>-0.28074608886638242</v>
      </c>
      <c r="D25" s="16">
        <f t="shared" si="17"/>
        <v>0.32763228391224408</v>
      </c>
      <c r="E25" s="16">
        <f t="shared" si="18"/>
        <v>0.21672662071606646</v>
      </c>
      <c r="F25" s="16">
        <f t="shared" si="19"/>
        <v>0.45576988217245895</v>
      </c>
      <c r="G25" s="17">
        <v>0.137907399961987</v>
      </c>
      <c r="H25" s="17">
        <v>0.57947852857229998</v>
      </c>
      <c r="I25" s="17">
        <v>0.28965693379235602</v>
      </c>
      <c r="J25" s="18">
        <f t="shared" si="5"/>
        <v>0.1951779898628066</v>
      </c>
      <c r="K25" s="19">
        <f t="shared" si="8"/>
        <v>-5.1163904401086036E-2</v>
      </c>
      <c r="L25" s="19">
        <f t="shared" si="9"/>
        <v>5.1327505211527513E-3</v>
      </c>
      <c r="M25" s="19">
        <f t="shared" si="10"/>
        <v>4.6023874111639551E-2</v>
      </c>
      <c r="N25" s="18">
        <f t="shared" si="11"/>
        <v>2.617745113563471E-3</v>
      </c>
      <c r="O25" s="18">
        <f t="shared" si="12"/>
        <v>2.6345127912393842E-5</v>
      </c>
      <c r="P25" s="18">
        <f t="shared" si="13"/>
        <v>2.1181969882440453E-3</v>
      </c>
      <c r="Q25" s="18">
        <f t="shared" si="14"/>
        <v>1.6586040052456697E-8</v>
      </c>
    </row>
    <row r="26" spans="1:17">
      <c r="A26" s="6">
        <v>22</v>
      </c>
      <c r="B26" s="16">
        <f t="shared" si="15"/>
        <v>-0.39241438701087916</v>
      </c>
      <c r="C26" s="16">
        <f t="shared" si="16"/>
        <v>-0.37343978200803563</v>
      </c>
      <c r="D26" s="16">
        <f t="shared" si="17"/>
        <v>0.27935914129433159</v>
      </c>
      <c r="E26" s="16">
        <f t="shared" si="18"/>
        <v>0.22156937071394414</v>
      </c>
      <c r="F26" s="16">
        <f t="shared" si="19"/>
        <v>0.49919340633127729</v>
      </c>
      <c r="G26" s="17">
        <v>9.9076317792327895E-2</v>
      </c>
      <c r="H26" s="17">
        <v>0.57261055388682602</v>
      </c>
      <c r="I26" s="17">
        <v>0.33141838551950203</v>
      </c>
      <c r="J26" s="18">
        <f t="shared" si="5"/>
        <v>0.18388026634166307</v>
      </c>
      <c r="K26" s="19">
        <f t="shared" si="8"/>
        <v>-4.827314261791249E-2</v>
      </c>
      <c r="L26" s="19">
        <f t="shared" si="9"/>
        <v>4.8427499978776767E-3</v>
      </c>
      <c r="M26" s="19">
        <f t="shared" si="10"/>
        <v>4.3423524158818338E-2</v>
      </c>
      <c r="N26" s="18">
        <f t="shared" si="11"/>
        <v>2.3302962982093191E-3</v>
      </c>
      <c r="O26" s="18">
        <f t="shared" si="12"/>
        <v>2.3452227541944239E-5</v>
      </c>
      <c r="P26" s="18">
        <f t="shared" si="13"/>
        <v>1.8856024503714798E-3</v>
      </c>
      <c r="Q26" s="18">
        <f t="shared" si="14"/>
        <v>1.4864081519332428E-8</v>
      </c>
    </row>
    <row r="27" spans="1:17">
      <c r="A27" s="6">
        <v>23</v>
      </c>
      <c r="B27" s="16">
        <f t="shared" si="15"/>
        <v>-0.49633695961197311</v>
      </c>
      <c r="C27" s="16">
        <f t="shared" si="16"/>
        <v>-0.4592314956428446</v>
      </c>
      <c r="D27" s="16">
        <f t="shared" si="17"/>
        <v>0.23468042058137686</v>
      </c>
      <c r="E27" s="16">
        <f t="shared" si="18"/>
        <v>0.22605152917523211</v>
      </c>
      <c r="F27" s="16">
        <f t="shared" si="19"/>
        <v>0.53938361154787684</v>
      </c>
      <c r="G27" s="17">
        <v>7.6771548896384309E-2</v>
      </c>
      <c r="H27" s="17">
        <v>0.554625055849157</v>
      </c>
      <c r="I27" s="17">
        <v>0.37486334043008496</v>
      </c>
      <c r="J27" s="18">
        <f t="shared" si="5"/>
        <v>0.15996269379643963</v>
      </c>
      <c r="K27" s="19">
        <f t="shared" si="8"/>
        <v>-4.4678720712954728E-2</v>
      </c>
      <c r="L27" s="19">
        <f t="shared" si="9"/>
        <v>4.4821584612879661E-3</v>
      </c>
      <c r="M27" s="19">
        <f t="shared" si="10"/>
        <v>4.019020521659955E-2</v>
      </c>
      <c r="N27" s="18">
        <f t="shared" si="11"/>
        <v>1.9961880845462097E-3</v>
      </c>
      <c r="O27" s="18">
        <f t="shared" si="12"/>
        <v>2.0089744472095309E-5</v>
      </c>
      <c r="P27" s="18">
        <f t="shared" si="13"/>
        <v>1.6152525953523856E-3</v>
      </c>
      <c r="Q27" s="18">
        <f t="shared" si="14"/>
        <v>1.3354415094475314E-8</v>
      </c>
    </row>
    <row r="28" spans="1:17">
      <c r="A28" s="6">
        <v>24</v>
      </c>
      <c r="B28" s="16">
        <f t="shared" si="15"/>
        <v>-0.60025953221306705</v>
      </c>
      <c r="C28" s="16">
        <f t="shared" si="16"/>
        <v>-0.53723421860833454</v>
      </c>
      <c r="D28" s="16">
        <f t="shared" si="17"/>
        <v>0.194058060605447</v>
      </c>
      <c r="E28" s="16">
        <f t="shared" si="18"/>
        <v>0.23012675450796655</v>
      </c>
      <c r="F28" s="16">
        <f t="shared" si="19"/>
        <v>0.57592496630832823</v>
      </c>
      <c r="G28" s="17">
        <v>5.50331848909218E-2</v>
      </c>
      <c r="H28" s="17">
        <v>0.53385373128166391</v>
      </c>
      <c r="I28" s="17">
        <v>0.41205954274061996</v>
      </c>
      <c r="J28" s="18">
        <f t="shared" si="5"/>
        <v>0.13842986952855374</v>
      </c>
      <c r="K28" s="19">
        <f t="shared" si="8"/>
        <v>-4.0622359975929861E-2</v>
      </c>
      <c r="L28" s="19">
        <f t="shared" si="9"/>
        <v>4.075225332734439E-3</v>
      </c>
      <c r="M28" s="19">
        <f t="shared" si="10"/>
        <v>3.6541354760451394E-2</v>
      </c>
      <c r="N28" s="18">
        <f t="shared" si="11"/>
        <v>1.6501761300140283E-3</v>
      </c>
      <c r="O28" s="18">
        <f t="shared" si="12"/>
        <v>1.6607461512560521E-5</v>
      </c>
      <c r="P28" s="18">
        <f t="shared" si="13"/>
        <v>1.3352706077291638E-3</v>
      </c>
      <c r="Q28" s="18">
        <f t="shared" si="14"/>
        <v>1.2051960559622987E-8</v>
      </c>
    </row>
    <row r="29" spans="1:17">
      <c r="A29" s="6">
        <v>25</v>
      </c>
      <c r="B29" s="16">
        <f t="shared" si="15"/>
        <v>-0.70418210481416099</v>
      </c>
      <c r="C29" s="16">
        <f t="shared" si="16"/>
        <v>-0.60701561668295734</v>
      </c>
      <c r="D29" s="16">
        <f t="shared" si="17"/>
        <v>0.15771721294728108</v>
      </c>
      <c r="E29" s="16">
        <f t="shared" si="18"/>
        <v>0.23377245955999584</v>
      </c>
      <c r="F29" s="16">
        <f t="shared" si="19"/>
        <v>0.60861493821934987</v>
      </c>
      <c r="G29" s="17">
        <v>4.1882891498532304E-2</v>
      </c>
      <c r="H29" s="17">
        <v>0.51004856673586696</v>
      </c>
      <c r="I29" s="17">
        <v>0.44388223355148898</v>
      </c>
      <c r="J29" s="18">
        <f t="shared" si="5"/>
        <v>0.11688294140893417</v>
      </c>
      <c r="K29" s="19">
        <f t="shared" si="8"/>
        <v>-3.634084765816592E-2</v>
      </c>
      <c r="L29" s="19">
        <f t="shared" si="9"/>
        <v>3.6457050520292966E-3</v>
      </c>
      <c r="M29" s="19">
        <f t="shared" si="10"/>
        <v>3.2689971911021631E-2</v>
      </c>
      <c r="N29" s="18">
        <f t="shared" si="11"/>
        <v>1.3206572085140234E-3</v>
      </c>
      <c r="O29" s="18">
        <f t="shared" si="12"/>
        <v>1.3291165326391937E-5</v>
      </c>
      <c r="P29" s="18">
        <f t="shared" si="13"/>
        <v>1.0686342635433832E-3</v>
      </c>
      <c r="Q29" s="18">
        <f t="shared" si="14"/>
        <v>1.0943404125414339E-8</v>
      </c>
    </row>
    <row r="30" spans="1:17">
      <c r="A30" s="6">
        <v>26</v>
      </c>
      <c r="B30" s="16">
        <f t="shared" si="15"/>
        <v>-0.80810467741525494</v>
      </c>
      <c r="C30" s="16">
        <f t="shared" si="16"/>
        <v>-0.66854337969884492</v>
      </c>
      <c r="D30" s="16">
        <f t="shared" si="17"/>
        <v>0.12567470413831455</v>
      </c>
      <c r="E30" s="16">
        <f t="shared" si="18"/>
        <v>0.23698695629775407</v>
      </c>
      <c r="F30" s="16">
        <f t="shared" si="19"/>
        <v>0.63743839117720658</v>
      </c>
      <c r="G30" s="17">
        <v>2.6899076645389701E-2</v>
      </c>
      <c r="H30" s="17">
        <v>0.48054748715594703</v>
      </c>
      <c r="I30" s="17">
        <v>0.487722954635535</v>
      </c>
      <c r="J30" s="18">
        <f t="shared" si="5"/>
        <v>9.1493068717409115E-2</v>
      </c>
      <c r="K30" s="19">
        <f t="shared" si="8"/>
        <v>-3.204250880896653E-2</v>
      </c>
      <c r="L30" s="19">
        <f t="shared" si="9"/>
        <v>3.2144967377582268E-3</v>
      </c>
      <c r="M30" s="19">
        <f t="shared" si="10"/>
        <v>2.882345295785671E-2</v>
      </c>
      <c r="N30" s="18">
        <f t="shared" si="11"/>
        <v>1.0267223707726976E-3</v>
      </c>
      <c r="O30" s="18">
        <f t="shared" si="12"/>
        <v>1.0332989277058283E-5</v>
      </c>
      <c r="P30" s="18">
        <f t="shared" si="13"/>
        <v>8.3079144041377868E-4</v>
      </c>
      <c r="Q30" s="18">
        <f t="shared" si="14"/>
        <v>1.0010325318969835E-8</v>
      </c>
    </row>
    <row r="31" spans="1:17">
      <c r="A31" s="6">
        <v>27</v>
      </c>
      <c r="B31" s="16">
        <f t="shared" si="15"/>
        <v>-0.91202725001634888</v>
      </c>
      <c r="C31" s="16">
        <f t="shared" si="16"/>
        <v>-0.72210384804506345</v>
      </c>
      <c r="D31" s="16">
        <f t="shared" si="17"/>
        <v>9.7781413456627886E-2</v>
      </c>
      <c r="E31" s="16">
        <f t="shared" si="18"/>
        <v>0.23978520447601573</v>
      </c>
      <c r="F31" s="16">
        <f t="shared" si="19"/>
        <v>0.66252946493165732</v>
      </c>
      <c r="G31" s="17">
        <v>2.8643066551244298E-2</v>
      </c>
      <c r="H31" s="17">
        <v>0.45621581041098197</v>
      </c>
      <c r="I31" s="17">
        <v>0.51359201939365806</v>
      </c>
      <c r="J31" s="18">
        <f t="shared" si="5"/>
        <v>7.38046808815703E-2</v>
      </c>
      <c r="K31" s="19">
        <f t="shared" si="8"/>
        <v>-2.7893290681686667E-2</v>
      </c>
      <c r="L31" s="19">
        <f t="shared" si="9"/>
        <v>2.7982481782616586E-3</v>
      </c>
      <c r="M31" s="19">
        <f t="shared" si="10"/>
        <v>2.5091073754450743E-2</v>
      </c>
      <c r="N31" s="18">
        <f t="shared" si="11"/>
        <v>7.7803566505306823E-4</v>
      </c>
      <c r="O31" s="18">
        <f t="shared" si="12"/>
        <v>7.8301928671446907E-6</v>
      </c>
      <c r="P31" s="18">
        <f t="shared" si="13"/>
        <v>6.2956198215128689E-4</v>
      </c>
      <c r="Q31" s="18">
        <f t="shared" si="14"/>
        <v>9.2319168122556415E-9</v>
      </c>
    </row>
    <row r="32" spans="1:17">
      <c r="A32" s="6">
        <v>28</v>
      </c>
      <c r="B32" s="16">
        <f t="shared" si="15"/>
        <v>-1.0159498226174424</v>
      </c>
      <c r="C32" s="16">
        <f t="shared" si="16"/>
        <v>-0.76821172550732386</v>
      </c>
      <c r="D32" s="16">
        <f t="shared" si="17"/>
        <v>7.3769292792242036E-2</v>
      </c>
      <c r="E32" s="16">
        <f t="shared" si="18"/>
        <v>0.24219409461637595</v>
      </c>
      <c r="F32" s="16">
        <f t="shared" si="19"/>
        <v>0.68412927893232101</v>
      </c>
      <c r="G32" s="17">
        <v>1.8585382566350301E-2</v>
      </c>
      <c r="H32" s="17">
        <v>0.43462182741029998</v>
      </c>
      <c r="I32" s="17">
        <v>0.547713142498501</v>
      </c>
      <c r="J32" s="18">
        <f t="shared" si="5"/>
        <v>5.8683058575559693E-2</v>
      </c>
      <c r="K32" s="19">
        <f t="shared" si="8"/>
        <v>-2.401212066438585E-2</v>
      </c>
      <c r="L32" s="19">
        <f t="shared" si="9"/>
        <v>2.4088901403602203E-3</v>
      </c>
      <c r="M32" s="19">
        <f t="shared" si="10"/>
        <v>2.1599814000663686E-2</v>
      </c>
      <c r="N32" s="18">
        <f t="shared" si="11"/>
        <v>5.7658193880102591E-4</v>
      </c>
      <c r="O32" s="18">
        <f t="shared" si="12"/>
        <v>5.8027517083246816E-6</v>
      </c>
      <c r="P32" s="18">
        <f t="shared" si="13"/>
        <v>4.6655196486326703E-4</v>
      </c>
      <c r="Q32" s="18">
        <f t="shared" si="14"/>
        <v>8.5870507429955089E-9</v>
      </c>
    </row>
    <row r="33" spans="1:17">
      <c r="A33" s="6">
        <v>29</v>
      </c>
      <c r="B33" s="16">
        <f t="shared" si="15"/>
        <v>-1.1198723952185363</v>
      </c>
      <c r="C33" s="16">
        <f t="shared" si="16"/>
        <v>-0.80752452692138932</v>
      </c>
      <c r="D33" s="16">
        <f t="shared" si="17"/>
        <v>5.3295920709950095E-2</v>
      </c>
      <c r="E33" s="16">
        <f t="shared" si="18"/>
        <v>0.24424797835443773</v>
      </c>
      <c r="F33" s="16">
        <f t="shared" si="19"/>
        <v>0.70254585425795546</v>
      </c>
      <c r="G33" s="17">
        <v>1.6441050975567299E-2</v>
      </c>
      <c r="H33" s="17">
        <v>0.40770546813070097</v>
      </c>
      <c r="I33" s="17">
        <v>0.57331041777418701</v>
      </c>
      <c r="J33" s="18">
        <f t="shared" si="5"/>
        <v>4.477843043024568E-2</v>
      </c>
      <c r="K33" s="19">
        <f t="shared" si="8"/>
        <v>-2.0473372082291941E-2</v>
      </c>
      <c r="L33" s="19">
        <f t="shared" si="9"/>
        <v>2.0538837380617847E-3</v>
      </c>
      <c r="M33" s="19">
        <f t="shared" si="10"/>
        <v>1.8416575325634454E-2</v>
      </c>
      <c r="N33" s="18">
        <f t="shared" si="11"/>
        <v>4.1915896441997106E-4</v>
      </c>
      <c r="O33" s="18">
        <f t="shared" si="12"/>
        <v>4.2184384094746502E-6</v>
      </c>
      <c r="P33" s="18">
        <f t="shared" si="13"/>
        <v>3.3917024672476781E-4</v>
      </c>
      <c r="Q33" s="18">
        <f t="shared" si="14"/>
        <v>8.0556588716383971E-9</v>
      </c>
    </row>
    <row r="34" spans="1:17">
      <c r="A34" s="6">
        <v>30</v>
      </c>
      <c r="B34" s="16">
        <f t="shared" si="15"/>
        <v>-1.2237949678196303</v>
      </c>
      <c r="C34" s="16">
        <f t="shared" si="16"/>
        <v>-0.84077005747529876</v>
      </c>
      <c r="D34" s="16">
        <f t="shared" si="17"/>
        <v>3.5982269873053307E-2</v>
      </c>
      <c r="E34" s="16">
        <f t="shared" si="18"/>
        <v>0.24598487962099261</v>
      </c>
      <c r="F34" s="16">
        <f t="shared" si="19"/>
        <v>0.71812014038521399</v>
      </c>
      <c r="G34" s="17">
        <v>1.6927265894710001E-2</v>
      </c>
      <c r="H34" s="17">
        <v>0.38076372682378795</v>
      </c>
      <c r="I34" s="17">
        <v>0.602138744531867</v>
      </c>
      <c r="J34" s="18">
        <f t="shared" si="5"/>
        <v>3.1980115014019907E-2</v>
      </c>
      <c r="K34" s="19">
        <f t="shared" si="8"/>
        <v>-1.7313650836896788E-2</v>
      </c>
      <c r="L34" s="19">
        <f t="shared" si="9"/>
        <v>1.7369012665548744E-3</v>
      </c>
      <c r="M34" s="19">
        <f t="shared" si="10"/>
        <v>1.557428612725853E-2</v>
      </c>
      <c r="N34" s="18">
        <f t="shared" si="11"/>
        <v>2.9976250530197682E-4</v>
      </c>
      <c r="O34" s="18">
        <f t="shared" si="12"/>
        <v>3.0168260097599269E-6</v>
      </c>
      <c r="P34" s="18">
        <f t="shared" si="13"/>
        <v>2.4255838837371749E-4</v>
      </c>
      <c r="Q34" s="18">
        <f t="shared" si="14"/>
        <v>7.6195230212039957E-9</v>
      </c>
    </row>
    <row r="35" spans="1:17">
      <c r="A35" s="6">
        <v>31</v>
      </c>
      <c r="B35" s="16">
        <f t="shared" si="15"/>
        <v>-1.3277175404207242</v>
      </c>
      <c r="C35" s="16">
        <f t="shared" si="16"/>
        <v>-0.86869037924446935</v>
      </c>
      <c r="D35" s="16">
        <f t="shared" si="17"/>
        <v>2.1441888224417394E-2</v>
      </c>
      <c r="E35" s="16">
        <f t="shared" si="18"/>
        <v>0.24744356719299135</v>
      </c>
      <c r="F35" s="16">
        <f t="shared" si="19"/>
        <v>0.73119976560861288</v>
      </c>
      <c r="G35" s="17">
        <v>5.5360201456173194E-3</v>
      </c>
      <c r="H35" s="17">
        <v>0.35516465630493699</v>
      </c>
      <c r="I35" s="17">
        <v>0.624921752972462</v>
      </c>
      <c r="J35" s="18">
        <f t="shared" si="5"/>
        <v>2.3151845648693773E-2</v>
      </c>
      <c r="K35" s="19">
        <f t="shared" si="8"/>
        <v>-1.4540381648635914E-2</v>
      </c>
      <c r="L35" s="19">
        <f t="shared" si="9"/>
        <v>1.4586875719987402E-3</v>
      </c>
      <c r="M35" s="19">
        <f t="shared" si="10"/>
        <v>1.3079625223398894E-2</v>
      </c>
      <c r="N35" s="18">
        <f t="shared" si="11"/>
        <v>2.1142269848798805E-4</v>
      </c>
      <c r="O35" s="18">
        <f t="shared" si="12"/>
        <v>2.1277694327035797E-6</v>
      </c>
      <c r="P35" s="18">
        <f t="shared" si="13"/>
        <v>1.7107659598457258E-4</v>
      </c>
      <c r="Q35" s="18">
        <f t="shared" si="14"/>
        <v>7.2626232761738798E-9</v>
      </c>
    </row>
    <row r="36" spans="1:17">
      <c r="A36" s="6">
        <v>32</v>
      </c>
      <c r="B36" s="16">
        <f t="shared" si="15"/>
        <v>-1.4316401130218182</v>
      </c>
      <c r="C36" s="16">
        <f t="shared" si="16"/>
        <v>-0.89200221738744878</v>
      </c>
      <c r="D36" s="16">
        <f t="shared" si="17"/>
        <v>9.3015186995780152E-3</v>
      </c>
      <c r="E36" s="16">
        <f t="shared" si="18"/>
        <v>0.24866148612890984</v>
      </c>
      <c r="F36" s="16">
        <f t="shared" si="19"/>
        <v>0.74212048882589987</v>
      </c>
      <c r="G36" s="17">
        <v>5.5516744239331806E-3</v>
      </c>
      <c r="H36" s="17">
        <v>0.33275256354035898</v>
      </c>
      <c r="I36" s="17">
        <v>0.65513191440359508</v>
      </c>
      <c r="J36" s="18">
        <f t="shared" si="5"/>
        <v>1.4652382712334776E-2</v>
      </c>
      <c r="K36" s="19">
        <f t="shared" si="8"/>
        <v>-1.2140369524839378E-2</v>
      </c>
      <c r="L36" s="19">
        <f t="shared" si="9"/>
        <v>1.2179189359184939E-3</v>
      </c>
      <c r="M36" s="19">
        <f t="shared" si="10"/>
        <v>1.0920723217286987E-2</v>
      </c>
      <c r="N36" s="18">
        <f t="shared" si="11"/>
        <v>1.4738857219964873E-4</v>
      </c>
      <c r="O36" s="18">
        <f t="shared" si="12"/>
        <v>1.4833265344688363E-6</v>
      </c>
      <c r="P36" s="18">
        <f t="shared" si="13"/>
        <v>1.1926219558859104E-4</v>
      </c>
      <c r="Q36" s="18">
        <f t="shared" si="14"/>
        <v>6.9711903230035482E-9</v>
      </c>
    </row>
    <row r="37" spans="1:17">
      <c r="A37" s="6">
        <v>33</v>
      </c>
      <c r="B37" s="16">
        <f t="shared" si="15"/>
        <v>-1.5355626856229121</v>
      </c>
      <c r="C37" s="16">
        <f t="shared" si="16"/>
        <v>-0.91137171356287494</v>
      </c>
      <c r="D37" s="16">
        <f t="shared" si="17"/>
        <v>-7.8575282475928931E-4</v>
      </c>
      <c r="E37" s="16">
        <f t="shared" si="18"/>
        <v>0.24967343876973397</v>
      </c>
      <c r="F37" s="16">
        <f t="shared" si="19"/>
        <v>0.75119437245930332</v>
      </c>
      <c r="G37" s="17">
        <v>1.2931474477337201E-2</v>
      </c>
      <c r="H37" s="17">
        <v>0.31162242112024097</v>
      </c>
      <c r="I37" s="17">
        <v>0.68166378325101906</v>
      </c>
      <c r="J37" s="18">
        <f t="shared" si="5"/>
        <v>8.8603415747719842E-3</v>
      </c>
      <c r="K37" s="19">
        <f t="shared" si="8"/>
        <v>-1.0087271524337305E-2</v>
      </c>
      <c r="L37" s="19">
        <f t="shared" si="9"/>
        <v>1.0119526408241264E-3</v>
      </c>
      <c r="M37" s="19">
        <f t="shared" si="10"/>
        <v>9.0738836334034456E-3</v>
      </c>
      <c r="N37" s="18">
        <f t="shared" si="11"/>
        <v>1.0175304680570624E-4</v>
      </c>
      <c r="O37" s="18">
        <f t="shared" si="12"/>
        <v>1.0240481472709234E-6</v>
      </c>
      <c r="P37" s="18">
        <f t="shared" si="13"/>
        <v>8.2335364192546919E-5</v>
      </c>
      <c r="Q37" s="18">
        <f t="shared" si="14"/>
        <v>6.733581712651021E-9</v>
      </c>
    </row>
    <row r="38" spans="1:17">
      <c r="A38" s="6">
        <v>34</v>
      </c>
      <c r="B38" s="16">
        <f t="shared" si="15"/>
        <v>-1.639485258224006</v>
      </c>
      <c r="C38" s="16">
        <f t="shared" si="16"/>
        <v>-0.92740057474747906</v>
      </c>
      <c r="D38" s="16">
        <f t="shared" si="17"/>
        <v>-9.1332840940621662E-3</v>
      </c>
      <c r="E38" s="16">
        <f t="shared" si="18"/>
        <v>0.25051086108873788</v>
      </c>
      <c r="F38" s="16">
        <f t="shared" si="19"/>
        <v>0.75870329369544753</v>
      </c>
      <c r="G38" s="17">
        <v>8.6066661943624695E-3</v>
      </c>
      <c r="H38" s="17">
        <v>0.29035002727487702</v>
      </c>
      <c r="I38" s="17">
        <v>0.69814062804294097</v>
      </c>
      <c r="J38" s="18">
        <f t="shared" si="5"/>
        <v>5.5697014695798887E-3</v>
      </c>
      <c r="K38" s="19">
        <f t="shared" si="8"/>
        <v>-8.3475312693028769E-3</v>
      </c>
      <c r="L38" s="19">
        <f t="shared" si="9"/>
        <v>8.3742231900391095E-4</v>
      </c>
      <c r="M38" s="19">
        <f t="shared" si="10"/>
        <v>7.508921236144217E-3</v>
      </c>
      <c r="N38" s="18">
        <f t="shared" si="11"/>
        <v>6.9681278291989306E-5</v>
      </c>
      <c r="O38" s="18">
        <f t="shared" si="12"/>
        <v>7.0127614036588797E-7</v>
      </c>
      <c r="P38" s="18">
        <f t="shared" si="13"/>
        <v>5.6383898130617598E-5</v>
      </c>
      <c r="Q38" s="18">
        <f t="shared" si="14"/>
        <v>6.5400685210012601E-9</v>
      </c>
    </row>
    <row r="39" spans="1:17">
      <c r="A39" s="6">
        <v>35</v>
      </c>
      <c r="B39" s="16">
        <f t="shared" si="15"/>
        <v>-1.7434078308251</v>
      </c>
      <c r="C39" s="16">
        <f t="shared" si="16"/>
        <v>-0.94062059589275515</v>
      </c>
      <c r="D39" s="16">
        <f t="shared" si="17"/>
        <v>-1.6018023977955764E-2</v>
      </c>
      <c r="E39" s="16">
        <f t="shared" si="18"/>
        <v>0.25120153652957283</v>
      </c>
      <c r="F39" s="16">
        <f t="shared" si="19"/>
        <v>0.76489637855511239</v>
      </c>
      <c r="G39" s="17">
        <v>7.3575980325581393E-3</v>
      </c>
      <c r="H39" s="17">
        <v>0.272509543831852</v>
      </c>
      <c r="I39" s="17">
        <v>0.71941411557586699</v>
      </c>
      <c r="J39" s="18">
        <f t="shared" si="5"/>
        <v>3.0690871252856415E-3</v>
      </c>
      <c r="K39" s="19">
        <f t="shared" si="8"/>
        <v>-6.884739883893598E-3</v>
      </c>
      <c r="L39" s="19">
        <f t="shared" si="9"/>
        <v>6.9067544083495358E-4</v>
      </c>
      <c r="M39" s="19">
        <f t="shared" si="10"/>
        <v>6.1930848596648547E-3</v>
      </c>
      <c r="N39" s="18">
        <f t="shared" si="11"/>
        <v>4.7399643268875231E-5</v>
      </c>
      <c r="O39" s="18">
        <f t="shared" si="12"/>
        <v>4.7703256457255744E-7</v>
      </c>
      <c r="P39" s="18">
        <f t="shared" si="13"/>
        <v>3.8354300079010054E-5</v>
      </c>
      <c r="Q39" s="18">
        <f t="shared" si="14"/>
        <v>6.3825889344575224E-9</v>
      </c>
    </row>
    <row r="40" spans="1:17">
      <c r="A40" s="6">
        <v>36</v>
      </c>
      <c r="B40" s="16">
        <f t="shared" si="15"/>
        <v>-1.8473304034261939</v>
      </c>
      <c r="C40" s="16">
        <f t="shared" si="16"/>
        <v>-0.951493895705674</v>
      </c>
      <c r="D40" s="16">
        <f t="shared" si="17"/>
        <v>-2.1680635260410863E-2</v>
      </c>
      <c r="E40" s="16">
        <f t="shared" si="18"/>
        <v>0.25176960832454887</v>
      </c>
      <c r="F40" s="16">
        <f t="shared" si="19"/>
        <v>0.76999011234766723</v>
      </c>
      <c r="G40" s="17">
        <v>2.8505374714209897E-3</v>
      </c>
      <c r="H40" s="17">
        <v>0.25622929206750999</v>
      </c>
      <c r="I40" s="17">
        <v>0.73983758563310398</v>
      </c>
      <c r="J40" s="18">
        <f t="shared" si="5"/>
        <v>1.5308420819586531E-3</v>
      </c>
      <c r="K40" s="19">
        <f t="shared" si="8"/>
        <v>-5.6626112824550989E-3</v>
      </c>
      <c r="L40" s="19">
        <f t="shared" si="9"/>
        <v>5.6807179497603277E-4</v>
      </c>
      <c r="M40" s="19">
        <f t="shared" si="10"/>
        <v>5.0937337925548443E-3</v>
      </c>
      <c r="N40" s="18">
        <f t="shared" si="11"/>
        <v>3.2065166536187779E-5</v>
      </c>
      <c r="O40" s="18">
        <f t="shared" si="12"/>
        <v>3.2270556424729181E-7</v>
      </c>
      <c r="P40" s="18">
        <f t="shared" si="13"/>
        <v>2.5946123949415156E-5</v>
      </c>
      <c r="Q40" s="18">
        <f t="shared" si="14"/>
        <v>6.2545023603860928E-9</v>
      </c>
    </row>
    <row r="41" spans="1:17">
      <c r="A41" s="6">
        <v>37</v>
      </c>
      <c r="B41" s="16">
        <f t="shared" si="15"/>
        <v>-1.9512529760272874</v>
      </c>
      <c r="C41" s="16">
        <f t="shared" si="16"/>
        <v>-0.96041673618191392</v>
      </c>
      <c r="D41" s="16">
        <f t="shared" si="17"/>
        <v>-2.6327483781249994E-2</v>
      </c>
      <c r="E41" s="16">
        <f t="shared" si="18"/>
        <v>0.25223577904483008</v>
      </c>
      <c r="F41" s="16">
        <f t="shared" si="19"/>
        <v>0.77417012897936166</v>
      </c>
      <c r="G41" s="17">
        <v>-2.1838521820841201E-4</v>
      </c>
      <c r="H41" s="17">
        <v>0.23591031536785101</v>
      </c>
      <c r="I41" s="17">
        <v>0.75684413386429605</v>
      </c>
      <c r="J41" s="18">
        <f t="shared" si="5"/>
        <v>1.2483958987702603E-3</v>
      </c>
      <c r="K41" s="19">
        <f t="shared" si="8"/>
        <v>-4.6468485208391308E-3</v>
      </c>
      <c r="L41" s="19">
        <f t="shared" si="9"/>
        <v>4.6617072028121154E-4</v>
      </c>
      <c r="M41" s="19">
        <f t="shared" si="10"/>
        <v>4.1800166316944276E-3</v>
      </c>
      <c r="N41" s="18">
        <f t="shared" si="11"/>
        <v>2.1593201175624819E-5</v>
      </c>
      <c r="O41" s="18">
        <f t="shared" si="12"/>
        <v>2.1731514044750356E-7</v>
      </c>
      <c r="P41" s="18">
        <f t="shared" si="13"/>
        <v>1.7472539041242027E-5</v>
      </c>
      <c r="Q41" s="18">
        <f t="shared" si="14"/>
        <v>6.1503618809769238E-9</v>
      </c>
    </row>
    <row r="42" spans="1:17">
      <c r="A42" s="6">
        <v>38</v>
      </c>
      <c r="B42" s="16">
        <f t="shared" si="15"/>
        <v>-2.0551755486283811</v>
      </c>
      <c r="C42" s="16">
        <f t="shared" si="16"/>
        <v>-0.96772533982853981</v>
      </c>
      <c r="D42" s="16">
        <f t="shared" si="17"/>
        <v>-3.0133667936974751E-2</v>
      </c>
      <c r="E42" s="16">
        <f t="shared" si="18"/>
        <v>0.25261761451922526</v>
      </c>
      <c r="F42" s="16">
        <f t="shared" si="19"/>
        <v>0.77759393610431338</v>
      </c>
      <c r="G42" s="17">
        <v>8.2348707294253292E-3</v>
      </c>
      <c r="H42" s="17">
        <v>0.22078107592961702</v>
      </c>
      <c r="I42" s="17">
        <v>0.7750441208199299</v>
      </c>
      <c r="J42" s="18">
        <f t="shared" si="5"/>
        <v>2.4922115067471289E-3</v>
      </c>
      <c r="K42" s="19">
        <f t="shared" si="8"/>
        <v>-3.8061841557247567E-3</v>
      </c>
      <c r="L42" s="19">
        <f t="shared" si="9"/>
        <v>3.8183547439518684E-4</v>
      </c>
      <c r="M42" s="19">
        <f t="shared" si="10"/>
        <v>3.4238071249517166E-3</v>
      </c>
      <c r="N42" s="18">
        <f t="shared" si="11"/>
        <v>1.4487037827290178E-5</v>
      </c>
      <c r="O42" s="18">
        <f t="shared" si="12"/>
        <v>1.4579832950659738E-7</v>
      </c>
      <c r="P42" s="18">
        <f t="shared" si="13"/>
        <v>1.1722455228870139E-5</v>
      </c>
      <c r="Q42" s="18">
        <f t="shared" si="14"/>
        <v>6.0657128664178434E-9</v>
      </c>
    </row>
    <row r="43" spans="1:17">
      <c r="A43" s="6">
        <v>39</v>
      </c>
      <c r="B43" s="16">
        <f t="shared" si="15"/>
        <v>-2.1590981212294755</v>
      </c>
      <c r="C43" s="16">
        <f t="shared" si="16"/>
        <v>-0.97370259396256664</v>
      </c>
      <c r="D43" s="16">
        <f t="shared" si="17"/>
        <v>-3.3246510154130104E-2</v>
      </c>
      <c r="E43" s="16">
        <f t="shared" si="18"/>
        <v>0.25292989409795175</v>
      </c>
      <c r="F43" s="16">
        <f t="shared" si="19"/>
        <v>0.78039405583733201</v>
      </c>
      <c r="G43" s="17">
        <v>3.9663387236011597E-3</v>
      </c>
      <c r="H43" s="17">
        <v>0.204823212440885</v>
      </c>
      <c r="I43" s="17">
        <v>0.78395269848070492</v>
      </c>
      <c r="J43" s="18">
        <f t="shared" si="5"/>
        <v>3.7117128791144594E-3</v>
      </c>
      <c r="K43" s="19">
        <f t="shared" si="8"/>
        <v>-3.1128422171553538E-3</v>
      </c>
      <c r="L43" s="19">
        <f t="shared" si="9"/>
        <v>3.1227957872648204E-4</v>
      </c>
      <c r="M43" s="19">
        <f t="shared" si="10"/>
        <v>2.8001197330186356E-3</v>
      </c>
      <c r="N43" s="18">
        <f t="shared" si="11"/>
        <v>9.6897866689046594E-6</v>
      </c>
      <c r="O43" s="18">
        <f t="shared" si="12"/>
        <v>9.7518535289589099E-8</v>
      </c>
      <c r="P43" s="18">
        <f t="shared" si="13"/>
        <v>7.8406705192403554E-6</v>
      </c>
      <c r="Q43" s="18">
        <f t="shared" si="14"/>
        <v>5.9969197051172651E-9</v>
      </c>
    </row>
    <row r="44" spans="1:17">
      <c r="A44" s="6">
        <v>40</v>
      </c>
      <c r="B44" s="16">
        <f t="shared" si="15"/>
        <v>-2.2630206938305699</v>
      </c>
      <c r="C44" s="16">
        <f t="shared" si="16"/>
        <v>-0.97858491053231333</v>
      </c>
      <c r="D44" s="16">
        <f t="shared" si="17"/>
        <v>-3.5789129356032123E-2</v>
      </c>
      <c r="E44" s="16">
        <f t="shared" si="18"/>
        <v>0.25318496904163368</v>
      </c>
      <c r="F44" s="16">
        <f t="shared" si="19"/>
        <v>0.78268123832334435</v>
      </c>
      <c r="G44" s="17">
        <v>7.9785242352294391E-3</v>
      </c>
      <c r="H44" s="17">
        <v>0.19286137258476199</v>
      </c>
      <c r="I44" s="17">
        <v>0.80233719563429595</v>
      </c>
      <c r="J44" s="18">
        <f t="shared" si="5"/>
        <v>5.9409004481861252E-3</v>
      </c>
      <c r="K44" s="19">
        <f t="shared" si="8"/>
        <v>-2.5426192019020188E-3</v>
      </c>
      <c r="L44" s="19">
        <f t="shared" si="9"/>
        <v>2.5507494368193218E-4</v>
      </c>
      <c r="M44" s="19">
        <f t="shared" si="10"/>
        <v>2.2871824860123402E-3</v>
      </c>
      <c r="N44" s="18">
        <f t="shared" si="11"/>
        <v>6.4649124058808589E-6</v>
      </c>
      <c r="O44" s="18">
        <f t="shared" si="12"/>
        <v>6.5063226894340867E-8</v>
      </c>
      <c r="P44" s="18">
        <f t="shared" si="13"/>
        <v>5.2312037243215891E-6</v>
      </c>
      <c r="Q44" s="18">
        <f t="shared" si="14"/>
        <v>5.941019463056881E-9</v>
      </c>
    </row>
    <row r="45" spans="1:17">
      <c r="A45" s="6">
        <v>41</v>
      </c>
      <c r="B45" s="16">
        <f t="shared" si="15"/>
        <v>-2.3669432664316634</v>
      </c>
      <c r="C45" s="16">
        <f t="shared" si="16"/>
        <v>-0.98256879274749576</v>
      </c>
      <c r="D45" s="16">
        <f t="shared" si="17"/>
        <v>-3.7863860740966537E-2</v>
      </c>
      <c r="E45" s="16">
        <f t="shared" si="18"/>
        <v>0.25339310559262462</v>
      </c>
      <c r="F45" s="16">
        <f t="shared" si="19"/>
        <v>0.78454753795769483</v>
      </c>
      <c r="G45" s="17">
        <v>3.1396670372780401E-3</v>
      </c>
      <c r="H45" s="17">
        <v>0.17630438116484701</v>
      </c>
      <c r="I45" s="17">
        <v>0.81844367482675706</v>
      </c>
      <c r="J45" s="18">
        <f t="shared" si="5"/>
        <v>8.7729088188093114E-3</v>
      </c>
      <c r="K45" s="19">
        <f t="shared" si="8"/>
        <v>-2.074731384934414E-3</v>
      </c>
      <c r="L45" s="19">
        <f t="shared" si="9"/>
        <v>2.0813655099094497E-4</v>
      </c>
      <c r="M45" s="19">
        <f t="shared" si="10"/>
        <v>1.8662996343504767E-3</v>
      </c>
      <c r="N45" s="18">
        <f t="shared" si="11"/>
        <v>4.3045103196318712E-6</v>
      </c>
      <c r="O45" s="18">
        <f t="shared" si="12"/>
        <v>4.3320823858406232E-8</v>
      </c>
      <c r="P45" s="18">
        <f t="shared" si="13"/>
        <v>3.4830743251767234E-6</v>
      </c>
      <c r="Q45" s="18">
        <f t="shared" si="14"/>
        <v>5.8955998121176402E-9</v>
      </c>
    </row>
    <row r="46" spans="1:17">
      <c r="A46" s="6">
        <v>42</v>
      </c>
      <c r="B46" s="16">
        <f t="shared" si="15"/>
        <v>-2.4708658390327569</v>
      </c>
      <c r="C46" s="16">
        <f t="shared" si="16"/>
        <v>-0.98581685983744671</v>
      </c>
      <c r="D46" s="16">
        <f t="shared" si="17"/>
        <v>-3.9555393363646052E-2</v>
      </c>
      <c r="E46" s="16">
        <f t="shared" si="18"/>
        <v>0.25356279973642071</v>
      </c>
      <c r="F46" s="16">
        <f t="shared" si="19"/>
        <v>0.78606913575976334</v>
      </c>
      <c r="G46" s="17">
        <v>2.6118371468564702E-3</v>
      </c>
      <c r="H46" s="17">
        <v>0.16677826328596299</v>
      </c>
      <c r="I46" s="17">
        <v>0.83017491401183396</v>
      </c>
      <c r="J46" s="18">
        <f t="shared" si="5"/>
        <v>1.1254950771067506E-2</v>
      </c>
      <c r="K46" s="19">
        <f t="shared" si="8"/>
        <v>-1.6915326226795147E-3</v>
      </c>
      <c r="L46" s="19">
        <f t="shared" si="9"/>
        <v>1.6969414379608416E-4</v>
      </c>
      <c r="M46" s="19">
        <f t="shared" si="10"/>
        <v>1.5215978020685084E-3</v>
      </c>
      <c r="N46" s="18">
        <f t="shared" si="11"/>
        <v>2.8612826135890373E-6</v>
      </c>
      <c r="O46" s="18">
        <f t="shared" si="12"/>
        <v>2.8796102438686091E-8</v>
      </c>
      <c r="P46" s="18">
        <f t="shared" si="13"/>
        <v>2.3152598712597154E-6</v>
      </c>
      <c r="Q46" s="18">
        <f t="shared" si="14"/>
        <v>5.8586980534552437E-9</v>
      </c>
    </row>
    <row r="47" spans="1:17">
      <c r="A47" s="6">
        <v>43</v>
      </c>
      <c r="B47" s="16">
        <f t="shared" si="15"/>
        <v>-2.5747884116338513</v>
      </c>
      <c r="C47" s="16">
        <f t="shared" si="16"/>
        <v>-0.98846321596048548</v>
      </c>
      <c r="D47" s="16">
        <f t="shared" si="17"/>
        <v>-4.0933566162846213E-2</v>
      </c>
      <c r="E47" s="16">
        <f t="shared" si="18"/>
        <v>0.2537010576984769</v>
      </c>
      <c r="F47" s="16">
        <f t="shared" si="19"/>
        <v>0.78730885450595678</v>
      </c>
      <c r="G47" s="17">
        <v>2.39128185473625E-3</v>
      </c>
      <c r="H47" s="17">
        <v>0.157909899247861</v>
      </c>
      <c r="I47" s="17">
        <v>0.83969352077445703</v>
      </c>
      <c r="J47" s="18">
        <f t="shared" si="5"/>
        <v>1.3797141753119767E-2</v>
      </c>
      <c r="K47" s="19">
        <f t="shared" si="8"/>
        <v>-1.3781727992001613E-3</v>
      </c>
      <c r="L47" s="19">
        <f t="shared" si="9"/>
        <v>1.3825796205618746E-4</v>
      </c>
      <c r="M47" s="19">
        <f t="shared" si="10"/>
        <v>1.2397187461934411E-3</v>
      </c>
      <c r="N47" s="18">
        <f t="shared" si="11"/>
        <v>1.8993602644552083E-6</v>
      </c>
      <c r="O47" s="18">
        <f t="shared" si="12"/>
        <v>1.9115264071930171E-8</v>
      </c>
      <c r="P47" s="18">
        <f t="shared" si="13"/>
        <v>1.5369025696634377E-6</v>
      </c>
      <c r="Q47" s="18">
        <f t="shared" si="14"/>
        <v>5.8287180660573127E-9</v>
      </c>
    </row>
    <row r="48" spans="1:17">
      <c r="A48" s="6">
        <v>44</v>
      </c>
      <c r="B48" s="16">
        <f t="shared" si="15"/>
        <v>-2.6787109842349448</v>
      </c>
      <c r="C48" s="16">
        <f t="shared" si="16"/>
        <v>-0.99061813545687927</v>
      </c>
      <c r="D48" s="16">
        <f t="shared" si="17"/>
        <v>-4.2055807953564062E-2</v>
      </c>
      <c r="E48" s="16">
        <f t="shared" si="18"/>
        <v>0.25381364072363094</v>
      </c>
      <c r="F48" s="16">
        <f t="shared" si="19"/>
        <v>0.78831835359527413</v>
      </c>
      <c r="G48" s="17">
        <v>1.2757458204968699E-3</v>
      </c>
      <c r="H48" s="17">
        <v>0.14923463373831</v>
      </c>
      <c r="I48" s="17">
        <v>0.84673055231667504</v>
      </c>
      <c r="J48" s="18">
        <f t="shared" si="5"/>
        <v>1.6226377213978571E-2</v>
      </c>
      <c r="K48" s="19">
        <f t="shared" si="8"/>
        <v>-1.1222417907178484E-3</v>
      </c>
      <c r="L48" s="19">
        <f t="shared" si="9"/>
        <v>1.1258302515404495E-4</v>
      </c>
      <c r="M48" s="19">
        <f t="shared" si="10"/>
        <v>1.0094990893173561E-3</v>
      </c>
      <c r="N48" s="18">
        <f t="shared" si="11"/>
        <v>1.2594266368336028E-6</v>
      </c>
      <c r="O48" s="18">
        <f t="shared" si="12"/>
        <v>1.2674937552836316E-8</v>
      </c>
      <c r="P48" s="18">
        <f t="shared" si="13"/>
        <v>1.0190884113325713E-6</v>
      </c>
      <c r="Q48" s="18">
        <f t="shared" si="14"/>
        <v>5.8043622638574366E-9</v>
      </c>
    </row>
    <row r="49" spans="1:17">
      <c r="A49" s="6">
        <v>45</v>
      </c>
      <c r="B49" s="16">
        <f t="shared" si="15"/>
        <v>-2.7826335568360392</v>
      </c>
      <c r="C49" s="16">
        <f t="shared" si="16"/>
        <v>-0.99237208840298907</v>
      </c>
      <c r="D49" s="16">
        <f t="shared" si="17"/>
        <v>-4.2969233860365275E-2</v>
      </c>
      <c r="E49" s="16">
        <f t="shared" si="18"/>
        <v>0.25390527538978963</v>
      </c>
      <c r="F49" s="16">
        <f t="shared" si="19"/>
        <v>0.78914001487067975</v>
      </c>
      <c r="G49" s="17">
        <v>3.5362804167817599E-3</v>
      </c>
      <c r="H49" s="17">
        <v>0.135577127775768</v>
      </c>
      <c r="I49" s="17">
        <v>0.86534225693530897</v>
      </c>
      <c r="J49" s="18">
        <f t="shared" si="5"/>
        <v>2.1971095071623967E-2</v>
      </c>
      <c r="K49" s="19">
        <f t="shared" si="8"/>
        <v>-9.1342590680121294E-4</v>
      </c>
      <c r="L49" s="19">
        <f t="shared" si="9"/>
        <v>9.163466615869087E-5</v>
      </c>
      <c r="M49" s="19">
        <f t="shared" si="10"/>
        <v>8.2166127540561629E-4</v>
      </c>
      <c r="N49" s="18">
        <f t="shared" si="11"/>
        <v>8.343468872156181E-7</v>
      </c>
      <c r="O49" s="18">
        <f t="shared" si="12"/>
        <v>8.3969120420147259E-9</v>
      </c>
      <c r="P49" s="18">
        <f t="shared" si="13"/>
        <v>6.7512725150118407E-7</v>
      </c>
      <c r="Q49" s="18">
        <f t="shared" si="14"/>
        <v>5.784575996796087E-9</v>
      </c>
    </row>
    <row r="50" spans="1:17">
      <c r="A50" s="6">
        <v>46</v>
      </c>
      <c r="B50" s="16">
        <f t="shared" si="15"/>
        <v>-2.8865561294371327</v>
      </c>
      <c r="C50" s="16">
        <f t="shared" si="16"/>
        <v>-0.99379915877812164</v>
      </c>
      <c r="D50" s="16">
        <f t="shared" si="17"/>
        <v>-4.371242543478332E-2</v>
      </c>
      <c r="E50" s="16">
        <f t="shared" si="18"/>
        <v>0.2539798321888761</v>
      </c>
      <c r="F50" s="16">
        <f t="shared" si="19"/>
        <v>0.78980854390227417</v>
      </c>
      <c r="G50" s="17">
        <v>-3.1346344649783998E-3</v>
      </c>
      <c r="H50" s="17">
        <v>0.125187367886479</v>
      </c>
      <c r="I50" s="17">
        <v>0.87833605384871605</v>
      </c>
      <c r="J50" s="18">
        <f t="shared" si="5"/>
        <v>2.6071175998390775E-2</v>
      </c>
      <c r="K50" s="19">
        <f t="shared" si="8"/>
        <v>-7.4319157441804506E-4</v>
      </c>
      <c r="L50" s="19">
        <f t="shared" si="9"/>
        <v>7.4556799086467063E-5</v>
      </c>
      <c r="M50" s="19">
        <f t="shared" si="10"/>
        <v>6.6852903159442256E-4</v>
      </c>
      <c r="N50" s="18">
        <f t="shared" si="11"/>
        <v>5.5233371628597262E-7</v>
      </c>
      <c r="O50" s="18">
        <f t="shared" si="12"/>
        <v>5.5587162900198162E-9</v>
      </c>
      <c r="P50" s="18">
        <f t="shared" si="13"/>
        <v>4.4693106608457645E-7</v>
      </c>
      <c r="Q50" s="18">
        <f t="shared" si="14"/>
        <v>5.7685022025792711E-9</v>
      </c>
    </row>
    <row r="51" spans="1:17">
      <c r="A51" s="6">
        <v>47</v>
      </c>
      <c r="B51" s="16">
        <f t="shared" si="15"/>
        <v>-2.9904787020382271</v>
      </c>
      <c r="C51" s="16">
        <f t="shared" si="16"/>
        <v>-0.9949599206040548</v>
      </c>
      <c r="D51" s="16">
        <f t="shared" si="17"/>
        <v>-4.4316928495019281E-2</v>
      </c>
      <c r="E51" s="16">
        <f t="shared" si="18"/>
        <v>0.25404047578974637</v>
      </c>
      <c r="F51" s="16">
        <f t="shared" si="19"/>
        <v>0.7903523173509599</v>
      </c>
      <c r="G51" s="17">
        <v>9.0828857896239103E-3</v>
      </c>
      <c r="H51" s="17">
        <v>0.11564560923284699</v>
      </c>
      <c r="I51" s="17">
        <v>0.87802773465304806</v>
      </c>
      <c r="J51" s="18">
        <f t="shared" si="5"/>
        <v>2.9691658054031664E-2</v>
      </c>
      <c r="K51" s="19">
        <f t="shared" si="8"/>
        <v>-6.0450306023596134E-4</v>
      </c>
      <c r="L51" s="19">
        <f t="shared" si="9"/>
        <v>6.0643600870269321E-5</v>
      </c>
      <c r="M51" s="19">
        <f t="shared" si="10"/>
        <v>5.4377344868572486E-4</v>
      </c>
      <c r="N51" s="18">
        <f t="shared" si="11"/>
        <v>3.6542394983464232E-7</v>
      </c>
      <c r="O51" s="18">
        <f t="shared" si="12"/>
        <v>3.67764632651253E-9</v>
      </c>
      <c r="P51" s="18">
        <f t="shared" si="13"/>
        <v>2.9568956349556666E-7</v>
      </c>
      <c r="Q51" s="18">
        <f t="shared" si="14"/>
        <v>5.7554444651949144E-9</v>
      </c>
    </row>
    <row r="52" spans="1:17">
      <c r="A52" s="6">
        <v>48</v>
      </c>
      <c r="B52" s="16">
        <f t="shared" si="15"/>
        <v>-3.0944012746393206</v>
      </c>
      <c r="C52" s="16">
        <f t="shared" si="16"/>
        <v>-0.99590384089683515</v>
      </c>
      <c r="D52" s="16">
        <f t="shared" si="17"/>
        <v>-4.4808504538318028E-2</v>
      </c>
      <c r="E52" s="16">
        <f t="shared" si="18"/>
        <v>0.25408979057957648</v>
      </c>
      <c r="F52" s="16">
        <f t="shared" si="19"/>
        <v>0.79079450866137524</v>
      </c>
      <c r="G52" s="17">
        <v>1.0538230552720001E-2</v>
      </c>
      <c r="H52" s="17">
        <v>0.111612530534534</v>
      </c>
      <c r="I52" s="17">
        <v>0.88908099354612202</v>
      </c>
      <c r="J52" s="18">
        <f t="shared" si="5"/>
        <v>3.3023263826179747E-2</v>
      </c>
      <c r="K52" s="19">
        <f t="shared" si="8"/>
        <v>-4.9157604329874705E-4</v>
      </c>
      <c r="L52" s="19">
        <f t="shared" si="9"/>
        <v>4.9314789830112726E-5</v>
      </c>
      <c r="M52" s="19">
        <f t="shared" si="10"/>
        <v>4.4219131041534077E-4</v>
      </c>
      <c r="N52" s="18">
        <f t="shared" si="11"/>
        <v>2.4164700634525162E-7</v>
      </c>
      <c r="O52" s="18">
        <f t="shared" si="12"/>
        <v>2.4319484959881897E-9</v>
      </c>
      <c r="P52" s="18">
        <f t="shared" si="13"/>
        <v>1.9553315500683626E-7</v>
      </c>
      <c r="Q52" s="18">
        <f t="shared" si="14"/>
        <v>5.7448369473381159E-9</v>
      </c>
    </row>
    <row r="53" spans="1:17">
      <c r="A53" s="6">
        <v>49</v>
      </c>
      <c r="B53" s="16">
        <f t="shared" si="15"/>
        <v>-3.1983238472404141</v>
      </c>
      <c r="C53" s="16">
        <f t="shared" si="16"/>
        <v>-0.99667127610269834</v>
      </c>
      <c r="D53" s="16">
        <f t="shared" si="17"/>
        <v>-4.5208170447475771E-2</v>
      </c>
      <c r="E53" s="16">
        <f t="shared" si="18"/>
        <v>0.25412988496696798</v>
      </c>
      <c r="F53" s="16">
        <f t="shared" si="19"/>
        <v>0.79115402331736373</v>
      </c>
      <c r="G53" s="17">
        <v>2.5859344138377399E-3</v>
      </c>
      <c r="H53" s="17">
        <v>0.10342211054485</v>
      </c>
      <c r="I53" s="17">
        <v>0.89472708248588406</v>
      </c>
      <c r="J53" s="18">
        <f t="shared" si="5"/>
        <v>3.5724488316288043E-2</v>
      </c>
      <c r="K53" s="19">
        <f t="shared" si="8"/>
        <v>-3.9966590915774258E-4</v>
      </c>
      <c r="L53" s="19">
        <f t="shared" si="9"/>
        <v>4.0094387391498287E-5</v>
      </c>
      <c r="M53" s="19">
        <f t="shared" si="10"/>
        <v>3.5951465598849097E-4</v>
      </c>
      <c r="N53" s="18">
        <f t="shared" si="11"/>
        <v>1.5973283894288496E-7</v>
      </c>
      <c r="O53" s="18">
        <f t="shared" si="12"/>
        <v>1.6075599002995369E-9</v>
      </c>
      <c r="P53" s="18">
        <f t="shared" si="13"/>
        <v>1.2925078787052302E-7</v>
      </c>
      <c r="Q53" s="18">
        <f t="shared" si="14"/>
        <v>5.7362199316082792E-9</v>
      </c>
    </row>
    <row r="54" spans="1:17">
      <c r="A54" s="6">
        <v>50</v>
      </c>
      <c r="B54" s="16">
        <f t="shared" si="15"/>
        <v>-3.3022464198415085</v>
      </c>
      <c r="C54" s="16">
        <f t="shared" si="16"/>
        <v>-0.99729512346981364</v>
      </c>
      <c r="D54" s="16">
        <f t="shared" si="17"/>
        <v>-4.553305849437389E-2</v>
      </c>
      <c r="E54" s="16">
        <f t="shared" si="18"/>
        <v>0.25416247765729433</v>
      </c>
      <c r="F54" s="16">
        <f t="shared" si="19"/>
        <v>0.79144627244779753</v>
      </c>
      <c r="G54" s="17">
        <v>2.0336631835871899E-3</v>
      </c>
      <c r="H54" s="17">
        <v>9.4972241588527101E-2</v>
      </c>
      <c r="I54" s="17">
        <v>0.90450311421663898</v>
      </c>
      <c r="J54" s="18">
        <f t="shared" si="5"/>
        <v>4.0385973741563302E-2</v>
      </c>
      <c r="K54" s="19">
        <f t="shared" si="8"/>
        <v>-3.2488804689811968E-4</v>
      </c>
      <c r="L54" s="19">
        <f t="shared" si="9"/>
        <v>3.2592690326349594E-5</v>
      </c>
      <c r="M54" s="19">
        <f t="shared" si="10"/>
        <v>2.9224913043379708E-4</v>
      </c>
      <c r="N54" s="18">
        <f t="shared" si="11"/>
        <v>1.0555224301727481E-7</v>
      </c>
      <c r="O54" s="18">
        <f t="shared" si="12"/>
        <v>1.0622834627093224E-9</v>
      </c>
      <c r="P54" s="18">
        <f t="shared" si="13"/>
        <v>8.5409554239310543E-8</v>
      </c>
      <c r="Q54" s="18">
        <f t="shared" si="14"/>
        <v>5.7292199330631537E-9</v>
      </c>
    </row>
    <row r="55" spans="1:17">
      <c r="A55" s="6">
        <v>51</v>
      </c>
      <c r="B55" s="16">
        <f t="shared" si="15"/>
        <v>-3.406168992442602</v>
      </c>
      <c r="C55" s="16">
        <f t="shared" si="16"/>
        <v>-0.99780218219449446</v>
      </c>
      <c r="D55" s="16">
        <f t="shared" si="17"/>
        <v>-4.5797125199481481E-2</v>
      </c>
      <c r="E55" s="16">
        <f t="shared" si="18"/>
        <v>0.25418896876531522</v>
      </c>
      <c r="F55" s="16">
        <f t="shared" si="19"/>
        <v>0.7916838104726065</v>
      </c>
      <c r="G55" s="17">
        <v>2.2949557971681501E-3</v>
      </c>
      <c r="H55" s="17">
        <v>8.7440881600336293E-2</v>
      </c>
      <c r="I55" s="17">
        <v>0.90922037148508505</v>
      </c>
      <c r="J55" s="18">
        <f t="shared" si="5"/>
        <v>4.3932616002407804E-2</v>
      </c>
      <c r="K55" s="19">
        <f t="shared" si="8"/>
        <v>-2.6406670510759067E-4</v>
      </c>
      <c r="L55" s="19">
        <f t="shared" si="9"/>
        <v>2.6491108020887388E-5</v>
      </c>
      <c r="M55" s="19">
        <f t="shared" si="10"/>
        <v>2.3753802480896979E-4</v>
      </c>
      <c r="N55" s="18">
        <f t="shared" si="11"/>
        <v>6.9731224746379251E-8</v>
      </c>
      <c r="O55" s="18">
        <f t="shared" si="12"/>
        <v>7.0177880417432411E-10</v>
      </c>
      <c r="P55" s="18">
        <f t="shared" si="13"/>
        <v>5.6424313230146746E-8</v>
      </c>
      <c r="Q55" s="18">
        <f t="shared" si="14"/>
        <v>5.7235335322992347E-9</v>
      </c>
    </row>
    <row r="56" spans="1:17">
      <c r="A56" s="6">
        <v>52</v>
      </c>
      <c r="B56" s="16">
        <f t="shared" si="15"/>
        <v>-3.5100915650436963</v>
      </c>
      <c r="C56" s="16">
        <f t="shared" si="16"/>
        <v>-0.99821427219377346</v>
      </c>
      <c r="D56" s="16">
        <f t="shared" si="17"/>
        <v>-4.6011733967698476E-2</v>
      </c>
      <c r="E56" s="16">
        <f t="shared" si="18"/>
        <v>0.2542104982650632</v>
      </c>
      <c r="F56" s="16">
        <f t="shared" si="19"/>
        <v>0.79187685920583539</v>
      </c>
      <c r="G56" s="17">
        <v>2.3936274802814103E-3</v>
      </c>
      <c r="H56" s="17">
        <v>8.3053244128702103E-2</v>
      </c>
      <c r="I56" s="17">
        <v>0.906309636239233</v>
      </c>
      <c r="J56" s="18">
        <f t="shared" si="5"/>
        <v>4.4732745119983763E-2</v>
      </c>
      <c r="K56" s="19">
        <f t="shared" si="8"/>
        <v>-2.1460876821699504E-4</v>
      </c>
      <c r="L56" s="19">
        <f t="shared" si="9"/>
        <v>2.1529499747985348E-5</v>
      </c>
      <c r="M56" s="19">
        <f t="shared" si="10"/>
        <v>1.9304873322889549E-4</v>
      </c>
      <c r="N56" s="18">
        <f t="shared" si="11"/>
        <v>4.6056923395615902E-8</v>
      </c>
      <c r="O56" s="18">
        <f t="shared" si="12"/>
        <v>4.6351935939850115E-10</v>
      </c>
      <c r="P56" s="18">
        <f t="shared" si="13"/>
        <v>3.7267813401281253E-8</v>
      </c>
      <c r="Q56" s="18">
        <f t="shared" si="14"/>
        <v>5.7189142362413673E-9</v>
      </c>
    </row>
    <row r="57" spans="1:17">
      <c r="A57" s="6">
        <v>53</v>
      </c>
      <c r="B57" s="16">
        <f t="shared" si="15"/>
        <v>-3.6140141376447898</v>
      </c>
      <c r="C57" s="16">
        <f t="shared" si="16"/>
        <v>-0.99854915158835711</v>
      </c>
      <c r="D57" s="16">
        <f t="shared" si="17"/>
        <v>-4.6186132896327059E-2</v>
      </c>
      <c r="E57" s="16">
        <f t="shared" si="18"/>
        <v>0.25422799392342404</v>
      </c>
      <c r="F57" s="16">
        <f t="shared" si="19"/>
        <v>0.79203373766205099</v>
      </c>
      <c r="G57" s="17">
        <v>2.3043154567460099E-3</v>
      </c>
      <c r="H57" s="17">
        <v>7.8073186837302994E-2</v>
      </c>
      <c r="I57" s="17">
        <v>0.92630169320256595</v>
      </c>
      <c r="J57" s="18">
        <f t="shared" si="5"/>
        <v>5.1409723526060276E-2</v>
      </c>
      <c r="K57" s="19">
        <f t="shared" si="8"/>
        <v>-1.7439892862858297E-4</v>
      </c>
      <c r="L57" s="19">
        <f t="shared" si="9"/>
        <v>1.7495658360844324E-5</v>
      </c>
      <c r="M57" s="19">
        <f t="shared" si="10"/>
        <v>1.5687845621559227E-4</v>
      </c>
      <c r="N57" s="18">
        <f t="shared" si="11"/>
        <v>3.0414986306797577E-8</v>
      </c>
      <c r="O57" s="18">
        <f t="shared" si="12"/>
        <v>3.0609806147938192E-10</v>
      </c>
      <c r="P57" s="18">
        <f t="shared" si="13"/>
        <v>2.46108500245875E-8</v>
      </c>
      <c r="Q57" s="18">
        <f t="shared" si="14"/>
        <v>5.7151618008747564E-9</v>
      </c>
    </row>
    <row r="58" spans="1:17">
      <c r="A58" s="6">
        <v>54</v>
      </c>
      <c r="B58" s="16">
        <f t="shared" si="15"/>
        <v>-3.7179367102458842</v>
      </c>
      <c r="C58" s="16">
        <f t="shared" si="16"/>
        <v>-0.9988212677468743</v>
      </c>
      <c r="D58" s="16">
        <f t="shared" si="17"/>
        <v>-4.6327845904877318E-2</v>
      </c>
      <c r="E58" s="16">
        <f t="shared" si="18"/>
        <v>0.25424221053818408</v>
      </c>
      <c r="F58" s="16">
        <f t="shared" si="19"/>
        <v>0.7921612138924492</v>
      </c>
      <c r="G58" s="17">
        <v>3.0385585864702198E-3</v>
      </c>
      <c r="H58" s="17">
        <v>7.1018266657233403E-2</v>
      </c>
      <c r="I58" s="17">
        <v>0.92736038017037692</v>
      </c>
      <c r="J58" s="18">
        <f t="shared" si="5"/>
        <v>5.4286870065939845E-2</v>
      </c>
      <c r="K58" s="19">
        <f t="shared" si="8"/>
        <v>-1.4171300855025937E-4</v>
      </c>
      <c r="L58" s="19">
        <f t="shared" si="9"/>
        <v>1.4216614760031998E-5</v>
      </c>
      <c r="M58" s="19">
        <f t="shared" si="10"/>
        <v>1.2747623039821576E-4</v>
      </c>
      <c r="N58" s="18">
        <f t="shared" si="11"/>
        <v>2.0082576792365883E-8</v>
      </c>
      <c r="O58" s="18">
        <f t="shared" si="12"/>
        <v>2.0211213523515968E-10</v>
      </c>
      <c r="P58" s="18">
        <f t="shared" si="13"/>
        <v>1.6250189316538989E-8</v>
      </c>
      <c r="Q58" s="18">
        <f t="shared" si="14"/>
        <v>5.7121135554526033E-9</v>
      </c>
    </row>
    <row r="59" spans="1:17">
      <c r="A59" s="6">
        <v>55</v>
      </c>
      <c r="B59" s="16">
        <f t="shared" si="15"/>
        <v>-3.8218592828469777</v>
      </c>
      <c r="C59" s="16">
        <f t="shared" si="16"/>
        <v>-0.9990423711858506</v>
      </c>
      <c r="D59" s="16">
        <f t="shared" si="17"/>
        <v>-4.6442992442697395E-2</v>
      </c>
      <c r="E59" s="16">
        <f t="shared" si="18"/>
        <v>0.25425376201102268</v>
      </c>
      <c r="F59" s="16">
        <f t="shared" si="19"/>
        <v>0.79226479257400317</v>
      </c>
      <c r="G59" s="17">
        <v>7.9515125832206497E-3</v>
      </c>
      <c r="H59" s="17">
        <v>6.6968684958737701E-2</v>
      </c>
      <c r="I59" s="17">
        <v>0.93389441761834491</v>
      </c>
      <c r="J59" s="18">
        <f t="shared" si="5"/>
        <v>5.8093412953695772E-2</v>
      </c>
      <c r="K59" s="19">
        <f t="shared" si="8"/>
        <v>-1.1514653782007667E-4</v>
      </c>
      <c r="L59" s="19">
        <f t="shared" si="9"/>
        <v>1.1551472838600141E-5</v>
      </c>
      <c r="M59" s="19">
        <f t="shared" si="10"/>
        <v>1.0357868155397298E-4</v>
      </c>
      <c r="N59" s="18">
        <f t="shared" si="11"/>
        <v>1.3258725171950347E-8</v>
      </c>
      <c r="O59" s="18">
        <f t="shared" si="12"/>
        <v>1.3343652474091681E-10</v>
      </c>
      <c r="P59" s="18">
        <f t="shared" si="13"/>
        <v>1.0728543272459344E-8</v>
      </c>
      <c r="Q59" s="18">
        <f t="shared" si="14"/>
        <v>5.7096373532742031E-9</v>
      </c>
    </row>
    <row r="60" spans="1:17">
      <c r="A60" s="6">
        <v>56</v>
      </c>
      <c r="B60" s="16">
        <f t="shared" si="15"/>
        <v>-3.9257818554480712</v>
      </c>
      <c r="C60" s="16">
        <f t="shared" si="16"/>
        <v>-0.9992220167764857</v>
      </c>
      <c r="D60" s="16">
        <f t="shared" si="17"/>
        <v>-4.6536548508093911E-2</v>
      </c>
      <c r="E60" s="16">
        <f t="shared" si="18"/>
        <v>0.25426314753288698</v>
      </c>
      <c r="F60" s="16">
        <f t="shared" si="19"/>
        <v>0.79234894980607118</v>
      </c>
      <c r="G60" s="17">
        <v>-1.1013052498209E-4</v>
      </c>
      <c r="H60" s="17">
        <v>6.18422691296922E-2</v>
      </c>
      <c r="I60" s="17">
        <v>0.94275156262420401</v>
      </c>
      <c r="J60" s="18">
        <f t="shared" si="5"/>
        <v>6.1802152674720855E-2</v>
      </c>
      <c r="K60" s="19">
        <f t="shared" si="8"/>
        <v>-9.3556065396516175E-5</v>
      </c>
      <c r="L60" s="19">
        <f t="shared" si="9"/>
        <v>9.3855218643024152E-6</v>
      </c>
      <c r="M60" s="19">
        <f t="shared" si="10"/>
        <v>8.4157232068005072E-5</v>
      </c>
      <c r="N60" s="18">
        <f t="shared" si="11"/>
        <v>8.7527373724772109E-9</v>
      </c>
      <c r="O60" s="18">
        <f t="shared" si="12"/>
        <v>8.8088020665298689E-11</v>
      </c>
      <c r="P60" s="18">
        <f t="shared" si="13"/>
        <v>7.0824397093480613E-9</v>
      </c>
      <c r="Q60" s="18">
        <f t="shared" si="14"/>
        <v>5.7076258449378445E-9</v>
      </c>
    </row>
    <row r="61" spans="1:17">
      <c r="A61" s="6">
        <v>57</v>
      </c>
      <c r="B61" s="16">
        <f t="shared" si="15"/>
        <v>-4.0297044280491656</v>
      </c>
      <c r="C61" s="16">
        <f t="shared" si="16"/>
        <v>-0.99936797255504839</v>
      </c>
      <c r="D61" s="16">
        <f t="shared" si="17"/>
        <v>-4.661255954914395E-2</v>
      </c>
      <c r="E61" s="16">
        <f t="shared" si="18"/>
        <v>0.25427077294215022</v>
      </c>
      <c r="F61" s="16">
        <f t="shared" si="19"/>
        <v>0.79241732462275749</v>
      </c>
      <c r="G61" s="17">
        <v>5.6947636442931599E-3</v>
      </c>
      <c r="H61" s="17">
        <v>6.0470398956274998E-2</v>
      </c>
      <c r="I61" s="17">
        <v>0.93680268831874902</v>
      </c>
      <c r="J61" s="18">
        <f t="shared" si="5"/>
        <v>6.1141774266351541E-2</v>
      </c>
      <c r="K61" s="19">
        <f t="shared" si="8"/>
        <v>-7.6011041050039196E-5</v>
      </c>
      <c r="L61" s="19">
        <f t="shared" si="9"/>
        <v>7.6254092632455084E-6</v>
      </c>
      <c r="M61" s="19">
        <f t="shared" si="10"/>
        <v>6.8374816686311846E-5</v>
      </c>
      <c r="N61" s="18">
        <f t="shared" si="11"/>
        <v>5.777678361510744E-9</v>
      </c>
      <c r="O61" s="18">
        <f t="shared" si="12"/>
        <v>5.814686643199041E-11</v>
      </c>
      <c r="P61" s="18">
        <f t="shared" si="13"/>
        <v>4.6751155568867486E-9</v>
      </c>
      <c r="Q61" s="18">
        <f t="shared" si="14"/>
        <v>5.7059918255268531E-9</v>
      </c>
    </row>
    <row r="62" spans="1:17">
      <c r="A62" s="6">
        <v>58</v>
      </c>
      <c r="B62" s="16">
        <f t="shared" si="15"/>
        <v>-4.1336270006502591</v>
      </c>
      <c r="C62" s="16">
        <f t="shared" si="16"/>
        <v>-0.99948655291275412</v>
      </c>
      <c r="D62" s="16">
        <f t="shared" si="17"/>
        <v>-4.667431398275429E-2</v>
      </c>
      <c r="E62" s="16">
        <f t="shared" si="18"/>
        <v>0.25427696813200151</v>
      </c>
      <c r="F62" s="16">
        <f t="shared" si="19"/>
        <v>0.79247287507989306</v>
      </c>
      <c r="G62" s="17">
        <v>-2.2807198247528698E-3</v>
      </c>
      <c r="H62" s="17">
        <v>5.4975808919005206E-2</v>
      </c>
      <c r="I62" s="17">
        <v>0.94398061818187207</v>
      </c>
      <c r="J62" s="18">
        <f t="shared" si="5"/>
        <v>6.4646339485764703E-2</v>
      </c>
      <c r="K62" s="19">
        <f t="shared" si="8"/>
        <v>-6.1754433610339277E-5</v>
      </c>
      <c r="L62" s="19">
        <f t="shared" si="9"/>
        <v>6.1951898512879744E-6</v>
      </c>
      <c r="M62" s="19">
        <f t="shared" si="10"/>
        <v>5.5550457135566944E-5</v>
      </c>
      <c r="N62" s="18">
        <f t="shared" si="11"/>
        <v>3.8136100705338017E-9</v>
      </c>
      <c r="O62" s="18">
        <f t="shared" si="12"/>
        <v>3.8380377293501516E-11</v>
      </c>
      <c r="P62" s="18">
        <f t="shared" si="13"/>
        <v>3.0858532879704603E-9</v>
      </c>
      <c r="Q62" s="18">
        <f t="shared" si="14"/>
        <v>5.7046644545334471E-9</v>
      </c>
    </row>
    <row r="63" spans="1:17">
      <c r="A63" s="6">
        <v>59</v>
      </c>
      <c r="B63" s="16">
        <f t="shared" si="15"/>
        <v>-4.2375495732513535</v>
      </c>
      <c r="C63" s="16">
        <f t="shared" si="16"/>
        <v>-0.99958288998361533</v>
      </c>
      <c r="D63" s="16">
        <f t="shared" si="17"/>
        <v>-4.6724484528381016E-2</v>
      </c>
      <c r="E63" s="16">
        <f t="shared" si="18"/>
        <v>0.25428200122901057</v>
      </c>
      <c r="F63" s="16">
        <f t="shared" si="19"/>
        <v>0.79251800539008077</v>
      </c>
      <c r="G63" s="17">
        <v>-1.0788247514761E-4</v>
      </c>
      <c r="H63" s="17">
        <v>5.3596926243307502E-2</v>
      </c>
      <c r="I63" s="17">
        <v>0.94100736181572697</v>
      </c>
      <c r="J63" s="18">
        <f t="shared" si="5"/>
        <v>6.4496695880709387E-2</v>
      </c>
      <c r="K63" s="19">
        <f t="shared" si="8"/>
        <v>-5.0170545626726515E-5</v>
      </c>
      <c r="L63" s="19">
        <f t="shared" si="9"/>
        <v>5.0330970090550764E-6</v>
      </c>
      <c r="M63" s="19">
        <f t="shared" si="10"/>
        <v>4.5130310187713185E-5</v>
      </c>
      <c r="N63" s="18">
        <f t="shared" si="11"/>
        <v>2.5170836484834472E-9</v>
      </c>
      <c r="O63" s="18">
        <f t="shared" si="12"/>
        <v>2.5332065502559156E-11</v>
      </c>
      <c r="P63" s="18">
        <f t="shared" si="13"/>
        <v>2.0367448976392084E-9</v>
      </c>
      <c r="Q63" s="18">
        <f t="shared" si="14"/>
        <v>5.7035861852498218E-9</v>
      </c>
    </row>
  </sheetData>
  <mergeCells count="9">
    <mergeCell ref="V2:W2"/>
    <mergeCell ref="Y1:AA1"/>
    <mergeCell ref="AC1:AE1"/>
    <mergeCell ref="G2:I2"/>
    <mergeCell ref="A1:W1"/>
    <mergeCell ref="B2:F2"/>
    <mergeCell ref="N2:Q2"/>
    <mergeCell ref="K2:M2"/>
    <mergeCell ref="S2:T2"/>
  </mergeCells>
  <phoneticPr fontId="6" type="noConversion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808EA-CBB8-49EC-8015-02B14ACA6C3A}">
  <dimension ref="A1:AM61"/>
  <sheetViews>
    <sheetView zoomScale="64" zoomScaleNormal="70" workbookViewId="0">
      <selection activeCell="V3" sqref="V3"/>
    </sheetView>
  </sheetViews>
  <sheetFormatPr defaultRowHeight="14.5"/>
  <cols>
    <col min="3" max="3" width="12.1796875" bestFit="1" customWidth="1"/>
    <col min="4" max="4" width="13.1796875" bestFit="1" customWidth="1"/>
    <col min="5" max="5" width="12.453125" bestFit="1" customWidth="1"/>
    <col min="6" max="6" width="13.26953125" bestFit="1" customWidth="1"/>
    <col min="7" max="7" width="9" bestFit="1" customWidth="1"/>
    <col min="8" max="8" width="14.7265625" customWidth="1"/>
    <col min="9" max="9" width="13.1796875" bestFit="1" customWidth="1"/>
    <col min="10" max="10" width="12.453125" bestFit="1" customWidth="1"/>
    <col min="11" max="11" width="13.26953125" bestFit="1" customWidth="1"/>
    <col min="12" max="17" width="9" bestFit="1" customWidth="1"/>
    <col min="18" max="18" width="15.7265625" bestFit="1" customWidth="1"/>
    <col min="19" max="21" width="14.6328125" bestFit="1" customWidth="1"/>
    <col min="22" max="24" width="14" bestFit="1" customWidth="1"/>
    <col min="25" max="25" width="15.7265625" bestFit="1" customWidth="1"/>
    <col min="27" max="27" width="9.81640625" bestFit="1" customWidth="1"/>
    <col min="28" max="28" width="9" bestFit="1" customWidth="1"/>
    <col min="29" max="29" width="0" hidden="1" customWidth="1"/>
    <col min="30" max="30" width="10.453125" bestFit="1" customWidth="1"/>
    <col min="31" max="31" width="12" bestFit="1" customWidth="1"/>
  </cols>
  <sheetData>
    <row r="1" spans="1:38">
      <c r="A1" s="5" t="s">
        <v>0</v>
      </c>
      <c r="B1" s="5" t="s">
        <v>5</v>
      </c>
      <c r="C1" s="5" t="s">
        <v>6</v>
      </c>
      <c r="D1" s="5" t="s">
        <v>7</v>
      </c>
      <c r="E1" s="5" t="s">
        <v>8</v>
      </c>
      <c r="F1" s="5" t="s">
        <v>51</v>
      </c>
      <c r="G1" s="5" t="s">
        <v>52</v>
      </c>
      <c r="H1" s="5" t="s">
        <v>53</v>
      </c>
      <c r="I1" s="5" t="s">
        <v>54</v>
      </c>
      <c r="J1" s="5" t="s">
        <v>55</v>
      </c>
      <c r="K1" s="5" t="s">
        <v>56</v>
      </c>
      <c r="L1" s="5" t="s">
        <v>48</v>
      </c>
      <c r="M1" s="5" t="s">
        <v>49</v>
      </c>
      <c r="N1" s="5" t="s">
        <v>50</v>
      </c>
      <c r="O1" s="5" t="s">
        <v>27</v>
      </c>
      <c r="P1" s="5" t="s">
        <v>28</v>
      </c>
      <c r="Q1" s="5" t="s">
        <v>29</v>
      </c>
      <c r="R1" s="5" t="s">
        <v>13</v>
      </c>
      <c r="S1" s="5" t="s">
        <v>57</v>
      </c>
      <c r="T1" s="5" t="s">
        <v>58</v>
      </c>
      <c r="U1" s="5" t="s">
        <v>59</v>
      </c>
      <c r="V1" s="5" t="s">
        <v>37</v>
      </c>
      <c r="W1" s="5" t="s">
        <v>38</v>
      </c>
      <c r="X1" s="5" t="s">
        <v>39</v>
      </c>
      <c r="Y1" s="5" t="s">
        <v>40</v>
      </c>
      <c r="AA1" s="15" t="s">
        <v>14</v>
      </c>
      <c r="AB1" s="15" t="s">
        <v>15</v>
      </c>
      <c r="AD1" s="15" t="s">
        <v>13</v>
      </c>
      <c r="AE1" s="22">
        <f>AVERAGE(R2:R61)</f>
        <v>4.9430426742300857E-3</v>
      </c>
    </row>
    <row r="2" spans="1:38">
      <c r="A2" s="6">
        <v>0</v>
      </c>
      <c r="B2" s="7">
        <f>$AB$2*A2+$AB$3</f>
        <v>6.2600220342164139</v>
      </c>
      <c r="C2" s="7">
        <f>1/(1+EXP(-B2))</f>
        <v>0.99809244204749381</v>
      </c>
      <c r="D2" s="7">
        <f>$AB$4*C2+$AB$5</f>
        <v>2.0849886331673519</v>
      </c>
      <c r="E2" s="7">
        <f>$AB$6*C2+$AB$7</f>
        <v>1.9761976298471433</v>
      </c>
      <c r="F2" s="7">
        <f>$AB$6*C2+$AB$7</f>
        <v>1.9761976298471433</v>
      </c>
      <c r="G2" s="7">
        <f>$AB$10*A2+$AB$11</f>
        <v>-4.2053171290966844</v>
      </c>
      <c r="H2" s="7">
        <f>TANH(G2)</f>
        <v>-0.99955512158666093</v>
      </c>
      <c r="I2" s="7">
        <f>$AB$12*H2+$AB$13</f>
        <v>-1.0818185666085645</v>
      </c>
      <c r="J2" s="7">
        <f>$AB$14*H2+$AB$15</f>
        <v>-1.9082432732563368</v>
      </c>
      <c r="K2" s="7">
        <f>$AB$16*H2+$AB$17</f>
        <v>-2.0490432762544577</v>
      </c>
      <c r="L2" s="7">
        <f>SUM(D2,I2)</f>
        <v>1.0031700665587875</v>
      </c>
      <c r="M2" s="7">
        <f t="shared" ref="M2:N2" si="0">SUM(E2,J2)</f>
        <v>6.7954356590806508E-2</v>
      </c>
      <c r="N2" s="7">
        <f t="shared" si="0"/>
        <v>-7.2845646407314391E-2</v>
      </c>
      <c r="O2" s="17">
        <v>0.99916902781949102</v>
      </c>
      <c r="P2" s="17">
        <v>-5.1644142064485399E-4</v>
      </c>
      <c r="Q2" s="17">
        <v>1.29646532345248E-3</v>
      </c>
      <c r="R2" s="18">
        <f>SUM((L2-O2)^2, (M2-P2)^2, (N2-Q2)^2)</f>
        <v>1.0201311223215843E-2</v>
      </c>
      <c r="S2" s="19"/>
      <c r="T2" s="19"/>
      <c r="U2" s="19"/>
      <c r="V2" s="18"/>
      <c r="W2" s="18"/>
      <c r="X2" s="18"/>
      <c r="Y2" s="18">
        <f>(1 - SUM(L2:N2))^2</f>
        <v>2.9626095029176075E-6</v>
      </c>
      <c r="AA2" s="22" t="s">
        <v>16</v>
      </c>
      <c r="AB2" s="22">
        <v>-0.39494341202654537</v>
      </c>
      <c r="AC2">
        <v>-0.45404349295316826</v>
      </c>
      <c r="AD2" s="15" t="s">
        <v>60</v>
      </c>
      <c r="AE2" s="22">
        <f>AVERAGE(V3:Y61)</f>
        <v>1.3353749427396519E-4</v>
      </c>
      <c r="AG2">
        <v>-0.81594454635778046</v>
      </c>
      <c r="AH2">
        <v>-0.81595503856487228</v>
      </c>
      <c r="AI2">
        <v>-0.8159550534853669</v>
      </c>
      <c r="AK2">
        <v>9.6250868063681619E-2</v>
      </c>
      <c r="AL2">
        <v>-0.39494341202654537</v>
      </c>
    </row>
    <row r="3" spans="1:38">
      <c r="A3" s="6">
        <v>1</v>
      </c>
      <c r="B3" s="7">
        <f t="shared" ref="B3:B61" si="1">$AB$2*A3+$AB$3</f>
        <v>5.8650786221898681</v>
      </c>
      <c r="C3" s="7">
        <f t="shared" ref="C3:C61" si="2">1/(1+EXP(-B3))</f>
        <v>0.99717122466857455</v>
      </c>
      <c r="D3" s="7">
        <f t="shared" ref="D3:D61" si="3">$AB$4*C3+$AB$5</f>
        <v>2.0840799284347402</v>
      </c>
      <c r="E3" s="7">
        <f t="shared" ref="E3:E61" si="4">$AB$6*C3+$AB$7</f>
        <v>1.976653722236549</v>
      </c>
      <c r="F3" s="7">
        <f t="shared" ref="F3:F61" si="5">$AB$6*C3+$AB$7</f>
        <v>1.976653722236549</v>
      </c>
      <c r="G3" s="7">
        <f t="shared" ref="G3:G61" si="6">$AB$10*A3+$AB$11</f>
        <v>-4.0796165592170688</v>
      </c>
      <c r="H3" s="7">
        <f t="shared" ref="H3:H61" si="7">TANH(G3)</f>
        <v>-0.99942800023570844</v>
      </c>
      <c r="I3" s="7">
        <f t="shared" ref="I3:I61" si="8">$AB$12*H3+$AB$13</f>
        <v>-1.0818196531037956</v>
      </c>
      <c r="J3" s="7">
        <f t="shared" ref="J3:J61" si="9">$AB$14*H3+$AB$15</f>
        <v>-1.9082734595673478</v>
      </c>
      <c r="K3" s="7">
        <f t="shared" ref="K3:K61" si="10">$AB$16*H3+$AB$17</f>
        <v>-2.049012140969023</v>
      </c>
      <c r="L3" s="7">
        <f t="shared" ref="L3:L61" si="11">SUM(D3,I3)</f>
        <v>1.0022602753309446</v>
      </c>
      <c r="M3" s="7">
        <f t="shared" ref="M3:M61" si="12">SUM(E3,J3)</f>
        <v>6.8380262669201164E-2</v>
      </c>
      <c r="N3" s="7">
        <f t="shared" ref="N3:N61" si="13">SUM(F3,K3)</f>
        <v>-7.235841873247395E-2</v>
      </c>
      <c r="O3" s="17">
        <v>0.98960193539692398</v>
      </c>
      <c r="P3" s="17">
        <v>2.1639113228485896E-3</v>
      </c>
      <c r="Q3" s="17">
        <v>2.6945909567850398E-3</v>
      </c>
      <c r="R3" s="18">
        <f t="shared" ref="R3:R61" si="14">SUM((L3-O3)^2, (M3-P3)^2, (N3-Q3)^2)</f>
        <v>1.0177793018924835E-2</v>
      </c>
      <c r="S3" s="19">
        <f>L3-L2</f>
        <v>-9.0979122784284883E-4</v>
      </c>
      <c r="T3" s="19">
        <f t="shared" ref="T3:U3" si="15">M3-M2</f>
        <v>4.2590607839465555E-4</v>
      </c>
      <c r="U3" s="19">
        <f t="shared" si="15"/>
        <v>4.8722767484044027E-4</v>
      </c>
      <c r="V3" s="18">
        <f>(S3+$AB$19*L3*M3)^2</f>
        <v>7.0618443795461637E-4</v>
      </c>
      <c r="W3" s="18">
        <f>(T3-$AB$19*L3*M3+$AB$18*M3)^2</f>
        <v>5.2638626407133674E-4</v>
      </c>
      <c r="X3" s="18">
        <f>(U3-$AB$18*M3)^2</f>
        <v>1.3160056176715539E-5</v>
      </c>
      <c r="Y3" s="18">
        <f>(1 - SUM(L3:N3))^2</f>
        <v>2.9511142105042926E-6</v>
      </c>
      <c r="AA3" s="22" t="s">
        <v>17</v>
      </c>
      <c r="AB3" s="22">
        <v>6.2600220342164139</v>
      </c>
      <c r="AC3">
        <v>7.3372783475312078</v>
      </c>
      <c r="AD3" s="15" t="s">
        <v>61</v>
      </c>
      <c r="AE3" s="22">
        <f>SUM(AE1:AE2)</f>
        <v>5.0765801685040508E-3</v>
      </c>
      <c r="AG3">
        <v>4.60880895885344</v>
      </c>
      <c r="AH3">
        <v>4.6089103898688348</v>
      </c>
      <c r="AI3">
        <v>4.6089104561747343</v>
      </c>
      <c r="AK3">
        <v>0.2637850669208307</v>
      </c>
      <c r="AL3">
        <v>6.2600220342164139</v>
      </c>
    </row>
    <row r="4" spans="1:38">
      <c r="A4" s="6">
        <v>2</v>
      </c>
      <c r="B4" s="7">
        <f t="shared" si="1"/>
        <v>5.4701352101633232</v>
      </c>
      <c r="C4" s="7">
        <f t="shared" si="2"/>
        <v>0.99580699254538674</v>
      </c>
      <c r="D4" s="7">
        <f t="shared" si="3"/>
        <v>2.0827342263072186</v>
      </c>
      <c r="E4" s="7">
        <f t="shared" si="4"/>
        <v>1.9773291501029864</v>
      </c>
      <c r="F4" s="7">
        <f t="shared" si="5"/>
        <v>1.9773291501029864</v>
      </c>
      <c r="G4" s="7">
        <f t="shared" si="6"/>
        <v>-3.9539159893374531</v>
      </c>
      <c r="H4" s="7">
        <f t="shared" si="7"/>
        <v>-0.99926456807750763</v>
      </c>
      <c r="I4" s="7">
        <f t="shared" si="8"/>
        <v>-1.0818210499443668</v>
      </c>
      <c r="J4" s="7">
        <f t="shared" si="9"/>
        <v>-1.908312268264075</v>
      </c>
      <c r="K4" s="7">
        <f t="shared" si="10"/>
        <v>-2.0489721122338289</v>
      </c>
      <c r="L4" s="7">
        <f t="shared" si="11"/>
        <v>1.0009131763628518</v>
      </c>
      <c r="M4" s="7">
        <f t="shared" si="12"/>
        <v>6.9016881838911415E-2</v>
      </c>
      <c r="N4" s="7">
        <f t="shared" si="13"/>
        <v>-7.1642962130842536E-2</v>
      </c>
      <c r="O4" s="17">
        <v>1.0027006748148801</v>
      </c>
      <c r="P4" s="17">
        <v>3.31005964809079E-3</v>
      </c>
      <c r="Q4" s="17">
        <v>-4.7185297244242705E-3</v>
      </c>
      <c r="R4" s="18">
        <f t="shared" si="14"/>
        <v>8.7994612860533665E-3</v>
      </c>
      <c r="S4" s="19">
        <f t="shared" ref="S4:S61" si="16">L4-L3</f>
        <v>-1.3470989680928191E-3</v>
      </c>
      <c r="T4" s="19">
        <f t="shared" ref="T4:T61" si="17">M4-M3</f>
        <v>6.3661916971025079E-4</v>
      </c>
      <c r="U4" s="19">
        <f t="shared" ref="U4:U61" si="18">N4-N3</f>
        <v>7.1545660163141456E-4</v>
      </c>
      <c r="V4" s="18">
        <f t="shared" ref="V4:V16" si="19">(S4+$AB$19*L4*M4)^2</f>
        <v>6.9460785526962636E-4</v>
      </c>
      <c r="W4" s="18">
        <f t="shared" ref="W4:W16" si="20">(T4-$AB$19*L4*M4+$AB$18*M4)^2</f>
        <v>5.2499078508941386E-4</v>
      </c>
      <c r="X4" s="18">
        <f t="shared" ref="X4:X16" si="21">(U4-$AB$18*M4)^2</f>
        <v>1.1818193566384664E-5</v>
      </c>
      <c r="Y4" s="18">
        <f t="shared" ref="Y4:Y61" si="22">(1 - SUM(L4:N4))^2</f>
        <v>2.9340398702553082E-6</v>
      </c>
      <c r="AA4" s="22" t="s">
        <v>18</v>
      </c>
      <c r="AB4" s="22">
        <v>0.98641727067468221</v>
      </c>
      <c r="AC4">
        <v>0.94514754229000764</v>
      </c>
      <c r="AG4">
        <v>0.5885249029369003</v>
      </c>
      <c r="AH4">
        <v>0.58852570936457249</v>
      </c>
      <c r="AI4">
        <v>0.58852570346590594</v>
      </c>
      <c r="AK4">
        <v>-3.0687112411970321</v>
      </c>
      <c r="AL4">
        <v>0.98641727067468221</v>
      </c>
    </row>
    <row r="5" spans="1:38">
      <c r="A5" s="6">
        <v>3</v>
      </c>
      <c r="B5" s="7">
        <f t="shared" si="1"/>
        <v>5.0751917981367782</v>
      </c>
      <c r="C5" s="7">
        <f t="shared" si="2"/>
        <v>0.993788930876082</v>
      </c>
      <c r="D5" s="7">
        <f t="shared" si="3"/>
        <v>2.0807435754233299</v>
      </c>
      <c r="E5" s="7">
        <f t="shared" si="4"/>
        <v>1.9783282873205243</v>
      </c>
      <c r="F5" s="7">
        <f t="shared" si="5"/>
        <v>1.9783282873205243</v>
      </c>
      <c r="G5" s="7">
        <f t="shared" si="6"/>
        <v>-3.8282154194578375</v>
      </c>
      <c r="H5" s="7">
        <f t="shared" si="7"/>
        <v>-0.99905446205561699</v>
      </c>
      <c r="I5" s="7">
        <f t="shared" si="8"/>
        <v>-1.0818228457024284</v>
      </c>
      <c r="J5" s="7">
        <f t="shared" si="9"/>
        <v>-1.9083621601640159</v>
      </c>
      <c r="K5" s="7">
        <f t="shared" si="10"/>
        <v>-2.0489206518700578</v>
      </c>
      <c r="L5" s="7">
        <f t="shared" si="11"/>
        <v>0.99892072972090151</v>
      </c>
      <c r="M5" s="7">
        <f t="shared" si="12"/>
        <v>6.9966127156508406E-2</v>
      </c>
      <c r="N5" s="7">
        <f t="shared" si="13"/>
        <v>-7.0592364549533437E-2</v>
      </c>
      <c r="O5" s="17">
        <v>0.99110329365628103</v>
      </c>
      <c r="P5" s="17">
        <v>1.5165637719900501E-3</v>
      </c>
      <c r="Q5" s="17">
        <v>2.4789689316632598E-3</v>
      </c>
      <c r="R5" s="18">
        <f t="shared" si="14"/>
        <v>1.0085874810875882E-2</v>
      </c>
      <c r="S5" s="19">
        <f t="shared" si="16"/>
        <v>-1.9924466419503073E-3</v>
      </c>
      <c r="T5" s="19">
        <f t="shared" si="17"/>
        <v>9.4924531759699171E-4</v>
      </c>
      <c r="U5" s="19">
        <f t="shared" si="18"/>
        <v>1.0505975813090984E-3</v>
      </c>
      <c r="V5" s="18">
        <f t="shared" si="19"/>
        <v>6.7783048291434505E-4</v>
      </c>
      <c r="W5" s="18">
        <f t="shared" si="20"/>
        <v>5.2294725299692013E-4</v>
      </c>
      <c r="X5" s="18">
        <f t="shared" si="21"/>
        <v>9.9839666604672338E-6</v>
      </c>
      <c r="Y5" s="18">
        <f t="shared" si="22"/>
        <v>2.9087564196721829E-6</v>
      </c>
      <c r="AA5" s="22" t="s">
        <v>19</v>
      </c>
      <c r="AB5" s="22">
        <v>1.1004530106018346</v>
      </c>
      <c r="AC5">
        <v>2.7053990092140861E-2</v>
      </c>
      <c r="AG5">
        <v>3.4650897407637493E-2</v>
      </c>
      <c r="AH5">
        <v>4.4431052192601594</v>
      </c>
      <c r="AI5">
        <v>5.1488980540323839</v>
      </c>
      <c r="AK5">
        <v>2.4363582381944449</v>
      </c>
      <c r="AL5">
        <v>1.1004530106018346</v>
      </c>
    </row>
    <row r="6" spans="1:38">
      <c r="A6" s="6">
        <v>4</v>
      </c>
      <c r="B6" s="7">
        <f t="shared" si="1"/>
        <v>4.6802483861102324</v>
      </c>
      <c r="C6" s="7">
        <f t="shared" si="2"/>
        <v>0.99080855695097525</v>
      </c>
      <c r="D6" s="7">
        <f t="shared" si="3"/>
        <v>2.077803683110536</v>
      </c>
      <c r="E6" s="7">
        <f t="shared" si="4"/>
        <v>1.9798038628968542</v>
      </c>
      <c r="F6" s="7">
        <f t="shared" si="5"/>
        <v>1.9798038628968542</v>
      </c>
      <c r="G6" s="7">
        <f t="shared" si="6"/>
        <v>-3.7025148495782219</v>
      </c>
      <c r="H6" s="7">
        <f t="shared" si="7"/>
        <v>-0.99878436720615482</v>
      </c>
      <c r="I6" s="7">
        <f t="shared" si="8"/>
        <v>-1.0818251541798294</v>
      </c>
      <c r="J6" s="7">
        <f t="shared" si="9"/>
        <v>-1.908426297046351</v>
      </c>
      <c r="K6" s="7">
        <f t="shared" si="10"/>
        <v>-2.0488544987009054</v>
      </c>
      <c r="L6" s="7">
        <f t="shared" si="11"/>
        <v>0.9959785289307066</v>
      </c>
      <c r="M6" s="7">
        <f t="shared" si="12"/>
        <v>7.1377565850503144E-2</v>
      </c>
      <c r="N6" s="7">
        <f t="shared" si="13"/>
        <v>-6.9050635804051241E-2</v>
      </c>
      <c r="O6" s="17">
        <v>0.99855053119660397</v>
      </c>
      <c r="P6" s="17">
        <v>2.0051112150917699E-3</v>
      </c>
      <c r="Q6" s="17">
        <v>3.86363487767975E-3</v>
      </c>
      <c r="R6" s="18">
        <f t="shared" si="14"/>
        <v>1.0135643526846726E-2</v>
      </c>
      <c r="S6" s="19">
        <f t="shared" si="16"/>
        <v>-2.9422007901949154E-3</v>
      </c>
      <c r="T6" s="19">
        <f t="shared" si="17"/>
        <v>1.4114386939947376E-3</v>
      </c>
      <c r="U6" s="19">
        <f t="shared" si="18"/>
        <v>1.541728745482196E-3</v>
      </c>
      <c r="V6" s="18">
        <f t="shared" si="19"/>
        <v>6.5365166948875956E-4</v>
      </c>
      <c r="W6" s="18">
        <f t="shared" si="20"/>
        <v>5.1993574018452415E-4</v>
      </c>
      <c r="X6" s="18">
        <f t="shared" si="21"/>
        <v>7.5820171134725488E-6</v>
      </c>
      <c r="Y6" s="18">
        <f t="shared" si="22"/>
        <v>2.871469278092718E-6</v>
      </c>
      <c r="AA6" s="22" t="s">
        <v>20</v>
      </c>
      <c r="AB6" s="22">
        <v>-0.49509746542191235</v>
      </c>
      <c r="AC6">
        <v>-0.44212350764266173</v>
      </c>
      <c r="AG6">
        <v>-0.29426305449258744</v>
      </c>
      <c r="AH6">
        <v>-0.2942628537432973</v>
      </c>
      <c r="AI6">
        <v>-0.29426285179354034</v>
      </c>
      <c r="AK6">
        <v>1.5528742807959037</v>
      </c>
      <c r="AL6">
        <v>-0.49509746542191235</v>
      </c>
    </row>
    <row r="7" spans="1:38">
      <c r="A7" s="6">
        <v>5</v>
      </c>
      <c r="B7" s="7">
        <f t="shared" si="1"/>
        <v>4.2853049740836866</v>
      </c>
      <c r="C7" s="7">
        <f t="shared" si="2"/>
        <v>0.98641760022420244</v>
      </c>
      <c r="D7" s="7">
        <f t="shared" si="3"/>
        <v>2.0734723675604623</v>
      </c>
      <c r="E7" s="7">
        <f t="shared" si="4"/>
        <v>1.9819778144430567</v>
      </c>
      <c r="F7" s="7">
        <f t="shared" si="5"/>
        <v>1.9819778144430567</v>
      </c>
      <c r="G7" s="7">
        <f t="shared" si="6"/>
        <v>-3.5768142796986062</v>
      </c>
      <c r="H7" s="7">
        <f t="shared" si="7"/>
        <v>-0.99843717952679611</v>
      </c>
      <c r="I7" s="7">
        <f t="shared" si="8"/>
        <v>-1.0818281215630035</v>
      </c>
      <c r="J7" s="7">
        <f t="shared" si="9"/>
        <v>-1.9085087404375658</v>
      </c>
      <c r="K7" s="7">
        <f t="shared" si="10"/>
        <v>-2.0487694635166882</v>
      </c>
      <c r="L7" s="7">
        <f t="shared" si="11"/>
        <v>0.99164424599745882</v>
      </c>
      <c r="M7" s="7">
        <f t="shared" si="12"/>
        <v>7.3469074005490853E-2</v>
      </c>
      <c r="N7" s="7">
        <f t="shared" si="13"/>
        <v>-6.6791649073631554E-2</v>
      </c>
      <c r="O7" s="17">
        <v>0.99334815329542803</v>
      </c>
      <c r="P7" s="17">
        <v>5.7859344004262394E-3</v>
      </c>
      <c r="Q7" s="17">
        <v>-4.6798608314981898E-3</v>
      </c>
      <c r="R7" s="18">
        <f t="shared" si="14"/>
        <v>8.4417849255143552E-3</v>
      </c>
      <c r="S7" s="19">
        <f t="shared" si="16"/>
        <v>-4.3342829332477795E-3</v>
      </c>
      <c r="T7" s="19">
        <f t="shared" si="17"/>
        <v>2.091508154987709E-3</v>
      </c>
      <c r="U7" s="19">
        <f t="shared" si="18"/>
        <v>2.2589867304196876E-3</v>
      </c>
      <c r="V7" s="18">
        <f t="shared" si="19"/>
        <v>6.1912373096796158E-4</v>
      </c>
      <c r="W7" s="18">
        <f t="shared" si="20"/>
        <v>5.154641922506686E-4</v>
      </c>
      <c r="X7" s="18">
        <f t="shared" si="21"/>
        <v>4.6748865990762229E-6</v>
      </c>
      <c r="Y7" s="18">
        <f t="shared" si="22"/>
        <v>2.8167884694959135E-6</v>
      </c>
      <c r="AA7" s="22" t="s">
        <v>21</v>
      </c>
      <c r="AB7" s="22">
        <v>2.4703506681616245</v>
      </c>
      <c r="AC7">
        <v>-1.4636964936863254E-2</v>
      </c>
      <c r="AG7">
        <v>-1.5774041421789425E-2</v>
      </c>
      <c r="AH7">
        <v>0.53568174325790974</v>
      </c>
      <c r="AI7">
        <v>-1.1800350410682234</v>
      </c>
      <c r="AK7">
        <v>-1.0271785449925832</v>
      </c>
      <c r="AL7">
        <v>2.4703506681616245</v>
      </c>
    </row>
    <row r="8" spans="1:38">
      <c r="A8" s="6">
        <v>6</v>
      </c>
      <c r="B8" s="7">
        <f t="shared" si="1"/>
        <v>3.8903615620571417</v>
      </c>
      <c r="C8" s="7">
        <f t="shared" si="2"/>
        <v>0.9799713887450161</v>
      </c>
      <c r="D8" s="7">
        <f t="shared" si="3"/>
        <v>2.0671137132269717</v>
      </c>
      <c r="E8" s="7">
        <f t="shared" si="4"/>
        <v>1.9851693174079754</v>
      </c>
      <c r="F8" s="7">
        <f t="shared" si="5"/>
        <v>1.9851693174079754</v>
      </c>
      <c r="G8" s="7">
        <f t="shared" si="6"/>
        <v>-3.4511137098189906</v>
      </c>
      <c r="H8" s="7">
        <f t="shared" si="7"/>
        <v>-0.99799093387041649</v>
      </c>
      <c r="I8" s="7">
        <f t="shared" si="8"/>
        <v>-1.0818319355861701</v>
      </c>
      <c r="J8" s="7">
        <f t="shared" si="9"/>
        <v>-1.9086147061944576</v>
      </c>
      <c r="K8" s="7">
        <f t="shared" si="10"/>
        <v>-2.0486601664884452</v>
      </c>
      <c r="L8" s="7">
        <f t="shared" si="11"/>
        <v>0.9852817776408016</v>
      </c>
      <c r="M8" s="7">
        <f t="shared" si="12"/>
        <v>7.6554611213517809E-2</v>
      </c>
      <c r="N8" s="7">
        <f t="shared" si="13"/>
        <v>-6.3490849080469758E-2</v>
      </c>
      <c r="O8" s="17">
        <v>0.98283073740154103</v>
      </c>
      <c r="P8" s="17">
        <v>1.2651330839959601E-2</v>
      </c>
      <c r="Q8" s="17">
        <v>3.0346095032803499E-3</v>
      </c>
      <c r="R8" s="18">
        <f t="shared" si="14"/>
        <v>8.515273480534314E-3</v>
      </c>
      <c r="S8" s="19">
        <f t="shared" si="16"/>
        <v>-6.3624683566572138E-3</v>
      </c>
      <c r="T8" s="19">
        <f t="shared" si="17"/>
        <v>3.0855372080269561E-3</v>
      </c>
      <c r="U8" s="19">
        <f t="shared" si="18"/>
        <v>3.300799993161796E-3</v>
      </c>
      <c r="V8" s="18">
        <f t="shared" si="19"/>
        <v>5.7052717396733688E-4</v>
      </c>
      <c r="W8" s="18">
        <f t="shared" si="20"/>
        <v>5.0876540630715524E-4</v>
      </c>
      <c r="X8" s="18">
        <f t="shared" si="21"/>
        <v>1.7056703884968596E-6</v>
      </c>
      <c r="Y8" s="18">
        <f t="shared" si="22"/>
        <v>2.7372386399134504E-6</v>
      </c>
      <c r="AA8" s="22" t="s">
        <v>22</v>
      </c>
      <c r="AB8" s="22">
        <v>-8.245227317439964</v>
      </c>
      <c r="AC8">
        <v>-6.5841423752670547E-2</v>
      </c>
      <c r="AG8">
        <v>-6.5841423752670547E-2</v>
      </c>
      <c r="AH8">
        <v>-6.7527746818861507</v>
      </c>
      <c r="AI8">
        <v>-4.4753201647455629</v>
      </c>
      <c r="AK8">
        <v>-4.6046249543338194</v>
      </c>
      <c r="AL8">
        <v>-8.245227317439964</v>
      </c>
    </row>
    <row r="9" spans="1:38">
      <c r="A9" s="6">
        <v>7</v>
      </c>
      <c r="B9" s="7">
        <f t="shared" si="1"/>
        <v>3.4954181500305963</v>
      </c>
      <c r="C9" s="7">
        <f t="shared" si="2"/>
        <v>0.97055712023023122</v>
      </c>
      <c r="D9" s="7">
        <f t="shared" si="3"/>
        <v>2.0578273161732188</v>
      </c>
      <c r="E9" s="7">
        <f t="shared" si="4"/>
        <v>1.9898302978884468</v>
      </c>
      <c r="F9" s="7">
        <f t="shared" si="5"/>
        <v>1.9898302978884468</v>
      </c>
      <c r="G9" s="7">
        <f t="shared" si="6"/>
        <v>-3.3254131399393749</v>
      </c>
      <c r="H9" s="7">
        <f t="shared" si="7"/>
        <v>-0.99741743249392778</v>
      </c>
      <c r="I9" s="7">
        <f t="shared" si="8"/>
        <v>-1.0818368372530094</v>
      </c>
      <c r="J9" s="7">
        <f t="shared" si="9"/>
        <v>-1.9087508901697396</v>
      </c>
      <c r="K9" s="7">
        <f t="shared" si="10"/>
        <v>-2.0485197012643086</v>
      </c>
      <c r="L9" s="7">
        <f t="shared" si="11"/>
        <v>0.9759904789202094</v>
      </c>
      <c r="M9" s="7">
        <f t="shared" si="12"/>
        <v>8.1079407718707142E-2</v>
      </c>
      <c r="N9" s="7">
        <f t="shared" si="13"/>
        <v>-5.8689403375861815E-2</v>
      </c>
      <c r="O9" s="17">
        <v>0.97539398785926001</v>
      </c>
      <c r="P9" s="17">
        <v>2.03539996715329E-2</v>
      </c>
      <c r="Q9" s="17">
        <v>7.4668309922445502E-3</v>
      </c>
      <c r="R9" s="18">
        <f t="shared" si="14"/>
        <v>8.0645783298494249E-3</v>
      </c>
      <c r="S9" s="19">
        <f t="shared" si="16"/>
        <v>-9.2912987205922004E-3</v>
      </c>
      <c r="T9" s="19">
        <f t="shared" si="17"/>
        <v>4.5247965051893324E-3</v>
      </c>
      <c r="U9" s="19">
        <f t="shared" si="18"/>
        <v>4.8014457046079428E-3</v>
      </c>
      <c r="V9" s="18">
        <f t="shared" si="19"/>
        <v>5.0367077321054356E-4</v>
      </c>
      <c r="W9" s="18">
        <f t="shared" si="20"/>
        <v>4.9862942901752853E-4</v>
      </c>
      <c r="X9" s="18">
        <f t="shared" si="21"/>
        <v>6.0303494665682025E-9</v>
      </c>
      <c r="Y9" s="18">
        <f t="shared" si="22"/>
        <v>2.6228344612458552E-6</v>
      </c>
      <c r="AA9" s="22" t="s">
        <v>23</v>
      </c>
      <c r="AB9" s="22">
        <v>-5.0808450649868906</v>
      </c>
      <c r="AC9">
        <v>0.58028762424438773</v>
      </c>
      <c r="AG9">
        <v>0.58028762424438773</v>
      </c>
      <c r="AH9">
        <v>-2.8684424562838435</v>
      </c>
      <c r="AI9">
        <v>2.9661800842476316</v>
      </c>
      <c r="AK9">
        <v>-10</v>
      </c>
      <c r="AL9">
        <v>-5.0808450649868906</v>
      </c>
    </row>
    <row r="10" spans="1:38">
      <c r="A10" s="6">
        <v>8</v>
      </c>
      <c r="B10" s="7">
        <f t="shared" si="1"/>
        <v>3.1004747380040509</v>
      </c>
      <c r="C10" s="7">
        <f t="shared" si="2"/>
        <v>0.95691232328913534</v>
      </c>
      <c r="D10" s="7">
        <f t="shared" si="3"/>
        <v>2.0443678528156726</v>
      </c>
      <c r="E10" s="7">
        <f t="shared" si="4"/>
        <v>1.9965858022701801</v>
      </c>
      <c r="F10" s="7">
        <f t="shared" si="5"/>
        <v>1.9965858022701801</v>
      </c>
      <c r="G10" s="7">
        <f t="shared" si="6"/>
        <v>-3.1997125700597593</v>
      </c>
      <c r="H10" s="7">
        <f t="shared" si="7"/>
        <v>-0.99668049330131003</v>
      </c>
      <c r="I10" s="7">
        <f t="shared" si="8"/>
        <v>-1.0818431358087777</v>
      </c>
      <c r="J10" s="7">
        <f t="shared" si="9"/>
        <v>-1.9089258841852839</v>
      </c>
      <c r="K10" s="7">
        <f t="shared" si="10"/>
        <v>-2.0483392059192056</v>
      </c>
      <c r="L10" s="7">
        <f t="shared" si="11"/>
        <v>0.9625247170068949</v>
      </c>
      <c r="M10" s="7">
        <f t="shared" si="12"/>
        <v>8.765991808489626E-2</v>
      </c>
      <c r="N10" s="7">
        <f t="shared" si="13"/>
        <v>-5.1753403649025476E-2</v>
      </c>
      <c r="O10" s="17">
        <v>0.96249140793574095</v>
      </c>
      <c r="P10" s="17">
        <v>3.3533967396357001E-2</v>
      </c>
      <c r="Q10" s="17">
        <v>9.1761695406187595E-3</v>
      </c>
      <c r="R10" s="18">
        <f t="shared" si="14"/>
        <v>6.6420325365046176E-3</v>
      </c>
      <c r="S10" s="19">
        <f t="shared" si="16"/>
        <v>-1.34657619133145E-2</v>
      </c>
      <c r="T10" s="19">
        <f t="shared" si="17"/>
        <v>6.5805103661891184E-3</v>
      </c>
      <c r="U10" s="19">
        <f t="shared" si="18"/>
        <v>6.9359997268363394E-3</v>
      </c>
      <c r="V10" s="18">
        <f t="shared" si="19"/>
        <v>4.1495092792709381E-4</v>
      </c>
      <c r="W10" s="18">
        <f t="shared" si="20"/>
        <v>4.8314240867374821E-4</v>
      </c>
      <c r="X10" s="18">
        <f t="shared" si="21"/>
        <v>2.758603761711526E-6</v>
      </c>
      <c r="Y10" s="18">
        <f t="shared" si="22"/>
        <v>2.461034786167026E-6</v>
      </c>
      <c r="AA10" s="22" t="s">
        <v>62</v>
      </c>
      <c r="AB10" s="22">
        <v>0.12570056987961567</v>
      </c>
      <c r="AC10">
        <v>-0.13593673577519041</v>
      </c>
      <c r="AG10">
        <v>-0.5809003862437121</v>
      </c>
      <c r="AH10">
        <v>0.58088391733172218</v>
      </c>
      <c r="AI10">
        <v>-0.58088390693612801</v>
      </c>
      <c r="AK10">
        <v>0.60166306721962337</v>
      </c>
      <c r="AL10">
        <v>0.12570056987961567</v>
      </c>
    </row>
    <row r="11" spans="1:38">
      <c r="A11" s="6">
        <v>9</v>
      </c>
      <c r="B11" s="7">
        <f t="shared" si="1"/>
        <v>2.7055313259775056</v>
      </c>
      <c r="C11" s="7">
        <f t="shared" si="2"/>
        <v>0.93735224691371954</v>
      </c>
      <c r="D11" s="7">
        <f t="shared" si="3"/>
        <v>2.0250734556632466</v>
      </c>
      <c r="E11" s="7">
        <f t="shared" si="4"/>
        <v>2.0062699465071074</v>
      </c>
      <c r="F11" s="7">
        <f t="shared" si="5"/>
        <v>2.0062699465071074</v>
      </c>
      <c r="G11" s="7">
        <f t="shared" si="6"/>
        <v>-3.0740120001801436</v>
      </c>
      <c r="H11" s="7">
        <f t="shared" si="7"/>
        <v>-0.99573371664684307</v>
      </c>
      <c r="I11" s="7">
        <f t="shared" si="8"/>
        <v>-1.0818512278272481</v>
      </c>
      <c r="J11" s="7">
        <f t="shared" si="9"/>
        <v>-1.9091507063283431</v>
      </c>
      <c r="K11" s="7">
        <f t="shared" si="10"/>
        <v>-2.0481073159875867</v>
      </c>
      <c r="L11" s="7">
        <f t="shared" si="11"/>
        <v>0.94322222783599852</v>
      </c>
      <c r="M11" s="7">
        <f t="shared" si="12"/>
        <v>9.7119240178764388E-2</v>
      </c>
      <c r="N11" s="7">
        <f t="shared" si="13"/>
        <v>-4.1837369480479225E-2</v>
      </c>
      <c r="O11" s="17">
        <v>0.94450237023887595</v>
      </c>
      <c r="P11" s="17">
        <v>4.7496166004264602E-2</v>
      </c>
      <c r="Q11" s="17">
        <v>7.5225339506602403E-3</v>
      </c>
      <c r="R11" s="18">
        <f t="shared" si="14"/>
        <v>4.9004883218309661E-3</v>
      </c>
      <c r="S11" s="19">
        <f t="shared" si="16"/>
        <v>-1.9302489170896386E-2</v>
      </c>
      <c r="T11" s="19">
        <f t="shared" si="17"/>
        <v>9.4593220938681277E-3</v>
      </c>
      <c r="U11" s="19">
        <f t="shared" si="18"/>
        <v>9.9160341685462505E-3</v>
      </c>
      <c r="V11" s="18">
        <f t="shared" si="19"/>
        <v>3.0391215540692218E-4</v>
      </c>
      <c r="W11" s="18">
        <f t="shared" si="20"/>
        <v>4.5932704022051641E-4</v>
      </c>
      <c r="X11" s="18">
        <f t="shared" si="21"/>
        <v>1.6578797955173033E-5</v>
      </c>
      <c r="Y11" s="18">
        <f t="shared" si="22"/>
        <v>2.2377211951322359E-6</v>
      </c>
      <c r="AA11" s="22" t="s">
        <v>63</v>
      </c>
      <c r="AB11" s="22">
        <v>-4.2053171290966844</v>
      </c>
      <c r="AC11">
        <v>4.6279142309463914</v>
      </c>
      <c r="AG11">
        <v>5.5920934404738505</v>
      </c>
      <c r="AH11">
        <v>-5.5919597002334216</v>
      </c>
      <c r="AI11">
        <v>5.5919596016535209</v>
      </c>
      <c r="AK11">
        <v>-5.5989050863548755</v>
      </c>
      <c r="AL11">
        <v>-4.2053171290966844</v>
      </c>
    </row>
    <row r="12" spans="1:38">
      <c r="A12" s="6">
        <v>10</v>
      </c>
      <c r="B12" s="7">
        <f t="shared" si="1"/>
        <v>2.3105879139509602</v>
      </c>
      <c r="C12" s="7">
        <f t="shared" si="2"/>
        <v>0.90975013749871936</v>
      </c>
      <c r="D12" s="7">
        <f t="shared" si="3"/>
        <v>1.9978462582292382</v>
      </c>
      <c r="E12" s="7">
        <f t="shared" si="4"/>
        <v>2.0199356809187723</v>
      </c>
      <c r="F12" s="7">
        <f t="shared" si="5"/>
        <v>2.0199356809187723</v>
      </c>
      <c r="G12" s="7">
        <f t="shared" si="6"/>
        <v>-2.948311430300528</v>
      </c>
      <c r="H12" s="7">
        <f t="shared" si="7"/>
        <v>-0.99451764552288269</v>
      </c>
      <c r="I12" s="7">
        <f t="shared" si="8"/>
        <v>-1.0818616214823409</v>
      </c>
      <c r="J12" s="7">
        <f t="shared" si="9"/>
        <v>-1.9094394752950379</v>
      </c>
      <c r="K12" s="7">
        <f t="shared" si="10"/>
        <v>-2.0478094689204371</v>
      </c>
      <c r="L12" s="7">
        <f t="shared" si="11"/>
        <v>0.91598463674689734</v>
      </c>
      <c r="M12" s="7">
        <f t="shared" si="12"/>
        <v>0.11049620562373441</v>
      </c>
      <c r="N12" s="7">
        <f t="shared" si="13"/>
        <v>-2.7873788001664845E-2</v>
      </c>
      <c r="O12" s="17">
        <v>0.91819898168117797</v>
      </c>
      <c r="P12" s="17">
        <v>6.7597221336325009E-2</v>
      </c>
      <c r="Q12" s="17">
        <v>3.2927993138720797E-3</v>
      </c>
      <c r="R12" s="18">
        <f t="shared" si="14"/>
        <v>2.8165823412763602E-3</v>
      </c>
      <c r="S12" s="19">
        <f t="shared" si="16"/>
        <v>-2.7237591089101176E-2</v>
      </c>
      <c r="T12" s="19">
        <f t="shared" si="17"/>
        <v>1.3376965444970024E-2</v>
      </c>
      <c r="U12" s="19">
        <f t="shared" si="18"/>
        <v>1.396358147881438E-2</v>
      </c>
      <c r="V12" s="18">
        <f t="shared" si="19"/>
        <v>1.7824672232833515E-4</v>
      </c>
      <c r="W12" s="18">
        <f t="shared" si="20"/>
        <v>4.228049898825063E-4</v>
      </c>
      <c r="X12" s="18">
        <f t="shared" si="21"/>
        <v>5.3498561119876978E-5</v>
      </c>
      <c r="Y12" s="18">
        <f t="shared" si="22"/>
        <v>1.9402975310141831E-6</v>
      </c>
      <c r="AA12" s="22" t="s">
        <v>64</v>
      </c>
      <c r="AB12" s="22">
        <v>-8.5469138177901964E-3</v>
      </c>
      <c r="AC12">
        <v>1.1933844411785445E-2</v>
      </c>
      <c r="AG12">
        <v>0.20632935350217216</v>
      </c>
      <c r="AH12">
        <v>-0.20632844424586097</v>
      </c>
      <c r="AI12">
        <v>0.20632844811946729</v>
      </c>
      <c r="AK12">
        <v>-0.15991347792376906</v>
      </c>
      <c r="AL12">
        <v>-8.5469138177901964E-3</v>
      </c>
    </row>
    <row r="13" spans="1:38">
      <c r="A13" s="6">
        <v>11</v>
      </c>
      <c r="B13" s="7">
        <f t="shared" si="1"/>
        <v>1.9156445019244153</v>
      </c>
      <c r="C13" s="7">
        <f t="shared" si="2"/>
        <v>0.87165195133923845</v>
      </c>
      <c r="D13" s="7">
        <f t="shared" si="3"/>
        <v>1.9602655494201473</v>
      </c>
      <c r="E13" s="7">
        <f t="shared" si="4"/>
        <v>2.0387979963235034</v>
      </c>
      <c r="F13" s="7">
        <f t="shared" si="5"/>
        <v>2.0387979963235034</v>
      </c>
      <c r="G13" s="7">
        <f t="shared" si="6"/>
        <v>-2.8226108604209124</v>
      </c>
      <c r="H13" s="7">
        <f t="shared" si="7"/>
        <v>-0.99295616613371618</v>
      </c>
      <c r="I13" s="7">
        <f t="shared" si="8"/>
        <v>-1.0818749673121082</v>
      </c>
      <c r="J13" s="7">
        <f t="shared" si="9"/>
        <v>-1.9098102651122126</v>
      </c>
      <c r="K13" s="7">
        <f t="shared" si="10"/>
        <v>-2.0474270224933209</v>
      </c>
      <c r="L13" s="7">
        <f t="shared" si="11"/>
        <v>0.87839058210803911</v>
      </c>
      <c r="M13" s="7">
        <f t="shared" si="12"/>
        <v>0.12898773121129081</v>
      </c>
      <c r="N13" s="7">
        <f t="shared" si="13"/>
        <v>-8.629026169817422E-3</v>
      </c>
      <c r="O13" s="17">
        <v>0.89021613947898592</v>
      </c>
      <c r="P13" s="17">
        <v>9.5969397639399309E-2</v>
      </c>
      <c r="Q13" s="17">
        <v>1.96514990734073E-2</v>
      </c>
      <c r="R13" s="18">
        <f t="shared" si="14"/>
        <v>2.029842267030923E-3</v>
      </c>
      <c r="S13" s="19">
        <f t="shared" si="16"/>
        <v>-3.7594054638858232E-2</v>
      </c>
      <c r="T13" s="19">
        <f t="shared" si="17"/>
        <v>1.8491525587556401E-2</v>
      </c>
      <c r="U13" s="19">
        <f t="shared" si="18"/>
        <v>1.9244761831847423E-2</v>
      </c>
      <c r="V13" s="18">
        <f t="shared" si="19"/>
        <v>6.150170656413998E-5</v>
      </c>
      <c r="W13" s="18">
        <f t="shared" si="20"/>
        <v>3.6797827265461886E-4</v>
      </c>
      <c r="X13" s="18">
        <f t="shared" si="21"/>
        <v>1.3185217378987421E-4</v>
      </c>
      <c r="Y13" s="18">
        <f t="shared" si="22"/>
        <v>1.5642826343745697E-6</v>
      </c>
      <c r="AA13" s="22" t="s">
        <v>65</v>
      </c>
      <c r="AB13" s="22">
        <v>-1.0903616780888965</v>
      </c>
      <c r="AC13">
        <v>-1.4264622529671363E-2</v>
      </c>
      <c r="AG13">
        <v>0.18716742704325154</v>
      </c>
      <c r="AH13">
        <v>-4.2212898469649165</v>
      </c>
      <c r="AI13">
        <v>-4.9270826794421065</v>
      </c>
      <c r="AK13">
        <v>0.2325284744942856</v>
      </c>
      <c r="AL13">
        <v>-1.0903616780888965</v>
      </c>
    </row>
    <row r="14" spans="1:38">
      <c r="A14" s="6">
        <v>12</v>
      </c>
      <c r="B14" s="7">
        <f t="shared" si="1"/>
        <v>1.5207010898978695</v>
      </c>
      <c r="C14" s="7">
        <f t="shared" si="2"/>
        <v>0.82064169644385221</v>
      </c>
      <c r="D14" s="7">
        <f t="shared" si="3"/>
        <v>1.9099481530098203</v>
      </c>
      <c r="E14" s="7">
        <f t="shared" si="4"/>
        <v>2.0640530442327347</v>
      </c>
      <c r="F14" s="7">
        <f t="shared" si="5"/>
        <v>2.0640530442327347</v>
      </c>
      <c r="G14" s="7">
        <f t="shared" si="6"/>
        <v>-2.6969102905412963</v>
      </c>
      <c r="H14" s="7">
        <f t="shared" si="7"/>
        <v>-0.99095196509404548</v>
      </c>
      <c r="I14" s="7">
        <f t="shared" si="8"/>
        <v>-1.0818920970456678</v>
      </c>
      <c r="J14" s="7">
        <f t="shared" si="9"/>
        <v>-1.9102861838737646</v>
      </c>
      <c r="K14" s="7">
        <f t="shared" si="10"/>
        <v>-2.046936142157556</v>
      </c>
      <c r="L14" s="7">
        <f t="shared" si="11"/>
        <v>0.82805605596415255</v>
      </c>
      <c r="M14" s="7">
        <f t="shared" si="12"/>
        <v>0.15376686035897014</v>
      </c>
      <c r="N14" s="7">
        <f t="shared" si="13"/>
        <v>1.7116902075178686E-2</v>
      </c>
      <c r="O14" s="17">
        <v>0.83105634839519704</v>
      </c>
      <c r="P14" s="17">
        <v>0.139820372745182</v>
      </c>
      <c r="Q14" s="17">
        <v>2.4532806481925299E-2</v>
      </c>
      <c r="R14" s="18">
        <f t="shared" si="14"/>
        <v>2.5850190960333272E-4</v>
      </c>
      <c r="S14" s="19">
        <f t="shared" si="16"/>
        <v>-5.033452614388656E-2</v>
      </c>
      <c r="T14" s="19">
        <f t="shared" si="17"/>
        <v>2.4779129147679324E-2</v>
      </c>
      <c r="U14" s="19">
        <f t="shared" si="18"/>
        <v>2.5745928244996108E-2</v>
      </c>
      <c r="V14" s="18">
        <f t="shared" si="19"/>
        <v>5.2786631802928634E-7</v>
      </c>
      <c r="W14" s="18">
        <f t="shared" si="20"/>
        <v>2.8997799316781824E-4</v>
      </c>
      <c r="X14" s="18">
        <f t="shared" si="21"/>
        <v>2.720100560131995E-4</v>
      </c>
      <c r="Y14" s="18">
        <f t="shared" si="22"/>
        <v>1.1239850285802699E-6</v>
      </c>
      <c r="AA14" s="22" t="s">
        <v>66</v>
      </c>
      <c r="AB14" s="22">
        <v>-0.23746059009635131</v>
      </c>
      <c r="AC14">
        <v>0.21749990604334379</v>
      </c>
      <c r="AG14">
        <v>0.16188830296887186</v>
      </c>
      <c r="AH14">
        <v>-0.16189221428254452</v>
      </c>
      <c r="AI14">
        <v>0.16189221400659676</v>
      </c>
      <c r="AK14">
        <v>-0.17904174663606276</v>
      </c>
      <c r="AL14">
        <v>-0.23746059009635131</v>
      </c>
    </row>
    <row r="15" spans="1:38">
      <c r="A15" s="6">
        <v>13</v>
      </c>
      <c r="B15" s="7">
        <f t="shared" si="1"/>
        <v>1.1257576778713236</v>
      </c>
      <c r="C15" s="7">
        <f t="shared" si="2"/>
        <v>0.75505514409965513</v>
      </c>
      <c r="D15" s="7">
        <f t="shared" si="3"/>
        <v>1.8452524450534953</v>
      </c>
      <c r="E15" s="7">
        <f t="shared" si="4"/>
        <v>2.0965247800641085</v>
      </c>
      <c r="F15" s="7">
        <f t="shared" si="5"/>
        <v>2.0965247800641085</v>
      </c>
      <c r="G15" s="7">
        <f t="shared" si="6"/>
        <v>-2.5712097206616806</v>
      </c>
      <c r="H15" s="7">
        <f t="shared" si="7"/>
        <v>-0.98838082801736205</v>
      </c>
      <c r="I15" s="7">
        <f t="shared" si="8"/>
        <v>-1.0819140723326759</v>
      </c>
      <c r="J15" s="7">
        <f t="shared" si="9"/>
        <v>-1.9108967276012123</v>
      </c>
      <c r="K15" s="7">
        <f t="shared" si="10"/>
        <v>-2.0463064046179982</v>
      </c>
      <c r="L15" s="7">
        <f t="shared" si="11"/>
        <v>0.76333837272081939</v>
      </c>
      <c r="M15" s="7">
        <f t="shared" si="12"/>
        <v>0.18562805246289615</v>
      </c>
      <c r="N15" s="7">
        <f t="shared" si="13"/>
        <v>5.0218375446110297E-2</v>
      </c>
      <c r="O15" s="17">
        <v>0.77338802087821101</v>
      </c>
      <c r="P15" s="17">
        <v>0.19576330278256401</v>
      </c>
      <c r="Q15" s="17">
        <v>3.84479753657469E-2</v>
      </c>
      <c r="R15" s="18">
        <f t="shared" si="14"/>
        <v>3.4226104518151094E-4</v>
      </c>
      <c r="S15" s="19">
        <f t="shared" si="16"/>
        <v>-6.4717683243333157E-2</v>
      </c>
      <c r="T15" s="19">
        <f t="shared" si="17"/>
        <v>3.1861192103926017E-2</v>
      </c>
      <c r="U15" s="19">
        <f t="shared" si="18"/>
        <v>3.3101473370931611E-2</v>
      </c>
      <c r="V15" s="18">
        <f t="shared" si="19"/>
        <v>6.2317816276815719E-5</v>
      </c>
      <c r="W15" s="18">
        <f t="shared" si="20"/>
        <v>1.9021434213631607E-4</v>
      </c>
      <c r="X15" s="18">
        <f t="shared" si="21"/>
        <v>4.8096732362713849E-4</v>
      </c>
      <c r="Y15" s="18">
        <f t="shared" si="22"/>
        <v>6.645500131323435E-7</v>
      </c>
      <c r="AA15" s="22" t="s">
        <v>67</v>
      </c>
      <c r="AB15" s="22">
        <v>-2.1455982222621355</v>
      </c>
      <c r="AC15">
        <v>0.32240452447740081</v>
      </c>
      <c r="AG15">
        <v>0.18845639444665629</v>
      </c>
      <c r="AH15">
        <v>-0.36300163622637782</v>
      </c>
      <c r="AI15">
        <v>1.3527151453628847</v>
      </c>
      <c r="AK15">
        <v>-2.3778176887949747E-2</v>
      </c>
      <c r="AL15">
        <v>-2.1455982222621355</v>
      </c>
    </row>
    <row r="16" spans="1:38">
      <c r="A16" s="6">
        <v>14</v>
      </c>
      <c r="B16" s="7">
        <f t="shared" si="1"/>
        <v>0.73081426584477871</v>
      </c>
      <c r="C16" s="7">
        <f t="shared" si="2"/>
        <v>0.67498393217718156</v>
      </c>
      <c r="D16" s="7">
        <f t="shared" si="3"/>
        <v>1.7662688187293147</v>
      </c>
      <c r="E16" s="7">
        <f t="shared" si="4"/>
        <v>2.1361678341401857</v>
      </c>
      <c r="F16" s="7">
        <f t="shared" si="5"/>
        <v>2.1361678341401857</v>
      </c>
      <c r="G16" s="7">
        <f t="shared" si="6"/>
        <v>-2.445509150782065</v>
      </c>
      <c r="H16" s="7">
        <f t="shared" si="7"/>
        <v>-0.98508453672611951</v>
      </c>
      <c r="I16" s="7">
        <f t="shared" si="8"/>
        <v>-1.0819422454502605</v>
      </c>
      <c r="J16" s="7">
        <f t="shared" si="9"/>
        <v>-1.9116794668763604</v>
      </c>
      <c r="K16" s="7">
        <f t="shared" si="10"/>
        <v>-2.0454990581772985</v>
      </c>
      <c r="L16" s="7">
        <f t="shared" si="11"/>
        <v>0.68432657327905422</v>
      </c>
      <c r="M16" s="7">
        <f t="shared" si="12"/>
        <v>0.22448836726382537</v>
      </c>
      <c r="N16" s="7">
        <f t="shared" si="13"/>
        <v>9.0668775962887249E-2</v>
      </c>
      <c r="O16" s="17">
        <v>0.68790871012265198</v>
      </c>
      <c r="P16" s="17">
        <v>0.25894601239861498</v>
      </c>
      <c r="Q16" s="17">
        <v>6.3388110834698502E-2</v>
      </c>
      <c r="R16" s="18">
        <f t="shared" si="14"/>
        <v>1.9443957024377237E-3</v>
      </c>
      <c r="S16" s="19">
        <f t="shared" si="16"/>
        <v>-7.9011799441765174E-2</v>
      </c>
      <c r="T16" s="19">
        <f t="shared" si="17"/>
        <v>3.8860314800929219E-2</v>
      </c>
      <c r="U16" s="19">
        <f t="shared" si="18"/>
        <v>4.0450400516776952E-2</v>
      </c>
      <c r="V16" s="18">
        <f t="shared" si="19"/>
        <v>3.0295364229598599E-4</v>
      </c>
      <c r="W16" s="18">
        <f t="shared" si="20"/>
        <v>8.5320778574193279E-5</v>
      </c>
      <c r="X16" s="18">
        <f t="shared" si="21"/>
        <v>7.2583925789931913E-4</v>
      </c>
      <c r="Y16" s="18">
        <f t="shared" si="22"/>
        <v>2.6654864641760204E-7</v>
      </c>
      <c r="AA16" s="22" t="s">
        <v>68</v>
      </c>
      <c r="AB16" s="22">
        <v>0.24492569659873156</v>
      </c>
      <c r="AC16">
        <v>-0.23429521332582418</v>
      </c>
      <c r="AG16">
        <v>-0.36821816001932034</v>
      </c>
      <c r="AH16">
        <v>0.36822065948621885</v>
      </c>
      <c r="AI16">
        <v>-0.36822066219473537</v>
      </c>
      <c r="AK16">
        <v>0.33584702682364181</v>
      </c>
      <c r="AL16">
        <v>0.24492569659873156</v>
      </c>
    </row>
    <row r="17" spans="1:39">
      <c r="A17" s="6">
        <v>15</v>
      </c>
      <c r="B17" s="7">
        <f t="shared" si="1"/>
        <v>0.33587085381823378</v>
      </c>
      <c r="C17" s="7">
        <f t="shared" si="2"/>
        <v>0.58318715658077713</v>
      </c>
      <c r="D17" s="7">
        <f t="shared" si="3"/>
        <v>1.6757188938887735</v>
      </c>
      <c r="E17" s="7">
        <f t="shared" si="4"/>
        <v>2.1816161850718698</v>
      </c>
      <c r="F17" s="7">
        <f t="shared" si="5"/>
        <v>2.1816161850718698</v>
      </c>
      <c r="G17" s="7">
        <f t="shared" si="6"/>
        <v>-2.3198085809024493</v>
      </c>
      <c r="H17" s="7">
        <f t="shared" si="7"/>
        <v>-0.98086210741081659</v>
      </c>
      <c r="I17" s="7">
        <f t="shared" si="8"/>
        <v>-1.0819783341897202</v>
      </c>
      <c r="J17" s="7">
        <f t="shared" si="9"/>
        <v>-1.9126821274332122</v>
      </c>
      <c r="K17" s="7">
        <f t="shared" si="10"/>
        <v>-2.0444648767359088</v>
      </c>
      <c r="L17" s="7">
        <f t="shared" si="11"/>
        <v>0.59374055969905326</v>
      </c>
      <c r="M17" s="7">
        <f t="shared" si="12"/>
        <v>0.26893405763865763</v>
      </c>
      <c r="N17" s="7">
        <f t="shared" si="13"/>
        <v>0.13715130833596101</v>
      </c>
      <c r="O17" s="17">
        <v>0.59497831839092707</v>
      </c>
      <c r="P17" s="17">
        <v>0.33076845698165103</v>
      </c>
      <c r="Q17" s="17">
        <v>7.3720662375898097E-2</v>
      </c>
      <c r="R17" s="18">
        <f t="shared" si="14"/>
        <v>7.8484718355989365E-3</v>
      </c>
      <c r="S17" s="19">
        <f t="shared" si="16"/>
        <v>-9.0586013580000957E-2</v>
      </c>
      <c r="T17" s="19">
        <f t="shared" si="17"/>
        <v>4.4445690374832258E-2</v>
      </c>
      <c r="U17" s="19">
        <f t="shared" si="18"/>
        <v>4.6482532373073759E-2</v>
      </c>
      <c r="V17" s="18">
        <f t="shared" ref="V17:V61" si="23">(S17+$AB$19*L17*M17)^2</f>
        <v>7.0501475704849801E-4</v>
      </c>
      <c r="W17" s="18">
        <f t="shared" ref="W17:W61" si="24">(T17-$AB$19*L17*M17+$AB$18*M17)^2</f>
        <v>1.1591386225118666E-5</v>
      </c>
      <c r="X17" s="18">
        <f t="shared" ref="X17:X61" si="25">(U17-$AB$18*M17)^2</f>
        <v>9.1802550122626605E-4</v>
      </c>
      <c r="Y17" s="18">
        <f t="shared" si="22"/>
        <v>3.0301871086581747E-8</v>
      </c>
      <c r="AA17" s="22" t="s">
        <v>69</v>
      </c>
      <c r="AB17" s="22">
        <v>-1.8042265418110148</v>
      </c>
      <c r="AC17">
        <v>0.69072401221068069</v>
      </c>
      <c r="AG17">
        <v>0.62127378490013063</v>
      </c>
      <c r="AH17">
        <v>6.982277764614285E-2</v>
      </c>
      <c r="AI17">
        <v>1.7855395622484638</v>
      </c>
      <c r="AK17">
        <v>0.38177655187229936</v>
      </c>
      <c r="AL17">
        <v>-1.8042265418110148</v>
      </c>
    </row>
    <row r="18" spans="1:39">
      <c r="A18" s="6">
        <v>16</v>
      </c>
      <c r="B18" s="7">
        <f t="shared" si="1"/>
        <v>-5.9072558208312032E-2</v>
      </c>
      <c r="C18" s="7">
        <f t="shared" si="2"/>
        <v>0.48523615348437771</v>
      </c>
      <c r="D18" s="7">
        <f t="shared" si="3"/>
        <v>1.5790983327545756</v>
      </c>
      <c r="E18" s="7">
        <f t="shared" si="4"/>
        <v>2.2301114784404312</v>
      </c>
      <c r="F18" s="7">
        <f t="shared" si="5"/>
        <v>2.2301114784404312</v>
      </c>
      <c r="G18" s="7">
        <f t="shared" si="6"/>
        <v>-2.1941080110228337</v>
      </c>
      <c r="H18" s="7">
        <f t="shared" si="7"/>
        <v>-0.97545912495373643</v>
      </c>
      <c r="I18" s="7">
        <f t="shared" si="8"/>
        <v>-1.0820245130151398</v>
      </c>
      <c r="J18" s="7">
        <f t="shared" si="9"/>
        <v>-1.9139651228357508</v>
      </c>
      <c r="K18" s="7">
        <f t="shared" si="10"/>
        <v>-2.0431415474938976</v>
      </c>
      <c r="L18" s="7">
        <f t="shared" si="11"/>
        <v>0.49707381973943576</v>
      </c>
      <c r="M18" s="7">
        <f t="shared" si="12"/>
        <v>0.31614635560468041</v>
      </c>
      <c r="N18" s="7">
        <f t="shared" si="13"/>
        <v>0.18696993094653358</v>
      </c>
      <c r="O18" s="17">
        <v>0.48898600704502004</v>
      </c>
      <c r="P18" s="17">
        <v>0.40789980280525601</v>
      </c>
      <c r="Q18" s="17">
        <v>9.9755417736937704E-2</v>
      </c>
      <c r="R18" s="18">
        <f t="shared" si="14"/>
        <v>1.6090479101755539E-2</v>
      </c>
      <c r="S18" s="19">
        <f t="shared" si="16"/>
        <v>-9.6666739959617498E-2</v>
      </c>
      <c r="T18" s="19">
        <f t="shared" si="17"/>
        <v>4.7212297966022776E-2</v>
      </c>
      <c r="U18" s="19">
        <f t="shared" si="18"/>
        <v>4.9818622610572572E-2</v>
      </c>
      <c r="V18" s="18">
        <f t="shared" si="23"/>
        <v>1.1321216665998886E-3</v>
      </c>
      <c r="W18" s="18">
        <f t="shared" si="24"/>
        <v>1.0350739183052221E-5</v>
      </c>
      <c r="X18" s="18">
        <f t="shared" si="25"/>
        <v>9.4826673239368792E-4</v>
      </c>
      <c r="Y18" s="18">
        <f t="shared" si="22"/>
        <v>3.6140401744607113E-8</v>
      </c>
      <c r="AA18" s="22" t="s">
        <v>70</v>
      </c>
      <c r="AB18" s="22">
        <v>6.0176821299860579E-2</v>
      </c>
      <c r="AC18">
        <v>6.8694640758768272E-2</v>
      </c>
      <c r="AK18">
        <v>6.0761652047358288</v>
      </c>
      <c r="AL18">
        <v>6.0176821299860579E-2</v>
      </c>
    </row>
    <row r="19" spans="1:39">
      <c r="A19" s="6">
        <v>17</v>
      </c>
      <c r="B19" s="7">
        <f t="shared" si="1"/>
        <v>-0.45401597023485785</v>
      </c>
      <c r="C19" s="7">
        <f t="shared" si="2"/>
        <v>0.38840635849348865</v>
      </c>
      <c r="D19" s="7">
        <f t="shared" si="3"/>
        <v>1.4835837506596738</v>
      </c>
      <c r="E19" s="7">
        <f t="shared" si="4"/>
        <v>2.2780516645177435</v>
      </c>
      <c r="F19" s="7">
        <f t="shared" si="5"/>
        <v>2.2780516645177435</v>
      </c>
      <c r="G19" s="7">
        <f t="shared" si="6"/>
        <v>-2.0684074411432181</v>
      </c>
      <c r="H19" s="7">
        <f t="shared" si="7"/>
        <v>-0.96855499443608783</v>
      </c>
      <c r="I19" s="7">
        <f t="shared" si="8"/>
        <v>-1.0820835220236611</v>
      </c>
      <c r="J19" s="7">
        <f t="shared" si="9"/>
        <v>-1.9156045817425738</v>
      </c>
      <c r="K19" s="7">
        <f t="shared" si="10"/>
        <v>-2.0414505485174543</v>
      </c>
      <c r="L19" s="7">
        <f t="shared" si="11"/>
        <v>0.40150022863601276</v>
      </c>
      <c r="M19" s="7">
        <f t="shared" si="12"/>
        <v>0.36244708277516979</v>
      </c>
      <c r="N19" s="7">
        <f t="shared" si="13"/>
        <v>0.23660111600028921</v>
      </c>
      <c r="O19" s="17">
        <v>0.39651123517081099</v>
      </c>
      <c r="P19" s="17">
        <v>0.47372642816447597</v>
      </c>
      <c r="Q19" s="17">
        <v>0.13353312106332502</v>
      </c>
      <c r="R19" s="18">
        <f t="shared" si="14"/>
        <v>2.3030994346394398E-2</v>
      </c>
      <c r="S19" s="19">
        <f t="shared" si="16"/>
        <v>-9.5573591103423006E-2</v>
      </c>
      <c r="T19" s="19">
        <f t="shared" si="17"/>
        <v>4.6300727170489386E-2</v>
      </c>
      <c r="U19" s="19">
        <f t="shared" si="18"/>
        <v>4.9631185053755633E-2</v>
      </c>
      <c r="V19" s="18">
        <f t="shared" si="23"/>
        <v>1.385025880112502E-3</v>
      </c>
      <c r="W19" s="18">
        <f t="shared" si="24"/>
        <v>9.5140227933181946E-5</v>
      </c>
      <c r="X19" s="18">
        <f t="shared" si="25"/>
        <v>7.7396751873812968E-4</v>
      </c>
      <c r="Y19" s="18">
        <f t="shared" si="22"/>
        <v>3.0077262565361907E-7</v>
      </c>
      <c r="AA19" s="22" t="s">
        <v>71</v>
      </c>
      <c r="AB19" s="22">
        <v>0.40102128906798601</v>
      </c>
      <c r="AC19">
        <v>0.44557095497160165</v>
      </c>
      <c r="AK19">
        <v>-0.56156690244673968</v>
      </c>
      <c r="AL19">
        <v>0.40102128906798601</v>
      </c>
    </row>
    <row r="20" spans="1:39">
      <c r="A20" s="6">
        <v>18</v>
      </c>
      <c r="B20" s="7">
        <f t="shared" si="1"/>
        <v>-0.84895938226140277</v>
      </c>
      <c r="C20" s="7">
        <f t="shared" si="2"/>
        <v>0.29965119639562571</v>
      </c>
      <c r="D20" s="7">
        <f t="shared" si="3"/>
        <v>1.3960341259048108</v>
      </c>
      <c r="E20" s="7">
        <f t="shared" si="4"/>
        <v>2.3219941203155066</v>
      </c>
      <c r="F20" s="7">
        <f t="shared" si="5"/>
        <v>2.3219941203155066</v>
      </c>
      <c r="G20" s="7">
        <f t="shared" si="6"/>
        <v>-1.9427068712636024</v>
      </c>
      <c r="H20" s="7">
        <f t="shared" si="7"/>
        <v>-0.95974808922014876</v>
      </c>
      <c r="I20" s="7">
        <f t="shared" si="8"/>
        <v>-1.0821587938835431</v>
      </c>
      <c r="J20" s="7">
        <f t="shared" si="9"/>
        <v>-1.9176958746520734</v>
      </c>
      <c r="K20" s="7">
        <f t="shared" si="10"/>
        <v>-2.0392935111225614</v>
      </c>
      <c r="L20" s="7">
        <f t="shared" si="11"/>
        <v>0.31387533202126772</v>
      </c>
      <c r="M20" s="7">
        <f t="shared" si="12"/>
        <v>0.4042982456634332</v>
      </c>
      <c r="N20" s="7">
        <f t="shared" si="13"/>
        <v>0.28270060919294515</v>
      </c>
      <c r="O20" s="17">
        <v>0.31251275507811599</v>
      </c>
      <c r="P20" s="17">
        <v>0.52750319456345507</v>
      </c>
      <c r="Q20" s="17">
        <v>0.171732007304878</v>
      </c>
      <c r="R20" s="18">
        <f t="shared" si="14"/>
        <v>2.7495346654375349E-2</v>
      </c>
      <c r="S20" s="19">
        <f t="shared" si="16"/>
        <v>-8.762489661474504E-2</v>
      </c>
      <c r="T20" s="19">
        <f t="shared" si="17"/>
        <v>4.1851162888263405E-2</v>
      </c>
      <c r="U20" s="19">
        <f t="shared" si="18"/>
        <v>4.6099493192655938E-2</v>
      </c>
      <c r="V20" s="18">
        <f t="shared" si="23"/>
        <v>1.3495041137401703E-3</v>
      </c>
      <c r="W20" s="18">
        <f t="shared" si="24"/>
        <v>2.3382223234815814E-4</v>
      </c>
      <c r="X20" s="18">
        <f t="shared" si="25"/>
        <v>4.7393768555967816E-4</v>
      </c>
      <c r="Y20" s="18">
        <f t="shared" si="22"/>
        <v>7.6420269704857783E-7</v>
      </c>
      <c r="AA20" s="22"/>
      <c r="AB20" s="22"/>
    </row>
    <row r="21" spans="1:39">
      <c r="A21" s="6">
        <v>19</v>
      </c>
      <c r="B21" s="7">
        <f t="shared" si="1"/>
        <v>-1.2439027942879477</v>
      </c>
      <c r="C21" s="7">
        <f t="shared" si="2"/>
        <v>0.22375737857868011</v>
      </c>
      <c r="D21" s="7">
        <f t="shared" si="3"/>
        <v>1.3211711532727379</v>
      </c>
      <c r="E21" s="7">
        <f t="shared" si="4"/>
        <v>2.3595689571578689</v>
      </c>
      <c r="F21" s="7">
        <f t="shared" si="5"/>
        <v>2.3595689571578689</v>
      </c>
      <c r="G21" s="7">
        <f t="shared" si="6"/>
        <v>-1.8170063013839868</v>
      </c>
      <c r="H21" s="7">
        <f t="shared" si="7"/>
        <v>-0.94853908533425069</v>
      </c>
      <c r="I21" s="7">
        <f t="shared" si="8"/>
        <v>-1.0822545962737391</v>
      </c>
      <c r="J21" s="7">
        <f t="shared" si="9"/>
        <v>-1.9203575713292109</v>
      </c>
      <c r="K21" s="7">
        <f t="shared" si="10"/>
        <v>-2.03654813803763</v>
      </c>
      <c r="L21" s="7">
        <f t="shared" si="11"/>
        <v>0.23891655699899883</v>
      </c>
      <c r="M21" s="7">
        <f t="shared" si="12"/>
        <v>0.43921138582865793</v>
      </c>
      <c r="N21" s="7">
        <f t="shared" si="13"/>
        <v>0.32302081912023883</v>
      </c>
      <c r="O21" s="17">
        <v>0.23552071001902899</v>
      </c>
      <c r="P21" s="17">
        <v>0.55793614971574401</v>
      </c>
      <c r="Q21" s="17">
        <v>0.208737490794312</v>
      </c>
      <c r="R21" s="18">
        <f t="shared" si="14"/>
        <v>2.7167780470007299E-2</v>
      </c>
      <c r="S21" s="19">
        <f t="shared" si="16"/>
        <v>-7.4958775022268886E-2</v>
      </c>
      <c r="T21" s="19">
        <f t="shared" si="17"/>
        <v>3.4913140165224732E-2</v>
      </c>
      <c r="U21" s="19">
        <f t="shared" si="18"/>
        <v>4.0320209927293682E-2</v>
      </c>
      <c r="V21" s="18">
        <f t="shared" si="23"/>
        <v>1.0809403525458012E-3</v>
      </c>
      <c r="W21" s="18">
        <f t="shared" si="24"/>
        <v>3.7103880427080959E-4</v>
      </c>
      <c r="X21" s="18">
        <f t="shared" si="25"/>
        <v>1.9292834553510927E-4</v>
      </c>
      <c r="Y21" s="18">
        <f t="shared" si="22"/>
        <v>1.3196540129328783E-6</v>
      </c>
      <c r="AA21" s="22"/>
      <c r="AB21" s="22"/>
    </row>
    <row r="22" spans="1:39">
      <c r="A22" s="6">
        <v>20</v>
      </c>
      <c r="B22" s="7">
        <f t="shared" si="1"/>
        <v>-1.6388462063144935</v>
      </c>
      <c r="C22" s="7">
        <f t="shared" si="2"/>
        <v>0.16262212062719145</v>
      </c>
      <c r="D22" s="7">
        <f t="shared" si="3"/>
        <v>1.2608662789822378</v>
      </c>
      <c r="E22" s="7">
        <f t="shared" si="4"/>
        <v>2.3898368684175657</v>
      </c>
      <c r="F22" s="7">
        <f t="shared" si="5"/>
        <v>2.3898368684175657</v>
      </c>
      <c r="G22" s="7">
        <f t="shared" si="6"/>
        <v>-1.6913057315043711</v>
      </c>
      <c r="H22" s="7">
        <f t="shared" si="7"/>
        <v>-0.93431331740307377</v>
      </c>
      <c r="I22" s="7">
        <f t="shared" si="8"/>
        <v>-1.0823761826862388</v>
      </c>
      <c r="J22" s="7">
        <f t="shared" si="9"/>
        <v>-1.9237356305767219</v>
      </c>
      <c r="K22" s="7">
        <f t="shared" si="10"/>
        <v>-2.0330638819174345</v>
      </c>
      <c r="L22" s="7">
        <f t="shared" si="11"/>
        <v>0.17849009629599899</v>
      </c>
      <c r="M22" s="7">
        <f t="shared" si="12"/>
        <v>0.46610123784084379</v>
      </c>
      <c r="N22" s="7">
        <f t="shared" si="13"/>
        <v>0.35677298650013123</v>
      </c>
      <c r="O22" s="17">
        <v>0.188024971201353</v>
      </c>
      <c r="P22" s="17">
        <v>0.5772776209197521</v>
      </c>
      <c r="Q22" s="17">
        <v>0.245867937524964</v>
      </c>
      <c r="R22" s="18">
        <f t="shared" si="14"/>
        <v>2.4751031882153163E-2</v>
      </c>
      <c r="S22" s="19">
        <f t="shared" si="16"/>
        <v>-6.042646070299984E-2</v>
      </c>
      <c r="T22" s="19">
        <f t="shared" si="17"/>
        <v>2.6889852012185855E-2</v>
      </c>
      <c r="U22" s="19">
        <f t="shared" si="18"/>
        <v>3.3752167379892395E-2</v>
      </c>
      <c r="V22" s="18">
        <f t="shared" si="23"/>
        <v>7.3244457138216116E-4</v>
      </c>
      <c r="W22" s="18">
        <f t="shared" si="24"/>
        <v>4.6550631651017671E-4</v>
      </c>
      <c r="X22" s="18">
        <f t="shared" si="25"/>
        <v>3.2531925419306463E-5</v>
      </c>
      <c r="Y22" s="18">
        <f t="shared" si="22"/>
        <v>1.8613708004731507E-6</v>
      </c>
    </row>
    <row r="23" spans="1:39">
      <c r="A23" s="6">
        <v>21</v>
      </c>
      <c r="B23" s="7">
        <f t="shared" si="1"/>
        <v>-2.0337896183410393</v>
      </c>
      <c r="C23" s="7">
        <f t="shared" si="2"/>
        <v>0.11570062606203672</v>
      </c>
      <c r="D23" s="7">
        <f t="shared" si="3"/>
        <v>1.214582106377301</v>
      </c>
      <c r="E23" s="7">
        <f t="shared" si="4"/>
        <v>2.4130675814505818</v>
      </c>
      <c r="F23" s="7">
        <f t="shared" si="5"/>
        <v>2.4130675814505818</v>
      </c>
      <c r="G23" s="7">
        <f t="shared" si="6"/>
        <v>-1.5656051616247555</v>
      </c>
      <c r="H23" s="7">
        <f t="shared" si="7"/>
        <v>-0.91632387771237045</v>
      </c>
      <c r="I23" s="7">
        <f t="shared" si="8"/>
        <v>-1.0825299368769055</v>
      </c>
      <c r="J23" s="7">
        <f t="shared" si="9"/>
        <v>-1.9280074135411791</v>
      </c>
      <c r="K23" s="7">
        <f t="shared" si="10"/>
        <v>-2.0286578058697682</v>
      </c>
      <c r="L23" s="7">
        <f t="shared" si="11"/>
        <v>0.13205216950039556</v>
      </c>
      <c r="M23" s="7">
        <f t="shared" si="12"/>
        <v>0.48506016790940265</v>
      </c>
      <c r="N23" s="7">
        <f t="shared" si="13"/>
        <v>0.38440977558081357</v>
      </c>
      <c r="O23" s="17">
        <v>0.137907399961987</v>
      </c>
      <c r="P23" s="17">
        <v>0.57947852857229998</v>
      </c>
      <c r="Q23" s="17">
        <v>0.28965693379235602</v>
      </c>
      <c r="R23" s="18">
        <f t="shared" si="14"/>
        <v>1.7927211581015772E-2</v>
      </c>
      <c r="S23" s="19">
        <f t="shared" si="16"/>
        <v>-4.6437926795603435E-2</v>
      </c>
      <c r="T23" s="19">
        <f t="shared" si="17"/>
        <v>1.8958930068558866E-2</v>
      </c>
      <c r="U23" s="19">
        <f t="shared" si="18"/>
        <v>2.7636789080682345E-2</v>
      </c>
      <c r="V23" s="18">
        <f t="shared" si="23"/>
        <v>4.306127542266002E-4</v>
      </c>
      <c r="W23" s="18">
        <f t="shared" si="24"/>
        <v>5.0452317028652446E-4</v>
      </c>
      <c r="X23" s="18">
        <f t="shared" si="25"/>
        <v>2.4105355940844528E-6</v>
      </c>
      <c r="Y23" s="18">
        <f t="shared" si="22"/>
        <v>2.3168279561891342E-6</v>
      </c>
      <c r="AK23" t="s">
        <v>72</v>
      </c>
      <c r="AL23" t="s">
        <v>73</v>
      </c>
      <c r="AM23" t="s">
        <v>74</v>
      </c>
    </row>
    <row r="24" spans="1:39">
      <c r="A24" s="6">
        <v>22</v>
      </c>
      <c r="B24" s="7">
        <f t="shared" si="1"/>
        <v>-2.4287330303675834</v>
      </c>
      <c r="C24" s="7">
        <f t="shared" si="2"/>
        <v>8.100773732679234E-2</v>
      </c>
      <c r="D24" s="7">
        <f t="shared" si="3"/>
        <v>1.1803604417592608</v>
      </c>
      <c r="E24" s="7">
        <f t="shared" si="4"/>
        <v>2.4302439427315656</v>
      </c>
      <c r="F24" s="7">
        <f t="shared" si="5"/>
        <v>2.4302439427315656</v>
      </c>
      <c r="G24" s="7">
        <f t="shared" si="6"/>
        <v>-1.4399045917451399</v>
      </c>
      <c r="H24" s="7">
        <f t="shared" si="7"/>
        <v>-0.89367851946729571</v>
      </c>
      <c r="I24" s="7">
        <f t="shared" si="8"/>
        <v>-1.0827234848021992</v>
      </c>
      <c r="J24" s="7">
        <f t="shared" si="9"/>
        <v>-1.9333847936729978</v>
      </c>
      <c r="K24" s="7">
        <f t="shared" si="10"/>
        <v>-2.0231113757268653</v>
      </c>
      <c r="L24" s="7">
        <f t="shared" si="11"/>
        <v>9.7636956957061649E-2</v>
      </c>
      <c r="M24" s="7">
        <f t="shared" si="12"/>
        <v>0.49685914905856787</v>
      </c>
      <c r="N24" s="7">
        <f t="shared" si="13"/>
        <v>0.40713256700470035</v>
      </c>
      <c r="O24" s="17">
        <v>9.9076317792327895E-2</v>
      </c>
      <c r="P24" s="17">
        <v>0.57261055388682602</v>
      </c>
      <c r="Q24" s="17">
        <v>0.33141838551950203</v>
      </c>
      <c r="R24" s="18">
        <f t="shared" si="14"/>
        <v>1.1472984371042298E-2</v>
      </c>
      <c r="S24" s="19">
        <f t="shared" si="16"/>
        <v>-3.4415212543333906E-2</v>
      </c>
      <c r="T24" s="19">
        <f t="shared" si="17"/>
        <v>1.1798981149165222E-2</v>
      </c>
      <c r="U24" s="19">
        <f t="shared" si="18"/>
        <v>2.2722791423886779E-2</v>
      </c>
      <c r="V24" s="18">
        <f t="shared" si="23"/>
        <v>2.2382978003690683E-4</v>
      </c>
      <c r="W24" s="18">
        <f t="shared" si="24"/>
        <v>4.9480063640381148E-4</v>
      </c>
      <c r="X24" s="18">
        <f t="shared" si="25"/>
        <v>5.1503771284158853E-5</v>
      </c>
      <c r="Y24" s="18">
        <f t="shared" si="22"/>
        <v>2.6525758071504337E-6</v>
      </c>
      <c r="AJ24" t="s">
        <v>70</v>
      </c>
      <c r="AK24">
        <v>7.0999999999999994E-2</v>
      </c>
      <c r="AL24">
        <v>6.8694640758768272E-2</v>
      </c>
      <c r="AM24" s="4">
        <f>ABS(AL24-AK24)/AK24</f>
        <v>3.2469848468052426E-2</v>
      </c>
    </row>
    <row r="25" spans="1:39">
      <c r="A25" s="6">
        <v>23</v>
      </c>
      <c r="B25" s="7">
        <f t="shared" si="1"/>
        <v>-2.8236764423941292</v>
      </c>
      <c r="C25" s="7">
        <f t="shared" si="2"/>
        <v>5.6058074724511055E-2</v>
      </c>
      <c r="D25" s="7">
        <f t="shared" si="3"/>
        <v>1.1557496636708642</v>
      </c>
      <c r="E25" s="7">
        <f t="shared" si="4"/>
        <v>2.442596457449087</v>
      </c>
      <c r="F25" s="7">
        <f t="shared" si="5"/>
        <v>2.442596457449087</v>
      </c>
      <c r="G25" s="7">
        <f t="shared" si="6"/>
        <v>-1.3142040218655242</v>
      </c>
      <c r="H25" s="7">
        <f t="shared" si="7"/>
        <v>-0.86533529089617589</v>
      </c>
      <c r="I25" s="7">
        <f t="shared" si="8"/>
        <v>-1.0829657319341144</v>
      </c>
      <c r="J25" s="7">
        <f t="shared" si="9"/>
        <v>-1.9401151934547318</v>
      </c>
      <c r="K25" s="7">
        <f t="shared" si="10"/>
        <v>-2.0161693907252269</v>
      </c>
      <c r="L25" s="7">
        <f t="shared" si="11"/>
        <v>7.2783931736749796E-2</v>
      </c>
      <c r="M25" s="7">
        <f t="shared" si="12"/>
        <v>0.50248126399435522</v>
      </c>
      <c r="N25" s="7">
        <f t="shared" si="13"/>
        <v>0.4264270667238601</v>
      </c>
      <c r="O25" s="17">
        <v>7.6771548896384309E-2</v>
      </c>
      <c r="P25" s="17">
        <v>0.554625055849157</v>
      </c>
      <c r="Q25" s="17">
        <v>0.37486334043008496</v>
      </c>
      <c r="R25" s="18">
        <f t="shared" si="14"/>
        <v>5.3936939889080628E-3</v>
      </c>
      <c r="S25" s="19">
        <f t="shared" si="16"/>
        <v>-2.4853025220311853E-2</v>
      </c>
      <c r="T25" s="19">
        <f t="shared" si="17"/>
        <v>5.6221149357873479E-3</v>
      </c>
      <c r="U25" s="19">
        <f t="shared" si="18"/>
        <v>1.9294499719159752E-2</v>
      </c>
      <c r="V25" s="18">
        <f t="shared" si="23"/>
        <v>1.0376782305479702E-4</v>
      </c>
      <c r="W25" s="18">
        <f t="shared" si="24"/>
        <v>4.4916292483493972E-4</v>
      </c>
      <c r="X25" s="18">
        <f t="shared" si="25"/>
        <v>1.1975418457927468E-4</v>
      </c>
      <c r="Y25" s="18">
        <f t="shared" si="22"/>
        <v>2.8637522164845785E-6</v>
      </c>
      <c r="AJ25" t="s">
        <v>71</v>
      </c>
      <c r="AK25">
        <v>0.5</v>
      </c>
      <c r="AL25">
        <v>0.44557095497160165</v>
      </c>
      <c r="AM25" s="4">
        <f>ABS(AL25-AK25)/AK25</f>
        <v>0.1088580900567967</v>
      </c>
    </row>
    <row r="26" spans="1:39">
      <c r="A26" s="6">
        <v>24</v>
      </c>
      <c r="B26" s="7">
        <f t="shared" si="1"/>
        <v>-3.218619854420675</v>
      </c>
      <c r="C26" s="7">
        <f t="shared" si="2"/>
        <v>3.8471005942681304E-2</v>
      </c>
      <c r="D26" s="7">
        <f t="shared" si="3"/>
        <v>1.1384014752839238</v>
      </c>
      <c r="E26" s="7">
        <f t="shared" si="4"/>
        <v>2.4513037706271716</v>
      </c>
      <c r="F26" s="7">
        <f t="shared" si="5"/>
        <v>2.4513037706271716</v>
      </c>
      <c r="G26" s="7">
        <f t="shared" si="6"/>
        <v>-1.1885034519859081</v>
      </c>
      <c r="H26" s="7">
        <f t="shared" si="7"/>
        <v>-0.83011415372427555</v>
      </c>
      <c r="I26" s="7">
        <f t="shared" si="8"/>
        <v>-1.0832667639580873</v>
      </c>
      <c r="J26" s="7">
        <f t="shared" si="9"/>
        <v>-1.9484788254714358</v>
      </c>
      <c r="K26" s="7">
        <f t="shared" si="10"/>
        <v>-2.0075428291683997</v>
      </c>
      <c r="L26" s="7">
        <f t="shared" si="11"/>
        <v>5.5134711325836472E-2</v>
      </c>
      <c r="M26" s="7">
        <f t="shared" si="12"/>
        <v>0.50282494515573584</v>
      </c>
      <c r="N26" s="7">
        <f t="shared" si="13"/>
        <v>0.44376094145877198</v>
      </c>
      <c r="O26" s="17">
        <v>5.50331848909218E-2</v>
      </c>
      <c r="P26" s="17">
        <v>0.53385373128166391</v>
      </c>
      <c r="Q26" s="17">
        <v>0.41205954274061996</v>
      </c>
      <c r="R26" s="18">
        <f t="shared" si="14"/>
        <v>1.9677745567528242E-3</v>
      </c>
      <c r="S26" s="19">
        <f t="shared" si="16"/>
        <v>-1.7649220410913324E-2</v>
      </c>
      <c r="T26" s="19">
        <f t="shared" si="17"/>
        <v>3.4368116138061566E-4</v>
      </c>
      <c r="U26" s="19">
        <f t="shared" si="18"/>
        <v>1.733387473491188E-2</v>
      </c>
      <c r="V26" s="18">
        <f t="shared" si="23"/>
        <v>4.266263231161954E-5</v>
      </c>
      <c r="W26" s="18">
        <f t="shared" si="24"/>
        <v>3.7964696560622614E-4</v>
      </c>
      <c r="X26" s="18">
        <f t="shared" si="25"/>
        <v>1.670435309044351E-4</v>
      </c>
      <c r="Y26" s="18">
        <f t="shared" si="22"/>
        <v>2.9604572723170227E-6</v>
      </c>
    </row>
    <row r="27" spans="1:39">
      <c r="A27" s="6">
        <v>25</v>
      </c>
      <c r="B27" s="7">
        <f t="shared" si="1"/>
        <v>-3.6135632664472208</v>
      </c>
      <c r="C27" s="7">
        <f t="shared" si="2"/>
        <v>2.624809173135766E-2</v>
      </c>
      <c r="D27" s="7">
        <f t="shared" si="3"/>
        <v>1.1263445816078992</v>
      </c>
      <c r="E27" s="7">
        <f t="shared" si="4"/>
        <v>2.4573553044732677</v>
      </c>
      <c r="F27" s="7">
        <f t="shared" si="5"/>
        <v>2.4573553044732677</v>
      </c>
      <c r="G27" s="7">
        <f t="shared" si="6"/>
        <v>-1.0628028821062925</v>
      </c>
      <c r="H27" s="7">
        <f t="shared" si="7"/>
        <v>-0.78673425260229779</v>
      </c>
      <c r="I27" s="7">
        <f t="shared" si="8"/>
        <v>-1.0836375282344011</v>
      </c>
      <c r="J27" s="7">
        <f t="shared" si="9"/>
        <v>-1.9587798423901819</v>
      </c>
      <c r="K27" s="7">
        <f t="shared" si="10"/>
        <v>-1.996917976667715</v>
      </c>
      <c r="L27" s="7">
        <f t="shared" si="11"/>
        <v>4.2707053373498116E-2</v>
      </c>
      <c r="M27" s="7">
        <f t="shared" si="12"/>
        <v>0.49857546208308579</v>
      </c>
      <c r="N27" s="7">
        <f t="shared" si="13"/>
        <v>0.46043732780555269</v>
      </c>
      <c r="O27" s="17">
        <v>4.1882891498532304E-2</v>
      </c>
      <c r="P27" s="17">
        <v>0.51004856673586696</v>
      </c>
      <c r="Q27" s="17">
        <v>0.44388223355148898</v>
      </c>
      <c r="R27" s="18">
        <f t="shared" si="14"/>
        <v>4.0638251893074934E-4</v>
      </c>
      <c r="S27" s="19">
        <f t="shared" si="16"/>
        <v>-1.2427657952338356E-2</v>
      </c>
      <c r="T27" s="19">
        <f t="shared" si="17"/>
        <v>-4.249483072650051E-3</v>
      </c>
      <c r="U27" s="19">
        <f t="shared" si="18"/>
        <v>1.6676386346780703E-2</v>
      </c>
      <c r="V27" s="18">
        <f t="shared" si="23"/>
        <v>1.5123048654914354E-5</v>
      </c>
      <c r="W27" s="18">
        <f t="shared" si="24"/>
        <v>2.9633494334827253E-4</v>
      </c>
      <c r="X27" s="18">
        <f t="shared" si="25"/>
        <v>1.7759027540773298E-4</v>
      </c>
      <c r="Y27" s="18">
        <f t="shared" si="22"/>
        <v>2.9578608463166236E-6</v>
      </c>
    </row>
    <row r="28" spans="1:39">
      <c r="A28" s="6">
        <v>26</v>
      </c>
      <c r="B28" s="7">
        <f t="shared" si="1"/>
        <v>-4.0085066784737666</v>
      </c>
      <c r="C28" s="7">
        <f t="shared" si="2"/>
        <v>1.7836573461689282E-2</v>
      </c>
      <c r="D28" s="7">
        <f t="shared" si="3"/>
        <v>1.1180473147141026</v>
      </c>
      <c r="E28" s="7">
        <f t="shared" si="4"/>
        <v>2.4615198258489306</v>
      </c>
      <c r="F28" s="7">
        <f t="shared" si="5"/>
        <v>2.4615198258489306</v>
      </c>
      <c r="G28" s="7">
        <f t="shared" si="6"/>
        <v>-0.93710231222667684</v>
      </c>
      <c r="H28" s="7">
        <f t="shared" si="7"/>
        <v>-0.73388807671756251</v>
      </c>
      <c r="I28" s="7">
        <f t="shared" si="8"/>
        <v>-1.0840891999452877</v>
      </c>
      <c r="J28" s="7">
        <f t="shared" si="9"/>
        <v>-1.9713287265001067</v>
      </c>
      <c r="K28" s="7">
        <f t="shared" si="10"/>
        <v>-1.9839745902265671</v>
      </c>
      <c r="L28" s="7">
        <f t="shared" si="11"/>
        <v>3.3958114768814829E-2</v>
      </c>
      <c r="M28" s="7">
        <f t="shared" si="12"/>
        <v>0.49019109934882388</v>
      </c>
      <c r="N28" s="7">
        <f t="shared" si="13"/>
        <v>0.47754523562236351</v>
      </c>
      <c r="O28" s="17">
        <v>2.6899076645389701E-2</v>
      </c>
      <c r="P28" s="17">
        <v>0.48054748715594703</v>
      </c>
      <c r="Q28" s="17">
        <v>0.487722954635535</v>
      </c>
      <c r="R28" s="18">
        <f t="shared" si="14"/>
        <v>2.4641523966564491E-4</v>
      </c>
      <c r="S28" s="19">
        <f t="shared" si="16"/>
        <v>-8.7489386046832873E-3</v>
      </c>
      <c r="T28" s="19">
        <f t="shared" si="17"/>
        <v>-8.3843627342619076E-3</v>
      </c>
      <c r="U28" s="19">
        <f t="shared" si="18"/>
        <v>1.7107907816810819E-2</v>
      </c>
      <c r="V28" s="18">
        <f t="shared" si="23"/>
        <v>4.2996179707042114E-6</v>
      </c>
      <c r="W28" s="18">
        <f t="shared" si="24"/>
        <v>2.0846718858746774E-4</v>
      </c>
      <c r="X28" s="18">
        <f t="shared" si="25"/>
        <v>1.5351790778034212E-4</v>
      </c>
      <c r="Y28" s="18">
        <f t="shared" si="22"/>
        <v>2.871159921393567E-6</v>
      </c>
    </row>
    <row r="29" spans="1:39">
      <c r="A29" s="6">
        <v>27</v>
      </c>
      <c r="B29" s="7">
        <f t="shared" si="1"/>
        <v>-4.4034500905003107</v>
      </c>
      <c r="C29" s="7">
        <f t="shared" si="2"/>
        <v>1.2087167792504815E-2</v>
      </c>
      <c r="D29" s="7">
        <f t="shared" si="3"/>
        <v>1.1123760016659041</v>
      </c>
      <c r="E29" s="7">
        <f t="shared" si="4"/>
        <v>2.4643663420234261</v>
      </c>
      <c r="F29" s="7">
        <f t="shared" si="5"/>
        <v>2.4643663420234261</v>
      </c>
      <c r="G29" s="7">
        <f t="shared" si="6"/>
        <v>-0.81140174234706119</v>
      </c>
      <c r="H29" s="7">
        <f t="shared" si="7"/>
        <v>-0.67036280361011091</v>
      </c>
      <c r="I29" s="7">
        <f t="shared" si="8"/>
        <v>-1.0846321449797887</v>
      </c>
      <c r="J29" s="7">
        <f t="shared" si="9"/>
        <v>-1.9864134753382341</v>
      </c>
      <c r="K29" s="7">
        <f t="shared" si="10"/>
        <v>-1.9684156184591</v>
      </c>
      <c r="L29" s="7">
        <f t="shared" si="11"/>
        <v>2.7743856686115453E-2</v>
      </c>
      <c r="M29" s="7">
        <f t="shared" si="12"/>
        <v>0.47795286668519199</v>
      </c>
      <c r="N29" s="7">
        <f t="shared" si="13"/>
        <v>0.49595072356432612</v>
      </c>
      <c r="O29" s="17">
        <v>2.8643066551244298E-2</v>
      </c>
      <c r="P29" s="17">
        <v>0.45621581041098197</v>
      </c>
      <c r="Q29" s="17">
        <v>0.51359201939365806</v>
      </c>
      <c r="R29" s="18">
        <f t="shared" si="14"/>
        <v>7.8452351238772261E-4</v>
      </c>
      <c r="S29" s="19">
        <f t="shared" si="16"/>
        <v>-6.2142580826993754E-3</v>
      </c>
      <c r="T29" s="19">
        <f t="shared" si="17"/>
        <v>-1.2238232663631887E-2</v>
      </c>
      <c r="U29" s="19">
        <f t="shared" si="18"/>
        <v>1.8405487941962617E-2</v>
      </c>
      <c r="V29" s="18">
        <f t="shared" si="23"/>
        <v>8.0391521958769601E-7</v>
      </c>
      <c r="W29" s="18">
        <f t="shared" si="24"/>
        <v>1.2557010370592563E-4</v>
      </c>
      <c r="X29" s="18">
        <f t="shared" si="25"/>
        <v>1.0725080193479302E-4</v>
      </c>
      <c r="Y29" s="18">
        <f t="shared" si="22"/>
        <v>2.714081405728432E-6</v>
      </c>
    </row>
    <row r="30" spans="1:39">
      <c r="A30" s="6">
        <v>28</v>
      </c>
      <c r="B30" s="7">
        <f t="shared" si="1"/>
        <v>-4.7983935025268565</v>
      </c>
      <c r="C30" s="7">
        <f t="shared" si="2"/>
        <v>8.1755875479897749E-3</v>
      </c>
      <c r="D30" s="7">
        <f t="shared" si="3"/>
        <v>1.1085175513570846</v>
      </c>
      <c r="E30" s="7">
        <f t="shared" si="4"/>
        <v>2.4663029554882798</v>
      </c>
      <c r="F30" s="7">
        <f t="shared" si="5"/>
        <v>2.4663029554882798</v>
      </c>
      <c r="G30" s="7">
        <f t="shared" si="6"/>
        <v>-0.68570117246744555</v>
      </c>
      <c r="H30" s="7">
        <f t="shared" si="7"/>
        <v>-0.59521325801256497</v>
      </c>
      <c r="I30" s="7">
        <f t="shared" si="8"/>
        <v>-1.0852744416694571</v>
      </c>
      <c r="J30" s="7">
        <f t="shared" si="9"/>
        <v>-2.0042585307812999</v>
      </c>
      <c r="K30" s="7">
        <f t="shared" si="10"/>
        <v>-1.9500095636545429</v>
      </c>
      <c r="L30" s="7">
        <f t="shared" si="11"/>
        <v>2.324310968762755E-2</v>
      </c>
      <c r="M30" s="7">
        <f t="shared" si="12"/>
        <v>0.46204442470697993</v>
      </c>
      <c r="N30" s="7">
        <f t="shared" si="13"/>
        <v>0.5162933918337369</v>
      </c>
      <c r="O30" s="17">
        <v>1.8585382566350301E-2</v>
      </c>
      <c r="P30" s="17">
        <v>0.43462182741029998</v>
      </c>
      <c r="Q30" s="17">
        <v>0.547713142498501</v>
      </c>
      <c r="R30" s="18">
        <f t="shared" si="14"/>
        <v>1.7608939962681044E-3</v>
      </c>
      <c r="S30" s="19">
        <f t="shared" si="16"/>
        <v>-4.5007469984879034E-3</v>
      </c>
      <c r="T30" s="19">
        <f t="shared" si="17"/>
        <v>-1.5908441978212062E-2</v>
      </c>
      <c r="U30" s="19">
        <f t="shared" si="18"/>
        <v>2.034266826941078E-2</v>
      </c>
      <c r="V30" s="18">
        <f t="shared" si="23"/>
        <v>3.765125805504578E-8</v>
      </c>
      <c r="W30" s="18">
        <f t="shared" si="24"/>
        <v>5.7596186173884376E-5</v>
      </c>
      <c r="X30" s="18">
        <f t="shared" si="25"/>
        <v>5.5676914789110355E-5</v>
      </c>
      <c r="Y30" s="18">
        <f t="shared" si="22"/>
        <v>2.4993277394671915E-6</v>
      </c>
    </row>
    <row r="31" spans="1:39">
      <c r="A31" s="6">
        <v>29</v>
      </c>
      <c r="B31" s="7">
        <f t="shared" si="1"/>
        <v>-5.1933369145534023</v>
      </c>
      <c r="C31" s="7">
        <f t="shared" si="2"/>
        <v>5.5227740727003902E-3</v>
      </c>
      <c r="D31" s="7">
        <f t="shared" si="3"/>
        <v>1.1059007703291808</v>
      </c>
      <c r="E31" s="7">
        <f t="shared" si="4"/>
        <v>2.4676163567161327</v>
      </c>
      <c r="F31" s="7">
        <f t="shared" si="5"/>
        <v>2.4676163567161327</v>
      </c>
      <c r="G31" s="7">
        <f t="shared" si="6"/>
        <v>-0.56000060258782991</v>
      </c>
      <c r="H31" s="7">
        <f t="shared" si="7"/>
        <v>-0.50797787999317934</v>
      </c>
      <c r="I31" s="7">
        <f t="shared" si="8"/>
        <v>-1.0860200349272511</v>
      </c>
      <c r="J31" s="7">
        <f t="shared" si="9"/>
        <v>-2.0249734951230618</v>
      </c>
      <c r="K31" s="7">
        <f t="shared" si="10"/>
        <v>-1.9286433779250911</v>
      </c>
      <c r="L31" s="7">
        <f t="shared" si="11"/>
        <v>1.9880735401929694E-2</v>
      </c>
      <c r="M31" s="7">
        <f t="shared" si="12"/>
        <v>0.44264286159307087</v>
      </c>
      <c r="N31" s="7">
        <f t="shared" si="13"/>
        <v>0.53897297879104156</v>
      </c>
      <c r="O31" s="17">
        <v>1.6441050975567299E-2</v>
      </c>
      <c r="P31" s="17">
        <v>0.40770546813070097</v>
      </c>
      <c r="Q31" s="17">
        <v>0.57331041777418701</v>
      </c>
      <c r="R31" s="18">
        <f t="shared" si="14"/>
        <v>2.4115126068186441E-3</v>
      </c>
      <c r="S31" s="19">
        <f t="shared" si="16"/>
        <v>-3.3623742856978556E-3</v>
      </c>
      <c r="T31" s="19">
        <f t="shared" si="17"/>
        <v>-1.9401563113909059E-2</v>
      </c>
      <c r="U31" s="19">
        <f t="shared" si="18"/>
        <v>2.2679586957304654E-2</v>
      </c>
      <c r="V31" s="18">
        <f t="shared" si="23"/>
        <v>2.7768679187400278E-8</v>
      </c>
      <c r="W31" s="18">
        <f t="shared" si="24"/>
        <v>1.3736389972592767E-5</v>
      </c>
      <c r="X31" s="18">
        <f t="shared" si="25"/>
        <v>1.5659854665245988E-5</v>
      </c>
      <c r="Y31" s="18">
        <f t="shared" si="22"/>
        <v>2.2397390833675902E-6</v>
      </c>
    </row>
    <row r="32" spans="1:39">
      <c r="A32" s="6">
        <v>30</v>
      </c>
      <c r="B32" s="7">
        <f t="shared" si="1"/>
        <v>-5.5882803265799463</v>
      </c>
      <c r="C32" s="7">
        <f t="shared" si="2"/>
        <v>3.727510102154984E-3</v>
      </c>
      <c r="D32" s="7">
        <f t="shared" si="3"/>
        <v>1.1041298909432147</v>
      </c>
      <c r="E32" s="7">
        <f t="shared" si="4"/>
        <v>2.4685051873577128</v>
      </c>
      <c r="F32" s="7">
        <f t="shared" si="5"/>
        <v>2.4685051873577128</v>
      </c>
      <c r="G32" s="7">
        <f t="shared" si="6"/>
        <v>-0.43430003270821427</v>
      </c>
      <c r="H32" s="7">
        <f t="shared" si="7"/>
        <v>-0.4089086345200682</v>
      </c>
      <c r="I32" s="7">
        <f t="shared" si="8"/>
        <v>-1.0868667712303033</v>
      </c>
      <c r="J32" s="7">
        <f t="shared" si="9"/>
        <v>-2.0484985366135069</v>
      </c>
      <c r="K32" s="7">
        <f t="shared" si="10"/>
        <v>-1.9043787739660787</v>
      </c>
      <c r="L32" s="7">
        <f t="shared" si="11"/>
        <v>1.726311971291139E-2</v>
      </c>
      <c r="M32" s="7">
        <f t="shared" si="12"/>
        <v>0.42000665074420596</v>
      </c>
      <c r="N32" s="7">
        <f t="shared" si="13"/>
        <v>0.56412641339163416</v>
      </c>
      <c r="O32" s="17">
        <v>1.6927265894710001E-2</v>
      </c>
      <c r="P32" s="17">
        <v>0.38076372682378795</v>
      </c>
      <c r="Q32" s="17">
        <v>0.602138744531867</v>
      </c>
      <c r="R32" s="18">
        <f t="shared" si="14"/>
        <v>2.9850571943256313E-3</v>
      </c>
      <c r="S32" s="19">
        <f t="shared" si="16"/>
        <v>-2.6176156890183044E-3</v>
      </c>
      <c r="T32" s="19">
        <f t="shared" si="17"/>
        <v>-2.2636210848864913E-2</v>
      </c>
      <c r="U32" s="19">
        <f t="shared" si="18"/>
        <v>2.5153434600592606E-2</v>
      </c>
      <c r="V32" s="18">
        <f t="shared" si="23"/>
        <v>8.4122814066814639E-8</v>
      </c>
      <c r="W32" s="18">
        <f t="shared" si="24"/>
        <v>7.2469018617854298E-8</v>
      </c>
      <c r="X32" s="18">
        <f t="shared" si="25"/>
        <v>1.4696850131330291E-8</v>
      </c>
      <c r="Y32" s="18">
        <f t="shared" si="22"/>
        <v>1.9493293395145758E-6</v>
      </c>
    </row>
    <row r="33" spans="1:25">
      <c r="A33" s="6">
        <v>31</v>
      </c>
      <c r="B33" s="7">
        <f t="shared" si="1"/>
        <v>-5.9832237386064921</v>
      </c>
      <c r="C33" s="7">
        <f t="shared" si="2"/>
        <v>2.5143492557312122E-3</v>
      </c>
      <c r="D33" s="7">
        <f t="shared" si="3"/>
        <v>1.1029332081321959</v>
      </c>
      <c r="E33" s="7">
        <f t="shared" si="4"/>
        <v>2.4691058202179264</v>
      </c>
      <c r="F33" s="7">
        <f t="shared" si="5"/>
        <v>2.4691058202179264</v>
      </c>
      <c r="G33" s="7">
        <f t="shared" si="6"/>
        <v>-0.30859946282859863</v>
      </c>
      <c r="H33" s="7">
        <f t="shared" si="7"/>
        <v>-0.29916244038359219</v>
      </c>
      <c r="I33" s="7">
        <f t="shared" si="8"/>
        <v>-1.0878047624934182</v>
      </c>
      <c r="J33" s="7">
        <f t="shared" si="9"/>
        <v>-2.0745589326339831</v>
      </c>
      <c r="K33" s="7">
        <f t="shared" si="10"/>
        <v>-1.8774991109181427</v>
      </c>
      <c r="L33" s="7">
        <f t="shared" si="11"/>
        <v>1.5128445638777688E-2</v>
      </c>
      <c r="M33" s="7">
        <f t="shared" si="12"/>
        <v>0.3945468875839433</v>
      </c>
      <c r="N33" s="7">
        <f t="shared" si="13"/>
        <v>0.59160670929978365</v>
      </c>
      <c r="O33" s="17">
        <v>5.5360201456173194E-3</v>
      </c>
      <c r="P33" s="17">
        <v>0.35516465630493699</v>
      </c>
      <c r="Q33" s="17">
        <v>0.624921752972462</v>
      </c>
      <c r="R33" s="18">
        <f t="shared" si="14"/>
        <v>2.752866902267441E-3</v>
      </c>
      <c r="S33" s="19">
        <f t="shared" si="16"/>
        <v>-2.1346740741337022E-3</v>
      </c>
      <c r="T33" s="19">
        <f t="shared" si="17"/>
        <v>-2.5459763160262661E-2</v>
      </c>
      <c r="U33" s="19">
        <f t="shared" si="18"/>
        <v>2.7480295908149488E-2</v>
      </c>
      <c r="V33" s="18">
        <f t="shared" si="23"/>
        <v>6.7067706307050602E-8</v>
      </c>
      <c r="W33" s="18">
        <f t="shared" si="24"/>
        <v>1.6898956348784412E-5</v>
      </c>
      <c r="X33" s="18">
        <f t="shared" si="25"/>
        <v>1.3970538535648693E-5</v>
      </c>
      <c r="Y33" s="18">
        <f t="shared" si="22"/>
        <v>1.6436330295100448E-6</v>
      </c>
    </row>
    <row r="34" spans="1:25">
      <c r="A34" s="6">
        <v>32</v>
      </c>
      <c r="B34" s="7">
        <f t="shared" si="1"/>
        <v>-6.378167150633038</v>
      </c>
      <c r="C34" s="7">
        <f t="shared" si="2"/>
        <v>1.695353605696701E-3</v>
      </c>
      <c r="D34" s="7">
        <f t="shared" si="3"/>
        <v>1.1021253366783945</v>
      </c>
      <c r="E34" s="7">
        <f t="shared" si="4"/>
        <v>2.4695113028884501</v>
      </c>
      <c r="F34" s="7">
        <f t="shared" si="5"/>
        <v>2.4695113028884501</v>
      </c>
      <c r="G34" s="7">
        <f t="shared" si="6"/>
        <v>-0.18289889294898298</v>
      </c>
      <c r="H34" s="7">
        <f t="shared" si="7"/>
        <v>-0.18088637290160969</v>
      </c>
      <c r="I34" s="7">
        <f t="shared" si="8"/>
        <v>-1.0888156578488939</v>
      </c>
      <c r="J34" s="7">
        <f t="shared" si="9"/>
        <v>-2.1026448374125306</v>
      </c>
      <c r="K34" s="7">
        <f t="shared" si="10"/>
        <v>-1.8485302626991595</v>
      </c>
      <c r="L34" s="7">
        <f t="shared" si="11"/>
        <v>1.3309678829500626E-2</v>
      </c>
      <c r="M34" s="7">
        <f t="shared" si="12"/>
        <v>0.3668664654759195</v>
      </c>
      <c r="N34" s="7">
        <f t="shared" si="13"/>
        <v>0.62098104018929057</v>
      </c>
      <c r="O34" s="17">
        <v>5.5516744239331806E-3</v>
      </c>
      <c r="P34" s="17">
        <v>0.33275256354035898</v>
      </c>
      <c r="Q34" s="17">
        <v>0.65513191440359508</v>
      </c>
      <c r="R34" s="18">
        <f t="shared" si="14"/>
        <v>2.3902271472270929E-3</v>
      </c>
      <c r="S34" s="19">
        <f t="shared" si="16"/>
        <v>-1.8187668092770615E-3</v>
      </c>
      <c r="T34" s="19">
        <f t="shared" si="17"/>
        <v>-2.7680422108023794E-2</v>
      </c>
      <c r="U34" s="19">
        <f t="shared" si="18"/>
        <v>2.9374330889506917E-2</v>
      </c>
      <c r="V34" s="18">
        <f t="shared" si="23"/>
        <v>1.9423982663457945E-8</v>
      </c>
      <c r="W34" s="18">
        <f t="shared" si="24"/>
        <v>5.7179324015290898E-5</v>
      </c>
      <c r="X34" s="18">
        <f t="shared" si="25"/>
        <v>5.3253114457447541E-5</v>
      </c>
      <c r="Y34" s="18">
        <f t="shared" si="22"/>
        <v>1.3390759547988457E-6</v>
      </c>
    </row>
    <row r="35" spans="1:25">
      <c r="A35" s="6">
        <v>33</v>
      </c>
      <c r="B35" s="7">
        <f t="shared" si="1"/>
        <v>-6.7731105626595838</v>
      </c>
      <c r="C35" s="7">
        <f t="shared" si="2"/>
        <v>1.1428226833707965E-3</v>
      </c>
      <c r="D35" s="7">
        <f t="shared" si="3"/>
        <v>1.1015803106340303</v>
      </c>
      <c r="E35" s="7">
        <f t="shared" si="4"/>
        <v>2.4697848595476608</v>
      </c>
      <c r="F35" s="7">
        <f t="shared" si="5"/>
        <v>2.4697848595476608</v>
      </c>
      <c r="G35" s="7">
        <f t="shared" si="6"/>
        <v>-5.7198323069367341E-2</v>
      </c>
      <c r="H35" s="7">
        <f t="shared" si="7"/>
        <v>-5.7136026996251886E-2</v>
      </c>
      <c r="I35" s="7">
        <f t="shared" si="8"/>
        <v>-1.0898733413902686</v>
      </c>
      <c r="J35" s="7">
        <f t="shared" si="9"/>
        <v>-2.1320306675758443</v>
      </c>
      <c r="K35" s="7">
        <f t="shared" si="10"/>
        <v>-1.8182206230239557</v>
      </c>
      <c r="L35" s="7">
        <f t="shared" si="11"/>
        <v>1.1706969243761689E-2</v>
      </c>
      <c r="M35" s="7">
        <f t="shared" si="12"/>
        <v>0.33775419197181655</v>
      </c>
      <c r="N35" s="7">
        <f t="shared" si="13"/>
        <v>0.6515642365237051</v>
      </c>
      <c r="O35" s="17">
        <v>1.2931474477337201E-2</v>
      </c>
      <c r="P35" s="17">
        <v>0.31162242112024097</v>
      </c>
      <c r="Q35" s="17">
        <v>0.68166378325101906</v>
      </c>
      <c r="R35" s="18">
        <f t="shared" si="14"/>
        <v>1.5903515740960661E-3</v>
      </c>
      <c r="S35" s="19">
        <f t="shared" si="16"/>
        <v>-1.6027095857389373E-3</v>
      </c>
      <c r="T35" s="19">
        <f t="shared" si="17"/>
        <v>-2.9112273504102948E-2</v>
      </c>
      <c r="U35" s="19">
        <f t="shared" si="18"/>
        <v>3.0583196334414531E-2</v>
      </c>
      <c r="V35" s="18">
        <f t="shared" si="23"/>
        <v>2.9036685588521049E-10</v>
      </c>
      <c r="W35" s="18">
        <f t="shared" si="24"/>
        <v>1.0759849172643158E-4</v>
      </c>
      <c r="X35" s="18">
        <f t="shared" si="25"/>
        <v>1.0523113256985864E-4</v>
      </c>
      <c r="Y35" s="18">
        <f t="shared" si="22"/>
        <v>1.051440523727385E-6</v>
      </c>
    </row>
    <row r="36" spans="1:25">
      <c r="A36" s="6">
        <v>34</v>
      </c>
      <c r="B36" s="7">
        <f t="shared" si="1"/>
        <v>-7.1680539746861296</v>
      </c>
      <c r="C36" s="7">
        <f t="shared" si="2"/>
        <v>7.7022760255027493E-4</v>
      </c>
      <c r="D36" s="7">
        <f t="shared" si="3"/>
        <v>1.1012127764113406</v>
      </c>
      <c r="E36" s="7">
        <f t="shared" si="4"/>
        <v>2.4699693304278041</v>
      </c>
      <c r="F36" s="7">
        <f t="shared" si="5"/>
        <v>2.4699693304278041</v>
      </c>
      <c r="G36" s="7">
        <f t="shared" si="6"/>
        <v>6.8502246810248302E-2</v>
      </c>
      <c r="H36" s="7">
        <f t="shared" si="7"/>
        <v>6.8395297301190872E-2</v>
      </c>
      <c r="I36" s="7">
        <f t="shared" si="8"/>
        <v>-1.0909462468004718</v>
      </c>
      <c r="J36" s="7">
        <f t="shared" si="9"/>
        <v>-2.1618394099190916</v>
      </c>
      <c r="K36" s="7">
        <f t="shared" si="10"/>
        <v>-1.7874747759754432</v>
      </c>
      <c r="L36" s="7">
        <f t="shared" si="11"/>
        <v>1.0266529610868824E-2</v>
      </c>
      <c r="M36" s="7">
        <f t="shared" si="12"/>
        <v>0.30812992050871246</v>
      </c>
      <c r="N36" s="7">
        <f t="shared" si="13"/>
        <v>0.68249455445236085</v>
      </c>
      <c r="O36" s="17">
        <v>8.6066661943624695E-3</v>
      </c>
      <c r="P36" s="17">
        <v>0.29035002727487702</v>
      </c>
      <c r="Q36" s="17">
        <v>0.69814062804294097</v>
      </c>
      <c r="R36" s="18">
        <f t="shared" si="14"/>
        <v>5.6367936876989221E-4</v>
      </c>
      <c r="S36" s="19">
        <f t="shared" si="16"/>
        <v>-1.4404396328928648E-3</v>
      </c>
      <c r="T36" s="19">
        <f t="shared" si="17"/>
        <v>-2.962427146310409E-2</v>
      </c>
      <c r="U36" s="19">
        <f t="shared" si="18"/>
        <v>3.0930317928655748E-2</v>
      </c>
      <c r="V36" s="18">
        <f t="shared" si="23"/>
        <v>2.9528600821296041E-8</v>
      </c>
      <c r="W36" s="18">
        <f t="shared" si="24"/>
        <v>1.5253714873590768E-4</v>
      </c>
      <c r="X36" s="18">
        <f t="shared" si="25"/>
        <v>1.5346350444469647E-4</v>
      </c>
      <c r="Y36" s="18">
        <f t="shared" si="22"/>
        <v>7.938891472217843E-7</v>
      </c>
    </row>
    <row r="37" spans="1:25">
      <c r="A37" s="6">
        <v>35</v>
      </c>
      <c r="B37" s="7">
        <f t="shared" si="1"/>
        <v>-7.5629973867126736</v>
      </c>
      <c r="C37" s="7">
        <f t="shared" si="2"/>
        <v>5.1904676741521146E-4</v>
      </c>
      <c r="D37" s="7">
        <f t="shared" si="3"/>
        <v>1.1009650072975008</v>
      </c>
      <c r="E37" s="7">
        <f t="shared" si="4"/>
        <v>2.470093689422642</v>
      </c>
      <c r="F37" s="7">
        <f t="shared" si="5"/>
        <v>2.470093689422642</v>
      </c>
      <c r="G37" s="7">
        <f t="shared" si="6"/>
        <v>0.19420281668986394</v>
      </c>
      <c r="H37" s="7">
        <f t="shared" si="7"/>
        <v>0.19179765828961154</v>
      </c>
      <c r="I37" s="7">
        <f t="shared" si="8"/>
        <v>-1.0920009561447517</v>
      </c>
      <c r="J37" s="7">
        <f t="shared" si="9"/>
        <v>-2.1911426073786848</v>
      </c>
      <c r="K37" s="7">
        <f t="shared" si="10"/>
        <v>-1.7572503667484263</v>
      </c>
      <c r="L37" s="7">
        <f t="shared" si="11"/>
        <v>8.9640511527491196E-3</v>
      </c>
      <c r="M37" s="7">
        <f t="shared" si="12"/>
        <v>0.27895108204395713</v>
      </c>
      <c r="N37" s="7">
        <f t="shared" si="13"/>
        <v>0.71284332267421568</v>
      </c>
      <c r="O37" s="17">
        <v>7.3575980325581393E-3</v>
      </c>
      <c r="P37" s="17">
        <v>0.272509543831852</v>
      </c>
      <c r="Q37" s="17">
        <v>0.71941411557586699</v>
      </c>
      <c r="R37" s="18">
        <f t="shared" si="14"/>
        <v>8.7249425521773082E-5</v>
      </c>
      <c r="S37" s="19">
        <f t="shared" si="16"/>
        <v>-1.3024784581197046E-3</v>
      </c>
      <c r="T37" s="19">
        <f t="shared" si="17"/>
        <v>-2.917883846475533E-2</v>
      </c>
      <c r="U37" s="19">
        <f t="shared" si="18"/>
        <v>3.0348768221854838E-2</v>
      </c>
      <c r="V37" s="18">
        <f t="shared" si="23"/>
        <v>8.9827273915252185E-8</v>
      </c>
      <c r="W37" s="18">
        <f t="shared" si="24"/>
        <v>1.7943179889088831E-4</v>
      </c>
      <c r="X37" s="18">
        <f t="shared" si="25"/>
        <v>1.8393811888538236E-4</v>
      </c>
      <c r="Y37" s="18">
        <f t="shared" si="22"/>
        <v>5.7525530813595377E-7</v>
      </c>
    </row>
    <row r="38" spans="1:25">
      <c r="A38" s="6">
        <v>36</v>
      </c>
      <c r="B38" s="7">
        <f t="shared" si="1"/>
        <v>-7.9579407987392194</v>
      </c>
      <c r="C38" s="7">
        <f t="shared" si="2"/>
        <v>3.4975046657937612E-4</v>
      </c>
      <c r="D38" s="7">
        <f t="shared" si="3"/>
        <v>1.100798010502495</v>
      </c>
      <c r="E38" s="7">
        <f t="shared" si="4"/>
        <v>2.4701775075920911</v>
      </c>
      <c r="F38" s="7">
        <f t="shared" si="5"/>
        <v>2.4701775075920911</v>
      </c>
      <c r="G38" s="7">
        <f t="shared" si="6"/>
        <v>0.31990338656947959</v>
      </c>
      <c r="H38" s="7">
        <f t="shared" si="7"/>
        <v>0.30941956020865696</v>
      </c>
      <c r="I38" s="7">
        <f t="shared" si="8"/>
        <v>-1.0930062604035384</v>
      </c>
      <c r="J38" s="7">
        <f t="shared" si="9"/>
        <v>-2.2190731736166365</v>
      </c>
      <c r="K38" s="7">
        <f t="shared" si="10"/>
        <v>-1.7284417404856363</v>
      </c>
      <c r="L38" s="7">
        <f t="shared" si="11"/>
        <v>7.7917500989566069E-3</v>
      </c>
      <c r="M38" s="7">
        <f t="shared" si="12"/>
        <v>0.25110433397545462</v>
      </c>
      <c r="N38" s="7">
        <f t="shared" si="13"/>
        <v>0.74173576710645484</v>
      </c>
      <c r="O38" s="17">
        <v>2.8505374714209897E-3</v>
      </c>
      <c r="P38" s="17">
        <v>0.25622929206750999</v>
      </c>
      <c r="Q38" s="17">
        <v>0.73983758563310398</v>
      </c>
      <c r="R38" s="18">
        <f t="shared" si="14"/>
        <v>5.4283870581613752E-5</v>
      </c>
      <c r="S38" s="19">
        <f t="shared" si="16"/>
        <v>-1.1723010537925127E-3</v>
      </c>
      <c r="T38" s="19">
        <f t="shared" si="17"/>
        <v>-2.7846748068502514E-2</v>
      </c>
      <c r="U38" s="19">
        <f t="shared" si="18"/>
        <v>2.889244443223915E-2</v>
      </c>
      <c r="V38" s="18">
        <f t="shared" si="23"/>
        <v>1.5030041208882692E-7</v>
      </c>
      <c r="W38" s="18">
        <f t="shared" si="24"/>
        <v>1.8280939658190556E-4</v>
      </c>
      <c r="X38" s="18">
        <f t="shared" si="25"/>
        <v>1.8993756468176445E-4</v>
      </c>
      <c r="Y38" s="18">
        <f t="shared" si="22"/>
        <v>3.9923591476183569E-7</v>
      </c>
    </row>
    <row r="39" spans="1:25">
      <c r="A39" s="6">
        <v>37</v>
      </c>
      <c r="B39" s="7">
        <f t="shared" si="1"/>
        <v>-8.3528842107657653</v>
      </c>
      <c r="C39" s="7">
        <f t="shared" si="2"/>
        <v>2.3566013456343914E-4</v>
      </c>
      <c r="D39" s="7">
        <f t="shared" si="3"/>
        <v>1.1006854698285775</v>
      </c>
      <c r="E39" s="7">
        <f t="shared" si="4"/>
        <v>2.4702339934263011</v>
      </c>
      <c r="F39" s="7">
        <f t="shared" si="5"/>
        <v>2.4702339934263011</v>
      </c>
      <c r="G39" s="7">
        <f t="shared" si="6"/>
        <v>0.44560395644909523</v>
      </c>
      <c r="H39" s="7">
        <f t="shared" si="7"/>
        <v>0.41827876094954841</v>
      </c>
      <c r="I39" s="7">
        <f t="shared" si="8"/>
        <v>-1.0939366706105444</v>
      </c>
      <c r="J39" s="7">
        <f t="shared" si="9"/>
        <v>-2.2449229436619857</v>
      </c>
      <c r="K39" s="7">
        <f t="shared" si="10"/>
        <v>-1.7017793249129924</v>
      </c>
      <c r="L39" s="7">
        <f t="shared" si="11"/>
        <v>6.7487992180330636E-3</v>
      </c>
      <c r="M39" s="7">
        <f t="shared" si="12"/>
        <v>0.22531104976431537</v>
      </c>
      <c r="N39" s="7">
        <f t="shared" si="13"/>
        <v>0.76845466851330868</v>
      </c>
      <c r="O39" s="17">
        <v>-2.1838521820841201E-4</v>
      </c>
      <c r="P39" s="17">
        <v>0.23591031536785101</v>
      </c>
      <c r="Q39" s="17">
        <v>0.75684413386429605</v>
      </c>
      <c r="R39" s="18">
        <f t="shared" si="14"/>
        <v>2.9569060513882179E-4</v>
      </c>
      <c r="S39" s="19">
        <f t="shared" si="16"/>
        <v>-1.0429508809235433E-3</v>
      </c>
      <c r="T39" s="19">
        <f t="shared" si="17"/>
        <v>-2.5793284211139245E-2</v>
      </c>
      <c r="U39" s="19">
        <f t="shared" si="18"/>
        <v>2.6718901406853846E-2</v>
      </c>
      <c r="V39" s="18">
        <f t="shared" si="23"/>
        <v>1.8763305696280839E-7</v>
      </c>
      <c r="W39" s="18">
        <f t="shared" si="24"/>
        <v>1.6498287567493395E-4</v>
      </c>
      <c r="X39" s="18">
        <f t="shared" si="25"/>
        <v>1.7319609205583014E-4</v>
      </c>
      <c r="Y39" s="18">
        <f t="shared" si="22"/>
        <v>2.6472825333727304E-7</v>
      </c>
    </row>
    <row r="40" spans="1:25">
      <c r="A40" s="6">
        <v>38</v>
      </c>
      <c r="B40" s="7">
        <f t="shared" si="1"/>
        <v>-8.7478276227923093</v>
      </c>
      <c r="C40" s="7">
        <f t="shared" si="2"/>
        <v>1.5878072174347563E-4</v>
      </c>
      <c r="D40" s="7">
        <f t="shared" si="3"/>
        <v>1.1006096346480125</v>
      </c>
      <c r="E40" s="7">
        <f t="shared" si="4"/>
        <v>2.4702720562287315</v>
      </c>
      <c r="F40" s="7">
        <f t="shared" si="5"/>
        <v>2.4702720562287315</v>
      </c>
      <c r="G40" s="7">
        <f t="shared" si="6"/>
        <v>0.57130452632871087</v>
      </c>
      <c r="H40" s="7">
        <f t="shared" si="7"/>
        <v>0.51631668421689714</v>
      </c>
      <c r="I40" s="7">
        <f t="shared" si="8"/>
        <v>-1.0947745922915855</v>
      </c>
      <c r="J40" s="7">
        <f t="shared" si="9"/>
        <v>-2.2682030867728713</v>
      </c>
      <c r="K40" s="7">
        <f t="shared" si="10"/>
        <v>-1.6777673182636439</v>
      </c>
      <c r="L40" s="7">
        <f t="shared" si="11"/>
        <v>5.835042356427067E-3</v>
      </c>
      <c r="M40" s="7">
        <f t="shared" si="12"/>
        <v>0.20206896945586017</v>
      </c>
      <c r="N40" s="7">
        <f t="shared" si="13"/>
        <v>0.79250473796508758</v>
      </c>
      <c r="O40" s="17">
        <v>8.2348707294253292E-3</v>
      </c>
      <c r="P40" s="17">
        <v>0.22078107592961702</v>
      </c>
      <c r="Q40" s="17">
        <v>0.7750441208199299</v>
      </c>
      <c r="R40" s="18">
        <f t="shared" si="14"/>
        <v>6.6077525599483444E-4</v>
      </c>
      <c r="S40" s="19">
        <f t="shared" si="16"/>
        <v>-9.1375686160599656E-4</v>
      </c>
      <c r="T40" s="19">
        <f t="shared" si="17"/>
        <v>-2.3242080308455204E-2</v>
      </c>
      <c r="U40" s="19">
        <f t="shared" si="18"/>
        <v>2.4050069451778899E-2</v>
      </c>
      <c r="V40" s="18">
        <f t="shared" si="23"/>
        <v>1.9441069401812225E-7</v>
      </c>
      <c r="W40" s="18">
        <f t="shared" si="24"/>
        <v>1.3351914870466587E-4</v>
      </c>
      <c r="X40" s="18">
        <f t="shared" si="25"/>
        <v>1.4137688425750576E-4</v>
      </c>
      <c r="Y40" s="18">
        <f t="shared" si="22"/>
        <v>1.6707638050396264E-7</v>
      </c>
    </row>
    <row r="41" spans="1:25">
      <c r="A41" s="6">
        <v>39</v>
      </c>
      <c r="B41" s="7">
        <f t="shared" si="1"/>
        <v>-9.1427710348188551</v>
      </c>
      <c r="C41" s="7">
        <f t="shared" si="2"/>
        <v>1.069789983853182E-4</v>
      </c>
      <c r="D41" s="7">
        <f t="shared" si="3"/>
        <v>1.1005585365334414</v>
      </c>
      <c r="E41" s="7">
        <f t="shared" si="4"/>
        <v>2.4702977031306705</v>
      </c>
      <c r="F41" s="7">
        <f t="shared" si="5"/>
        <v>2.4702977031306705</v>
      </c>
      <c r="G41" s="7">
        <f t="shared" si="6"/>
        <v>0.69700509620832651</v>
      </c>
      <c r="H41" s="7">
        <f t="shared" si="7"/>
        <v>0.60246335175190391</v>
      </c>
      <c r="I41" s="7">
        <f t="shared" si="8"/>
        <v>-1.0955108804346971</v>
      </c>
      <c r="J41" s="7">
        <f t="shared" si="9"/>
        <v>-2.2886595252805684</v>
      </c>
      <c r="K41" s="7">
        <f t="shared" si="10"/>
        <v>-1.656667785707973</v>
      </c>
      <c r="L41" s="7">
        <f t="shared" si="11"/>
        <v>5.0476560987442465E-3</v>
      </c>
      <c r="M41" s="7">
        <f t="shared" si="12"/>
        <v>0.18163817785010217</v>
      </c>
      <c r="N41" s="7">
        <f t="shared" si="13"/>
        <v>0.81362991742269752</v>
      </c>
      <c r="O41" s="17">
        <v>3.9663387236011597E-3</v>
      </c>
      <c r="P41" s="17">
        <v>0.204823212440885</v>
      </c>
      <c r="Q41" s="17">
        <v>0.78395269848070492</v>
      </c>
      <c r="R41" s="18">
        <f t="shared" si="14"/>
        <v>1.4194524003725473E-3</v>
      </c>
      <c r="S41" s="19">
        <f t="shared" si="16"/>
        <v>-7.8738625768282056E-4</v>
      </c>
      <c r="T41" s="19">
        <f t="shared" si="17"/>
        <v>-2.0430791605758003E-2</v>
      </c>
      <c r="U41" s="19">
        <f t="shared" si="18"/>
        <v>2.1125179457609944E-2</v>
      </c>
      <c r="V41" s="18">
        <f t="shared" si="23"/>
        <v>1.7615738171928589E-7</v>
      </c>
      <c r="W41" s="18">
        <f t="shared" si="24"/>
        <v>9.7378581014428614E-5</v>
      </c>
      <c r="X41" s="18">
        <f t="shared" si="25"/>
        <v>1.0393336161242818E-4</v>
      </c>
      <c r="Y41" s="18">
        <f t="shared" si="22"/>
        <v>9.9698928631877673E-8</v>
      </c>
    </row>
    <row r="42" spans="1:25">
      <c r="A42" s="6">
        <v>40</v>
      </c>
      <c r="B42" s="7">
        <f t="shared" si="1"/>
        <v>-9.5377144468454009</v>
      </c>
      <c r="C42" s="7">
        <f t="shared" si="2"/>
        <v>7.2076210061961307E-5</v>
      </c>
      <c r="D42" s="7">
        <f t="shared" si="3"/>
        <v>1.1005241078202446</v>
      </c>
      <c r="E42" s="7">
        <f t="shared" si="4"/>
        <v>2.4703149834127056</v>
      </c>
      <c r="F42" s="7">
        <f t="shared" si="5"/>
        <v>2.4703149834127056</v>
      </c>
      <c r="G42" s="7">
        <f t="shared" si="6"/>
        <v>0.82270566608794216</v>
      </c>
      <c r="H42" s="7">
        <f t="shared" si="7"/>
        <v>0.67653982809703717</v>
      </c>
      <c r="I42" s="7">
        <f t="shared" si="8"/>
        <v>-1.0961440056939444</v>
      </c>
      <c r="J42" s="7">
        <f t="shared" si="9"/>
        <v>-2.306249769065742</v>
      </c>
      <c r="K42" s="7">
        <f t="shared" si="10"/>
        <v>-1.6385245531375618</v>
      </c>
      <c r="L42" s="7">
        <f t="shared" si="11"/>
        <v>4.3801021263001338E-3</v>
      </c>
      <c r="M42" s="7">
        <f t="shared" si="12"/>
        <v>0.16406521434696364</v>
      </c>
      <c r="N42" s="7">
        <f t="shared" si="13"/>
        <v>0.83179043027514377</v>
      </c>
      <c r="O42" s="17">
        <v>7.9785242352294391E-3</v>
      </c>
      <c r="P42" s="17">
        <v>0.19286137258476199</v>
      </c>
      <c r="Q42" s="17">
        <v>0.80233719563429595</v>
      </c>
      <c r="R42" s="18">
        <f t="shared" si="14"/>
        <v>1.709660401739191E-3</v>
      </c>
      <c r="S42" s="19">
        <f t="shared" si="16"/>
        <v>-6.6755397244411263E-4</v>
      </c>
      <c r="T42" s="19">
        <f t="shared" si="17"/>
        <v>-1.7572963503138528E-2</v>
      </c>
      <c r="U42" s="19">
        <f t="shared" si="18"/>
        <v>1.8160512852446242E-2</v>
      </c>
      <c r="V42" s="18">
        <f t="shared" si="23"/>
        <v>1.4392242663170536E-7</v>
      </c>
      <c r="W42" s="18">
        <f t="shared" si="24"/>
        <v>6.3811711438554176E-5</v>
      </c>
      <c r="X42" s="18">
        <f t="shared" si="25"/>
        <v>6.8684144148829451E-5</v>
      </c>
      <c r="Y42" s="18">
        <f t="shared" si="22"/>
        <v>5.5576529384727626E-8</v>
      </c>
    </row>
    <row r="43" spans="1:25">
      <c r="A43" s="6">
        <v>41</v>
      </c>
      <c r="B43" s="7">
        <f t="shared" si="1"/>
        <v>-9.9326578588719467</v>
      </c>
      <c r="C43" s="7">
        <f t="shared" si="2"/>
        <v>4.8560193801802442E-5</v>
      </c>
      <c r="D43" s="7">
        <f t="shared" si="3"/>
        <v>1.1005009112156681</v>
      </c>
      <c r="E43" s="7">
        <f t="shared" si="4"/>
        <v>2.4703266261327528</v>
      </c>
      <c r="F43" s="7">
        <f t="shared" si="5"/>
        <v>2.4703266261327528</v>
      </c>
      <c r="G43" s="7">
        <f t="shared" si="6"/>
        <v>0.9484062359675578</v>
      </c>
      <c r="H43" s="7">
        <f t="shared" si="7"/>
        <v>0.73906066966352546</v>
      </c>
      <c r="I43" s="7">
        <f t="shared" si="8"/>
        <v>-1.096678365938629</v>
      </c>
      <c r="J43" s="7">
        <f t="shared" si="9"/>
        <v>-2.321096004997441</v>
      </c>
      <c r="K43" s="7">
        <f t="shared" si="10"/>
        <v>-1.6232115924649508</v>
      </c>
      <c r="L43" s="7">
        <f t="shared" si="11"/>
        <v>3.8225452770390689E-3</v>
      </c>
      <c r="M43" s="7">
        <f t="shared" si="12"/>
        <v>0.14923062113531183</v>
      </c>
      <c r="N43" s="7">
        <f t="shared" si="13"/>
        <v>0.84711503366780194</v>
      </c>
      <c r="O43" s="17">
        <v>3.1396670372780401E-3</v>
      </c>
      <c r="P43" s="17">
        <v>0.17630438116484701</v>
      </c>
      <c r="Q43" s="17">
        <v>0.81844367482675706</v>
      </c>
      <c r="R43" s="18">
        <f t="shared" si="14"/>
        <v>1.5555016226191584E-3</v>
      </c>
      <c r="S43" s="19">
        <f t="shared" si="16"/>
        <v>-5.5755684926106497E-4</v>
      </c>
      <c r="T43" s="19">
        <f t="shared" si="17"/>
        <v>-1.4834593211651814E-2</v>
      </c>
      <c r="U43" s="19">
        <f t="shared" si="18"/>
        <v>1.5324603392658176E-2</v>
      </c>
      <c r="V43" s="18">
        <f t="shared" si="23"/>
        <v>1.0810808659622662E-7</v>
      </c>
      <c r="W43" s="18">
        <f t="shared" si="24"/>
        <v>3.7004442596114665E-5</v>
      </c>
      <c r="X43" s="18">
        <f t="shared" si="25"/>
        <v>4.0251144542022053E-5</v>
      </c>
      <c r="Y43" s="18">
        <f t="shared" si="22"/>
        <v>2.8291266963420473E-8</v>
      </c>
    </row>
    <row r="44" spans="1:25">
      <c r="A44" s="6">
        <v>42</v>
      </c>
      <c r="B44" s="7">
        <f t="shared" si="1"/>
        <v>-10.327601270898493</v>
      </c>
      <c r="C44" s="7">
        <f t="shared" si="2"/>
        <v>3.2716402908361978E-5</v>
      </c>
      <c r="D44" s="7">
        <f t="shared" si="3"/>
        <v>1.1004852826266978</v>
      </c>
      <c r="E44" s="7">
        <f t="shared" si="4"/>
        <v>2.4703344703534666</v>
      </c>
      <c r="F44" s="7">
        <f t="shared" si="5"/>
        <v>2.4703344703534666</v>
      </c>
      <c r="G44" s="7">
        <f t="shared" si="6"/>
        <v>1.0741068058471734</v>
      </c>
      <c r="H44" s="7">
        <f t="shared" si="7"/>
        <v>0.79100345523830562</v>
      </c>
      <c r="I44" s="7">
        <f t="shared" si="8"/>
        <v>-1.0971223164503925</v>
      </c>
      <c r="J44" s="7">
        <f t="shared" si="9"/>
        <v>-2.3334303695112766</v>
      </c>
      <c r="K44" s="7">
        <f t="shared" si="10"/>
        <v>-1.6104894695247691</v>
      </c>
      <c r="L44" s="7">
        <f t="shared" si="11"/>
        <v>3.3629661763052709E-3</v>
      </c>
      <c r="M44" s="7">
        <f t="shared" si="12"/>
        <v>0.13690410084219007</v>
      </c>
      <c r="N44" s="7">
        <f t="shared" si="13"/>
        <v>0.85984500082869753</v>
      </c>
      <c r="O44" s="17">
        <v>2.6118371468564702E-3</v>
      </c>
      <c r="P44" s="17">
        <v>0.16677826328596299</v>
      </c>
      <c r="Q44" s="17">
        <v>0.83017491401183396</v>
      </c>
      <c r="R44" s="18">
        <f t="shared" si="14"/>
        <v>1.7733438282560338E-3</v>
      </c>
      <c r="S44" s="19">
        <f t="shared" si="16"/>
        <v>-4.5957910073379793E-4</v>
      </c>
      <c r="T44" s="19">
        <f t="shared" si="17"/>
        <v>-1.2326520293121757E-2</v>
      </c>
      <c r="U44" s="19">
        <f t="shared" si="18"/>
        <v>1.2729967160895583E-2</v>
      </c>
      <c r="V44" s="18">
        <f t="shared" si="23"/>
        <v>7.5596045872656993E-8</v>
      </c>
      <c r="W44" s="18">
        <f t="shared" si="24"/>
        <v>1.8255951883677448E-5</v>
      </c>
      <c r="X44" s="18">
        <f t="shared" si="25"/>
        <v>2.0173693963518714E-5</v>
      </c>
      <c r="Y44" s="18">
        <f t="shared" si="22"/>
        <v>1.2559202374443315E-8</v>
      </c>
    </row>
    <row r="45" spans="1:25">
      <c r="A45" s="6">
        <v>43</v>
      </c>
      <c r="B45" s="7">
        <f t="shared" si="1"/>
        <v>-10.722544682925038</v>
      </c>
      <c r="C45" s="7">
        <f t="shared" si="2"/>
        <v>2.2041870143396065E-5</v>
      </c>
      <c r="D45" s="7">
        <f t="shared" si="3"/>
        <v>1.100474753083222</v>
      </c>
      <c r="E45" s="7">
        <f t="shared" si="4"/>
        <v>2.4703397552875832</v>
      </c>
      <c r="F45" s="7">
        <f t="shared" si="5"/>
        <v>2.4703397552875832</v>
      </c>
      <c r="G45" s="7">
        <f t="shared" si="6"/>
        <v>1.1998073757267891</v>
      </c>
      <c r="H45" s="7">
        <f t="shared" si="7"/>
        <v>0.83359584332140013</v>
      </c>
      <c r="I45" s="7">
        <f t="shared" si="8"/>
        <v>-1.0974863499206327</v>
      </c>
      <c r="J45" s="7">
        <f t="shared" si="9"/>
        <v>-2.343544383119101</v>
      </c>
      <c r="K45" s="7">
        <f t="shared" si="10"/>
        <v>-1.6000574992037138</v>
      </c>
      <c r="L45" s="7">
        <f t="shared" si="11"/>
        <v>2.9884031625893037E-3</v>
      </c>
      <c r="M45" s="7">
        <f t="shared" si="12"/>
        <v>0.12679537216848225</v>
      </c>
      <c r="N45" s="7">
        <f t="shared" si="13"/>
        <v>0.87028225608386944</v>
      </c>
      <c r="O45" s="17">
        <v>2.39128185473625E-3</v>
      </c>
      <c r="P45" s="17">
        <v>0.157909899247861</v>
      </c>
      <c r="Q45" s="17">
        <v>0.83969352077445703</v>
      </c>
      <c r="R45" s="18">
        <f t="shared" si="14"/>
        <v>1.9041410770589801E-3</v>
      </c>
      <c r="S45" s="19">
        <f t="shared" si="16"/>
        <v>-3.7456301371596723E-4</v>
      </c>
      <c r="T45" s="19">
        <f t="shared" si="17"/>
        <v>-1.0108728673707823E-2</v>
      </c>
      <c r="U45" s="19">
        <f t="shared" si="18"/>
        <v>1.0437255255171918E-2</v>
      </c>
      <c r="V45" s="18">
        <f t="shared" si="23"/>
        <v>4.9555102926272392E-8</v>
      </c>
      <c r="W45" s="18">
        <f t="shared" si="24"/>
        <v>6.9197379558641571E-6</v>
      </c>
      <c r="X45" s="18">
        <f t="shared" si="25"/>
        <v>7.8798822861831082E-6</v>
      </c>
      <c r="Y45" s="18">
        <f t="shared" si="22"/>
        <v>4.3601477591095149E-9</v>
      </c>
    </row>
    <row r="46" spans="1:25">
      <c r="A46" s="6">
        <v>44</v>
      </c>
      <c r="B46" s="7">
        <f t="shared" si="1"/>
        <v>-11.117488094951581</v>
      </c>
      <c r="C46" s="7">
        <f t="shared" si="2"/>
        <v>1.4850115051394923E-5</v>
      </c>
      <c r="D46" s="7">
        <f t="shared" si="3"/>
        <v>1.1004676590117928</v>
      </c>
      <c r="E46" s="7">
        <f t="shared" si="4"/>
        <v>2.4703433159073014</v>
      </c>
      <c r="F46" s="7">
        <f t="shared" si="5"/>
        <v>2.4703433159073014</v>
      </c>
      <c r="G46" s="7">
        <f t="shared" si="6"/>
        <v>1.3255079456064047</v>
      </c>
      <c r="H46" s="7">
        <f t="shared" si="7"/>
        <v>0.86814715363007644</v>
      </c>
      <c r="I46" s="7">
        <f t="shared" si="8"/>
        <v>-1.0977816569921326</v>
      </c>
      <c r="J46" s="7">
        <f t="shared" si="9"/>
        <v>-2.351748957653601</v>
      </c>
      <c r="K46" s="7">
        <f t="shared" si="10"/>
        <v>-1.5915949954579622</v>
      </c>
      <c r="L46" s="7">
        <f t="shared" si="11"/>
        <v>2.686002019660183E-3</v>
      </c>
      <c r="M46" s="7">
        <f t="shared" si="12"/>
        <v>0.11859435825370035</v>
      </c>
      <c r="N46" s="7">
        <f t="shared" si="13"/>
        <v>0.87874832044933915</v>
      </c>
      <c r="O46" s="17">
        <v>1.2757458204968699E-3</v>
      </c>
      <c r="P46" s="17">
        <v>0.14923463373831</v>
      </c>
      <c r="Q46" s="17">
        <v>0.84673055231667504</v>
      </c>
      <c r="R46" s="18">
        <f t="shared" si="14"/>
        <v>1.9659527805170906E-3</v>
      </c>
      <c r="S46" s="19">
        <f t="shared" si="16"/>
        <v>-3.0240114292912068E-4</v>
      </c>
      <c r="T46" s="19">
        <f t="shared" si="17"/>
        <v>-8.2010139147818961E-3</v>
      </c>
      <c r="U46" s="19">
        <f t="shared" si="18"/>
        <v>8.4660643654697054E-3</v>
      </c>
      <c r="V46" s="18">
        <f t="shared" si="23"/>
        <v>3.0505396846182832E-8</v>
      </c>
      <c r="W46" s="18">
        <f t="shared" si="24"/>
        <v>1.421163473590631E-6</v>
      </c>
      <c r="X46" s="18">
        <f t="shared" si="25"/>
        <v>1.767391733675146E-6</v>
      </c>
      <c r="Y46" s="18">
        <f t="shared" si="22"/>
        <v>8.2258385457599857E-10</v>
      </c>
    </row>
    <row r="47" spans="1:25">
      <c r="A47" s="6">
        <v>45</v>
      </c>
      <c r="B47" s="7">
        <f t="shared" si="1"/>
        <v>-11.512431506978126</v>
      </c>
      <c r="C47" s="7">
        <f t="shared" si="2"/>
        <v>1.0004840702255466E-5</v>
      </c>
      <c r="D47" s="7">
        <f t="shared" si="3"/>
        <v>1.1004628795494937</v>
      </c>
      <c r="E47" s="7">
        <f t="shared" si="4"/>
        <v>2.4703457147903509</v>
      </c>
      <c r="F47" s="7">
        <f t="shared" si="5"/>
        <v>2.4703457147903509</v>
      </c>
      <c r="G47" s="7">
        <f t="shared" si="6"/>
        <v>1.4512085154860204</v>
      </c>
      <c r="H47" s="7">
        <f t="shared" si="7"/>
        <v>0.89593158027145803</v>
      </c>
      <c r="I47" s="7">
        <f t="shared" si="8"/>
        <v>-1.0980191280921132</v>
      </c>
      <c r="J47" s="7">
        <f t="shared" si="9"/>
        <v>-2.3583466639993524</v>
      </c>
      <c r="K47" s="7">
        <f t="shared" si="10"/>
        <v>-1.5847898754082257</v>
      </c>
      <c r="L47" s="7">
        <f t="shared" si="11"/>
        <v>2.4437514573805164E-3</v>
      </c>
      <c r="M47" s="7">
        <f t="shared" si="12"/>
        <v>0.11199905079099848</v>
      </c>
      <c r="N47" s="7">
        <f t="shared" si="13"/>
        <v>0.88555583938212523</v>
      </c>
      <c r="O47" s="17">
        <v>3.5362804167817599E-3</v>
      </c>
      <c r="P47" s="17">
        <v>0.135577127775768</v>
      </c>
      <c r="Q47" s="17">
        <v>0.86534225693530897</v>
      </c>
      <c r="R47" s="18">
        <f t="shared" si="14"/>
        <v>9.6570824916108675E-4</v>
      </c>
      <c r="S47" s="19">
        <f t="shared" si="16"/>
        <v>-2.4225056227966668E-4</v>
      </c>
      <c r="T47" s="19">
        <f t="shared" si="17"/>
        <v>-6.5953074627018715E-3</v>
      </c>
      <c r="U47" s="19">
        <f t="shared" si="18"/>
        <v>6.807518932786083E-3</v>
      </c>
      <c r="V47" s="18">
        <f t="shared" si="23"/>
        <v>1.7554103625437031E-8</v>
      </c>
      <c r="W47" s="18">
        <f t="shared" si="24"/>
        <v>1.2027537580327515E-9</v>
      </c>
      <c r="X47" s="18">
        <f t="shared" si="25"/>
        <v>4.5930531443607654E-9</v>
      </c>
      <c r="Y47" s="18">
        <f t="shared" si="22"/>
        <v>1.8451676870497724E-12</v>
      </c>
    </row>
    <row r="48" spans="1:25">
      <c r="A48" s="6">
        <v>46</v>
      </c>
      <c r="B48" s="7">
        <f t="shared" si="1"/>
        <v>-11.907374919004672</v>
      </c>
      <c r="C48" s="7">
        <f t="shared" si="2"/>
        <v>6.7404648977446183E-6</v>
      </c>
      <c r="D48" s="7">
        <f t="shared" si="3"/>
        <v>1.1004596595128222</v>
      </c>
      <c r="E48" s="7">
        <f t="shared" si="4"/>
        <v>2.4703473309745378</v>
      </c>
      <c r="F48" s="7">
        <f t="shared" si="5"/>
        <v>2.4703473309745378</v>
      </c>
      <c r="G48" s="7">
        <f t="shared" si="6"/>
        <v>1.576909085365636</v>
      </c>
      <c r="H48" s="7">
        <f t="shared" si="7"/>
        <v>0.91811781005577209</v>
      </c>
      <c r="I48" s="7">
        <f t="shared" si="8"/>
        <v>-1.0982087518860215</v>
      </c>
      <c r="J48" s="7">
        <f t="shared" si="9"/>
        <v>-2.3636150192159491</v>
      </c>
      <c r="K48" s="7">
        <f t="shared" si="10"/>
        <v>-1.579355897623403</v>
      </c>
      <c r="L48" s="7">
        <f t="shared" si="11"/>
        <v>2.2509076268006911E-3</v>
      </c>
      <c r="M48" s="7">
        <f t="shared" si="12"/>
        <v>0.10673231175858877</v>
      </c>
      <c r="N48" s="7">
        <f t="shared" si="13"/>
        <v>0.89099143335113484</v>
      </c>
      <c r="O48" s="17">
        <v>-3.1346344649783998E-3</v>
      </c>
      <c r="P48" s="17">
        <v>0.125187367886479</v>
      </c>
      <c r="Q48" s="17">
        <v>0.87833605384871605</v>
      </c>
      <c r="R48" s="18">
        <f t="shared" si="14"/>
        <v>5.2975179065614458E-4</v>
      </c>
      <c r="S48" s="19">
        <f t="shared" si="16"/>
        <v>-1.9284383057982524E-4</v>
      </c>
      <c r="T48" s="19">
        <f t="shared" si="17"/>
        <v>-5.2667390324097063E-3</v>
      </c>
      <c r="U48" s="19">
        <f t="shared" si="18"/>
        <v>5.4355939690096111E-3</v>
      </c>
      <c r="V48" s="18">
        <f t="shared" si="23"/>
        <v>9.3123738285921159E-9</v>
      </c>
      <c r="W48" s="18">
        <f t="shared" si="24"/>
        <v>1.1230256175013289E-6</v>
      </c>
      <c r="X48" s="18">
        <f t="shared" si="25"/>
        <v>9.7459796307991129E-7</v>
      </c>
      <c r="Y48" s="18">
        <f t="shared" si="22"/>
        <v>6.4248376570628171E-10</v>
      </c>
    </row>
    <row r="49" spans="1:25">
      <c r="A49" s="6">
        <v>47</v>
      </c>
      <c r="B49" s="7">
        <f t="shared" si="1"/>
        <v>-12.302318331031218</v>
      </c>
      <c r="C49" s="7">
        <f t="shared" si="2"/>
        <v>4.5411836127955275E-6</v>
      </c>
      <c r="D49" s="7">
        <f t="shared" si="3"/>
        <v>1.1004574901037796</v>
      </c>
      <c r="E49" s="7">
        <f t="shared" si="4"/>
        <v>2.4703484198331278</v>
      </c>
      <c r="F49" s="7">
        <f t="shared" si="5"/>
        <v>2.4703484198331278</v>
      </c>
      <c r="G49" s="7">
        <f t="shared" si="6"/>
        <v>1.7026096552452517</v>
      </c>
      <c r="H49" s="7">
        <f t="shared" si="7"/>
        <v>0.93573450810501058</v>
      </c>
      <c r="I49" s="7">
        <f t="shared" si="8"/>
        <v>-1.0983593202860022</v>
      </c>
      <c r="J49" s="7">
        <f t="shared" si="9"/>
        <v>-2.3677982907302701</v>
      </c>
      <c r="K49" s="7">
        <f t="shared" si="10"/>
        <v>-1.5750411155819237</v>
      </c>
      <c r="L49" s="7">
        <f t="shared" si="11"/>
        <v>2.0981698177773289E-3</v>
      </c>
      <c r="M49" s="7">
        <f t="shared" si="12"/>
        <v>0.10255012910285766</v>
      </c>
      <c r="N49" s="7">
        <f t="shared" si="13"/>
        <v>0.89530730425120408</v>
      </c>
      <c r="O49" s="17">
        <v>9.0828857896239103E-3</v>
      </c>
      <c r="P49" s="17">
        <v>0.11564560923284699</v>
      </c>
      <c r="Q49" s="17">
        <v>0.87802773465304806</v>
      </c>
      <c r="R49" s="18">
        <f t="shared" si="14"/>
        <v>5.1886138253983186E-4</v>
      </c>
      <c r="S49" s="19">
        <f t="shared" si="16"/>
        <v>-1.527378090233622E-4</v>
      </c>
      <c r="T49" s="19">
        <f t="shared" si="17"/>
        <v>-4.1821826557311148E-3</v>
      </c>
      <c r="U49" s="19">
        <f t="shared" si="18"/>
        <v>4.3158709000692408E-3</v>
      </c>
      <c r="V49" s="18">
        <f t="shared" si="23"/>
        <v>4.4157389153542621E-9</v>
      </c>
      <c r="W49" s="18">
        <f t="shared" si="24"/>
        <v>3.6201582850957362E-6</v>
      </c>
      <c r="X49" s="18">
        <f t="shared" si="25"/>
        <v>3.4420263767295759E-6</v>
      </c>
      <c r="Y49" s="18">
        <f t="shared" si="22"/>
        <v>1.9710783507512203E-9</v>
      </c>
    </row>
    <row r="50" spans="1:25">
      <c r="A50" s="6">
        <v>48</v>
      </c>
      <c r="B50" s="7">
        <f t="shared" si="1"/>
        <v>-12.697261743057764</v>
      </c>
      <c r="C50" s="7">
        <f t="shared" si="2"/>
        <v>3.0594824125116166E-6</v>
      </c>
      <c r="D50" s="7">
        <f t="shared" si="3"/>
        <v>1.1004560285281257</v>
      </c>
      <c r="E50" s="7">
        <f t="shared" si="4"/>
        <v>2.4703491534196367</v>
      </c>
      <c r="F50" s="7">
        <f t="shared" si="5"/>
        <v>2.4703491534196367</v>
      </c>
      <c r="G50" s="7">
        <f t="shared" si="6"/>
        <v>1.8283102251248682</v>
      </c>
      <c r="H50" s="7">
        <f t="shared" si="7"/>
        <v>0.94966049870508662</v>
      </c>
      <c r="I50" s="7">
        <f t="shared" si="8"/>
        <v>-1.0984783445274886</v>
      </c>
      <c r="J50" s="7">
        <f t="shared" si="9"/>
        <v>-2.3711051646758405</v>
      </c>
      <c r="K50" s="7">
        <f t="shared" si="10"/>
        <v>-1.5716302826333726</v>
      </c>
      <c r="L50" s="7">
        <f t="shared" si="11"/>
        <v>1.9776840006371366E-3</v>
      </c>
      <c r="M50" s="7">
        <f t="shared" si="12"/>
        <v>9.9243988743796141E-2</v>
      </c>
      <c r="N50" s="7">
        <f t="shared" si="13"/>
        <v>0.89871887078626411</v>
      </c>
      <c r="O50" s="17">
        <v>1.0538230552720001E-2</v>
      </c>
      <c r="P50" s="17">
        <v>0.111612530534534</v>
      </c>
      <c r="Q50" s="17">
        <v>0.88908099354612202</v>
      </c>
      <c r="R50" s="18">
        <f t="shared" si="14"/>
        <v>3.1915246099565567E-4</v>
      </c>
      <c r="S50" s="19">
        <f t="shared" si="16"/>
        <v>-1.2048581714019235E-4</v>
      </c>
      <c r="T50" s="19">
        <f t="shared" si="17"/>
        <v>-3.3061403590615157E-3</v>
      </c>
      <c r="U50" s="19">
        <f t="shared" si="18"/>
        <v>3.4115665350600288E-3</v>
      </c>
      <c r="V50" s="18">
        <f t="shared" si="23"/>
        <v>1.7452396852353931E-9</v>
      </c>
      <c r="W50" s="18">
        <f t="shared" si="24"/>
        <v>6.6943161950916473E-6</v>
      </c>
      <c r="X50" s="18">
        <f t="shared" si="25"/>
        <v>6.5567811381230828E-6</v>
      </c>
      <c r="Y50" s="18">
        <f t="shared" si="22"/>
        <v>3.5350717419322122E-9</v>
      </c>
    </row>
    <row r="51" spans="1:25">
      <c r="A51" s="6">
        <v>49</v>
      </c>
      <c r="B51" s="7">
        <f t="shared" si="1"/>
        <v>-13.09220515508431</v>
      </c>
      <c r="C51" s="7">
        <f t="shared" si="2"/>
        <v>2.0612309268374861E-6</v>
      </c>
      <c r="D51" s="7">
        <f t="shared" si="3"/>
        <v>1.1004550438356198</v>
      </c>
      <c r="E51" s="7">
        <f t="shared" si="4"/>
        <v>2.4703496476514171</v>
      </c>
      <c r="F51" s="7">
        <f t="shared" si="5"/>
        <v>2.4703496476514171</v>
      </c>
      <c r="G51" s="7">
        <f t="shared" si="6"/>
        <v>1.9540107950044838</v>
      </c>
      <c r="H51" s="7">
        <f t="shared" si="7"/>
        <v>0.96063017621727831</v>
      </c>
      <c r="I51" s="7">
        <f t="shared" si="8"/>
        <v>-1.0985721014157941</v>
      </c>
      <c r="J51" s="7">
        <f t="shared" si="9"/>
        <v>-2.3737100307710524</v>
      </c>
      <c r="K51" s="7">
        <f t="shared" si="10"/>
        <v>-1.5689435267272356</v>
      </c>
      <c r="L51" s="7">
        <f t="shared" si="11"/>
        <v>1.8829424198256728E-3</v>
      </c>
      <c r="M51" s="7">
        <f t="shared" si="12"/>
        <v>9.6639616880364709E-2</v>
      </c>
      <c r="N51" s="7">
        <f t="shared" si="13"/>
        <v>0.90140612092418149</v>
      </c>
      <c r="O51" s="17">
        <v>2.5859344138377399E-3</v>
      </c>
      <c r="P51" s="17">
        <v>0.10342211054485</v>
      </c>
      <c r="Q51" s="17">
        <v>0.89472708248588406</v>
      </c>
      <c r="R51" s="18">
        <f t="shared" si="14"/>
        <v>9.110597251268261E-5</v>
      </c>
      <c r="S51" s="19">
        <f t="shared" si="16"/>
        <v>-9.4741580811463777E-5</v>
      </c>
      <c r="T51" s="19">
        <f t="shared" si="17"/>
        <v>-2.6043718634314317E-3</v>
      </c>
      <c r="U51" s="19">
        <f t="shared" si="18"/>
        <v>2.6872501379173741E-3</v>
      </c>
      <c r="V51" s="18">
        <f t="shared" si="23"/>
        <v>4.7388964178559824E-10</v>
      </c>
      <c r="W51" s="18">
        <f t="shared" si="24"/>
        <v>9.8478003836285952E-6</v>
      </c>
      <c r="X51" s="18">
        <f t="shared" si="25"/>
        <v>9.7857279449228347E-6</v>
      </c>
      <c r="Y51" s="18">
        <f t="shared" si="22"/>
        <v>5.0865103956470073E-9</v>
      </c>
    </row>
    <row r="52" spans="1:25">
      <c r="A52" s="6">
        <v>50</v>
      </c>
      <c r="B52" s="7">
        <f t="shared" si="1"/>
        <v>-13.487148567110856</v>
      </c>
      <c r="C52" s="7">
        <f t="shared" si="2"/>
        <v>1.3886896465018825E-6</v>
      </c>
      <c r="D52" s="7">
        <f t="shared" si="3"/>
        <v>1.1004543804292857</v>
      </c>
      <c r="E52" s="7">
        <f t="shared" si="4"/>
        <v>2.4703499806249001</v>
      </c>
      <c r="F52" s="7">
        <f t="shared" si="5"/>
        <v>2.4703499806249001</v>
      </c>
      <c r="G52" s="7">
        <f t="shared" si="6"/>
        <v>2.0797113648840995</v>
      </c>
      <c r="H52" s="7">
        <f t="shared" si="7"/>
        <v>0.96924711400682784</v>
      </c>
      <c r="I52" s="7">
        <f t="shared" si="8"/>
        <v>-1.0986457496404547</v>
      </c>
      <c r="J52" s="7">
        <f t="shared" si="9"/>
        <v>-2.3757562139033821</v>
      </c>
      <c r="K52" s="7">
        <f t="shared" si="10"/>
        <v>-1.5668330172365823</v>
      </c>
      <c r="L52" s="7">
        <f t="shared" si="11"/>
        <v>1.8086307888309783E-3</v>
      </c>
      <c r="M52" s="7">
        <f t="shared" si="12"/>
        <v>9.459376672151798E-2</v>
      </c>
      <c r="N52" s="7">
        <f t="shared" si="13"/>
        <v>0.90351696338831777</v>
      </c>
      <c r="O52" s="17">
        <v>2.0336631835871899E-3</v>
      </c>
      <c r="P52" s="17">
        <v>9.4972241588527101E-2</v>
      </c>
      <c r="Q52" s="17">
        <v>0.90450311421663898</v>
      </c>
      <c r="R52" s="18">
        <f t="shared" si="14"/>
        <v>1.1663762598458928E-6</v>
      </c>
      <c r="S52" s="19">
        <f t="shared" si="16"/>
        <v>-7.4311630994694511E-5</v>
      </c>
      <c r="T52" s="19">
        <f t="shared" si="17"/>
        <v>-2.0458501588467293E-3</v>
      </c>
      <c r="U52" s="19">
        <f t="shared" si="18"/>
        <v>2.1108424641362866E-3</v>
      </c>
      <c r="V52" s="18">
        <f t="shared" si="23"/>
        <v>3.2522201366550857E-11</v>
      </c>
      <c r="W52" s="18">
        <f t="shared" si="24"/>
        <v>1.2801319966866899E-5</v>
      </c>
      <c r="X52" s="18">
        <f t="shared" si="25"/>
        <v>1.2827211960018171E-5</v>
      </c>
      <c r="Y52" s="18">
        <f t="shared" si="22"/>
        <v>6.5026646638371569E-9</v>
      </c>
    </row>
    <row r="53" spans="1:25">
      <c r="A53" s="6">
        <v>51</v>
      </c>
      <c r="B53" s="7">
        <f t="shared" si="1"/>
        <v>-13.882091979137401</v>
      </c>
      <c r="C53" s="7">
        <f t="shared" si="2"/>
        <v>9.3558586086370927E-7</v>
      </c>
      <c r="D53" s="7">
        <f t="shared" si="3"/>
        <v>1.100453933479886</v>
      </c>
      <c r="E53" s="7">
        <f t="shared" si="4"/>
        <v>2.470350204955436</v>
      </c>
      <c r="F53" s="7">
        <f t="shared" si="5"/>
        <v>2.470350204955436</v>
      </c>
      <c r="G53" s="7">
        <f t="shared" si="6"/>
        <v>2.2054119347637151</v>
      </c>
      <c r="H53" s="7">
        <f t="shared" si="7"/>
        <v>0.9760011339185477</v>
      </c>
      <c r="I53" s="7">
        <f t="shared" si="8"/>
        <v>-1.0987034756665639</v>
      </c>
      <c r="J53" s="7">
        <f t="shared" si="9"/>
        <v>-2.3773600274571418</v>
      </c>
      <c r="K53" s="7">
        <f t="shared" si="10"/>
        <v>-1.5651787842048626</v>
      </c>
      <c r="L53" s="7">
        <f t="shared" si="11"/>
        <v>1.7504578133220594E-3</v>
      </c>
      <c r="M53" s="7">
        <f t="shared" si="12"/>
        <v>9.2990177498294191E-2</v>
      </c>
      <c r="N53" s="7">
        <f t="shared" si="13"/>
        <v>0.90517142075057344</v>
      </c>
      <c r="O53" s="17">
        <v>2.2949557971681501E-3</v>
      </c>
      <c r="P53" s="17">
        <v>8.7440881600336293E-2</v>
      </c>
      <c r="Q53" s="17">
        <v>0.90922037148508505</v>
      </c>
      <c r="R53" s="18">
        <f t="shared" si="14"/>
        <v>4.7485165068006962E-5</v>
      </c>
      <c r="S53" s="19">
        <f t="shared" si="16"/>
        <v>-5.8172975508918867E-5</v>
      </c>
      <c r="T53" s="19">
        <f t="shared" si="17"/>
        <v>-1.6035892232237892E-3</v>
      </c>
      <c r="U53" s="19">
        <f t="shared" si="18"/>
        <v>1.654457362255668E-3</v>
      </c>
      <c r="V53" s="18">
        <f t="shared" si="23"/>
        <v>5.0458551767438989E-11</v>
      </c>
      <c r="W53" s="18">
        <f t="shared" si="24"/>
        <v>1.5421232214593447E-5</v>
      </c>
      <c r="X53" s="18">
        <f t="shared" si="25"/>
        <v>1.5534601890433114E-5</v>
      </c>
      <c r="Y53" s="18">
        <f t="shared" si="22"/>
        <v>7.7341361975834303E-9</v>
      </c>
    </row>
    <row r="54" spans="1:25">
      <c r="A54" s="6">
        <v>52</v>
      </c>
      <c r="B54" s="7">
        <f t="shared" si="1"/>
        <v>-14.277035391163947</v>
      </c>
      <c r="C54" s="7">
        <f t="shared" si="2"/>
        <v>6.3032137947161256E-7</v>
      </c>
      <c r="D54" s="7">
        <f t="shared" si="3"/>
        <v>1.1004536323617293</v>
      </c>
      <c r="E54" s="7">
        <f t="shared" si="4"/>
        <v>2.4703503560911071</v>
      </c>
      <c r="F54" s="7">
        <f t="shared" si="5"/>
        <v>2.4703503560911071</v>
      </c>
      <c r="G54" s="7">
        <f t="shared" si="6"/>
        <v>2.3311125046433308</v>
      </c>
      <c r="H54" s="7">
        <f t="shared" si="7"/>
        <v>0.98128591672927945</v>
      </c>
      <c r="I54" s="7">
        <f t="shared" si="8"/>
        <v>-1.0987486442497929</v>
      </c>
      <c r="J54" s="7">
        <f t="shared" si="9"/>
        <v>-2.3786149551019093</v>
      </c>
      <c r="K54" s="7">
        <f t="shared" si="10"/>
        <v>-1.5638844050935712</v>
      </c>
      <c r="L54" s="7">
        <f t="shared" si="11"/>
        <v>1.704988111936423E-3</v>
      </c>
      <c r="M54" s="7">
        <f t="shared" si="12"/>
        <v>9.1735400989197746E-2</v>
      </c>
      <c r="N54" s="7">
        <f t="shared" si="13"/>
        <v>0.90646595099753591</v>
      </c>
      <c r="O54" s="17">
        <v>2.3936274802814103E-3</v>
      </c>
      <c r="P54" s="17">
        <v>8.3053244128702103E-2</v>
      </c>
      <c r="Q54" s="17">
        <v>0.906309636239233</v>
      </c>
      <c r="R54" s="18">
        <f t="shared" si="14"/>
        <v>7.5878506233549445E-5</v>
      </c>
      <c r="S54" s="19">
        <f t="shared" si="16"/>
        <v>-4.5469701385636441E-5</v>
      </c>
      <c r="T54" s="19">
        <f t="shared" si="17"/>
        <v>-1.2547765090964447E-3</v>
      </c>
      <c r="U54" s="19">
        <f t="shared" si="18"/>
        <v>1.2945302469624664E-3</v>
      </c>
      <c r="V54" s="18">
        <f t="shared" si="23"/>
        <v>2.9767095753376643E-10</v>
      </c>
      <c r="W54" s="18">
        <f t="shared" si="24"/>
        <v>1.7663910114514676E-5</v>
      </c>
      <c r="X54" s="18">
        <f t="shared" si="25"/>
        <v>1.7857508908789413E-5</v>
      </c>
      <c r="Y54" s="18">
        <f t="shared" si="22"/>
        <v>8.7721771171309677E-9</v>
      </c>
    </row>
    <row r="55" spans="1:25">
      <c r="A55" s="6">
        <v>53</v>
      </c>
      <c r="B55" s="7">
        <f t="shared" si="1"/>
        <v>-14.671978803190489</v>
      </c>
      <c r="C55" s="7">
        <f t="shared" si="2"/>
        <v>4.2465904890838077E-7</v>
      </c>
      <c r="D55" s="7">
        <f t="shared" si="3"/>
        <v>1.1004534294928547</v>
      </c>
      <c r="E55" s="7">
        <f t="shared" si="4"/>
        <v>2.4703504579140056</v>
      </c>
      <c r="F55" s="7">
        <f t="shared" si="5"/>
        <v>2.4703504579140056</v>
      </c>
      <c r="G55" s="7">
        <f t="shared" si="6"/>
        <v>2.4568130745229464</v>
      </c>
      <c r="H55" s="7">
        <f t="shared" si="7"/>
        <v>0.98541552865027437</v>
      </c>
      <c r="I55" s="7">
        <f t="shared" si="8"/>
        <v>-1.0987839396869825</v>
      </c>
      <c r="J55" s="7">
        <f t="shared" si="9"/>
        <v>-2.3795955751855375</v>
      </c>
      <c r="K55" s="7">
        <f t="shared" si="10"/>
        <v>-1.5628729570171391</v>
      </c>
      <c r="L55" s="7">
        <f t="shared" si="11"/>
        <v>1.6694898058722263E-3</v>
      </c>
      <c r="M55" s="7">
        <f t="shared" si="12"/>
        <v>9.07548827284681E-2</v>
      </c>
      <c r="N55" s="7">
        <f t="shared" si="13"/>
        <v>0.90747750089686652</v>
      </c>
      <c r="O55" s="17">
        <v>2.3043154567460099E-3</v>
      </c>
      <c r="P55" s="17">
        <v>7.8073186837302994E-2</v>
      </c>
      <c r="Q55" s="17">
        <v>0.92630169320256595</v>
      </c>
      <c r="R55" s="18">
        <f t="shared" si="14"/>
        <v>5.1557863024495479E-4</v>
      </c>
      <c r="S55" s="19">
        <f t="shared" si="16"/>
        <v>-3.5498306064196683E-5</v>
      </c>
      <c r="T55" s="19">
        <f t="shared" si="17"/>
        <v>-9.8051826072964587E-4</v>
      </c>
      <c r="U55" s="19">
        <f t="shared" si="18"/>
        <v>1.0115498993306105E-3</v>
      </c>
      <c r="V55" s="18">
        <f t="shared" si="23"/>
        <v>6.3817746077186644E-10</v>
      </c>
      <c r="W55" s="18">
        <f t="shared" si="24"/>
        <v>1.953694471346713E-5</v>
      </c>
      <c r="X55" s="18">
        <f t="shared" si="25"/>
        <v>1.9800635144227651E-5</v>
      </c>
      <c r="Y55" s="18">
        <f t="shared" si="22"/>
        <v>9.6288235031178585E-9</v>
      </c>
    </row>
    <row r="56" spans="1:25">
      <c r="A56" s="6">
        <v>54</v>
      </c>
      <c r="B56" s="7">
        <f t="shared" si="1"/>
        <v>-15.066922215217035</v>
      </c>
      <c r="C56" s="7">
        <f t="shared" si="2"/>
        <v>2.8610055376789015E-7</v>
      </c>
      <c r="D56" s="7">
        <f t="shared" si="3"/>
        <v>1.1004532928163619</v>
      </c>
      <c r="E56" s="7">
        <f t="shared" si="4"/>
        <v>2.4703505265139656</v>
      </c>
      <c r="F56" s="7">
        <f t="shared" si="5"/>
        <v>2.4703505265139656</v>
      </c>
      <c r="G56" s="7">
        <f t="shared" si="6"/>
        <v>2.582513644402562</v>
      </c>
      <c r="H56" s="7">
        <f t="shared" si="7"/>
        <v>0.98863908994493832</v>
      </c>
      <c r="I56" s="7">
        <f t="shared" si="8"/>
        <v>-1.0988114911875544</v>
      </c>
      <c r="J56" s="7">
        <f t="shared" si="9"/>
        <v>-2.3803610439527803</v>
      </c>
      <c r="K56" s="7">
        <f t="shared" si="10"/>
        <v>-1.5620834240215147</v>
      </c>
      <c r="L56" s="7">
        <f t="shared" si="11"/>
        <v>1.6418016288075599E-3</v>
      </c>
      <c r="M56" s="7">
        <f t="shared" si="12"/>
        <v>8.998948256118533E-2</v>
      </c>
      <c r="N56" s="7">
        <f t="shared" si="13"/>
        <v>0.90826710249245091</v>
      </c>
      <c r="O56" s="17">
        <v>3.0385585864702198E-3</v>
      </c>
      <c r="P56" s="17">
        <v>7.1018266657233403E-2</v>
      </c>
      <c r="Q56" s="17">
        <v>0.92736038017037692</v>
      </c>
      <c r="R56" s="18">
        <f t="shared" si="14"/>
        <v>7.2641121535952529E-4</v>
      </c>
      <c r="S56" s="19">
        <f t="shared" si="16"/>
        <v>-2.7688177064666419E-5</v>
      </c>
      <c r="T56" s="19">
        <f t="shared" si="17"/>
        <v>-7.6540016728277038E-4</v>
      </c>
      <c r="U56" s="19">
        <f t="shared" si="18"/>
        <v>7.8960159558438825E-4</v>
      </c>
      <c r="V56" s="18">
        <f t="shared" si="23"/>
        <v>9.9607556154199764E-10</v>
      </c>
      <c r="W56" s="18">
        <f t="shared" si="24"/>
        <v>2.107390217614288E-5</v>
      </c>
      <c r="X56" s="18">
        <f t="shared" si="25"/>
        <v>2.1396910053749816E-5</v>
      </c>
      <c r="Y56" s="18">
        <f t="shared" si="22"/>
        <v>1.0325266304777946E-8</v>
      </c>
    </row>
    <row r="57" spans="1:25">
      <c r="A57" s="6">
        <v>55</v>
      </c>
      <c r="B57" s="7">
        <f t="shared" si="1"/>
        <v>-15.461865627243581</v>
      </c>
      <c r="C57" s="7">
        <f t="shared" si="2"/>
        <v>1.9275115737243323E-7</v>
      </c>
      <c r="D57" s="7">
        <f t="shared" si="3"/>
        <v>1.1004532007349053</v>
      </c>
      <c r="E57" s="7">
        <f t="shared" si="4"/>
        <v>2.4703505727310149</v>
      </c>
      <c r="F57" s="7">
        <f t="shared" si="5"/>
        <v>2.4703505727310149</v>
      </c>
      <c r="G57" s="7">
        <f t="shared" si="6"/>
        <v>2.7082142142821777</v>
      </c>
      <c r="H57" s="7">
        <f t="shared" si="7"/>
        <v>0.99115333205161937</v>
      </c>
      <c r="I57" s="7">
        <f t="shared" si="8"/>
        <v>-1.0988329801981573</v>
      </c>
      <c r="J57" s="7">
        <f t="shared" si="9"/>
        <v>-2.3809580773670778</v>
      </c>
      <c r="K57" s="7">
        <f t="shared" si="10"/>
        <v>-1.5614676215221182</v>
      </c>
      <c r="L57" s="7">
        <f t="shared" si="11"/>
        <v>1.6202205367479294E-3</v>
      </c>
      <c r="M57" s="7">
        <f t="shared" si="12"/>
        <v>8.9392495363937119E-2</v>
      </c>
      <c r="N57" s="7">
        <f t="shared" si="13"/>
        <v>0.90888295120889673</v>
      </c>
      <c r="O57" s="17">
        <v>7.9515125832206497E-3</v>
      </c>
      <c r="P57" s="17">
        <v>6.6968684958737701E-2</v>
      </c>
      <c r="Q57" s="17">
        <v>0.93389441761834491</v>
      </c>
      <c r="R57" s="18">
        <f t="shared" si="14"/>
        <v>1.1684859840170132E-3</v>
      </c>
      <c r="S57" s="19">
        <f t="shared" si="16"/>
        <v>-2.1581092059630436E-5</v>
      </c>
      <c r="T57" s="19">
        <f t="shared" si="17"/>
        <v>-5.9698719724821103E-4</v>
      </c>
      <c r="U57" s="19">
        <f t="shared" si="18"/>
        <v>6.1584871644582151E-4</v>
      </c>
      <c r="V57" s="18">
        <f t="shared" si="23"/>
        <v>1.3323266247577416E-9</v>
      </c>
      <c r="W57" s="18">
        <f t="shared" si="24"/>
        <v>2.2318886525648399E-5</v>
      </c>
      <c r="X57" s="18">
        <f t="shared" si="25"/>
        <v>2.2691003727502143E-5</v>
      </c>
      <c r="Y57" s="18">
        <f t="shared" si="22"/>
        <v>1.0885352023021119E-8</v>
      </c>
    </row>
    <row r="58" spans="1:25">
      <c r="A58" s="6">
        <v>56</v>
      </c>
      <c r="B58" s="7">
        <f t="shared" si="1"/>
        <v>-15.856809039270127</v>
      </c>
      <c r="C58" s="7">
        <f t="shared" si="2"/>
        <v>1.2985996373477832E-7</v>
      </c>
      <c r="D58" s="7">
        <f t="shared" si="3"/>
        <v>1.1004531386979457</v>
      </c>
      <c r="E58" s="7">
        <f t="shared" si="4"/>
        <v>2.4703506038682854</v>
      </c>
      <c r="F58" s="7">
        <f t="shared" si="5"/>
        <v>2.4703506038682854</v>
      </c>
      <c r="G58" s="7">
        <f t="shared" si="6"/>
        <v>2.8339147841617933</v>
      </c>
      <c r="H58" s="7">
        <f t="shared" si="7"/>
        <v>0.99311308323628966</v>
      </c>
      <c r="I58" s="7">
        <f t="shared" si="8"/>
        <v>-1.098849730022637</v>
      </c>
      <c r="J58" s="7">
        <f t="shared" si="9"/>
        <v>-2.3814234410398316</v>
      </c>
      <c r="K58" s="7">
        <f t="shared" si="10"/>
        <v>-1.5609876280980526</v>
      </c>
      <c r="L58" s="7">
        <f t="shared" si="11"/>
        <v>1.6034086753087262E-3</v>
      </c>
      <c r="M58" s="7">
        <f t="shared" si="12"/>
        <v>8.892716282845381E-2</v>
      </c>
      <c r="N58" s="7">
        <f t="shared" si="13"/>
        <v>0.90936297577023284</v>
      </c>
      <c r="O58" s="17">
        <v>-1.1013052498209E-4</v>
      </c>
      <c r="P58" s="17">
        <v>6.18422691296922E-2</v>
      </c>
      <c r="Q58" s="17">
        <v>0.94275156262420401</v>
      </c>
      <c r="R58" s="18">
        <f t="shared" si="14"/>
        <v>1.8513254153693262E-3</v>
      </c>
      <c r="S58" s="19">
        <f t="shared" si="16"/>
        <v>-1.6811861439203213E-5</v>
      </c>
      <c r="T58" s="19">
        <f t="shared" si="17"/>
        <v>-4.6533253548330933E-4</v>
      </c>
      <c r="U58" s="19">
        <f t="shared" si="18"/>
        <v>4.8002456133611204E-4</v>
      </c>
      <c r="V58" s="18">
        <f t="shared" si="23"/>
        <v>1.6296072680913518E-9</v>
      </c>
      <c r="W58" s="18">
        <f t="shared" si="24"/>
        <v>2.3317707285451507E-5</v>
      </c>
      <c r="X58" s="18">
        <f t="shared" si="25"/>
        <v>2.3729850365851332E-5</v>
      </c>
      <c r="Y58" s="18">
        <f t="shared" si="22"/>
        <v>1.1332182873815638E-8</v>
      </c>
    </row>
    <row r="59" spans="1:25">
      <c r="A59" s="6">
        <v>57</v>
      </c>
      <c r="B59" s="7">
        <f t="shared" si="1"/>
        <v>-16.251752451296674</v>
      </c>
      <c r="C59" s="7">
        <f t="shared" si="2"/>
        <v>8.7489019858742052E-8</v>
      </c>
      <c r="D59" s="7">
        <f t="shared" si="3"/>
        <v>1.1004530969025148</v>
      </c>
      <c r="E59" s="7">
        <f t="shared" si="4"/>
        <v>2.4703506248460325</v>
      </c>
      <c r="F59" s="7">
        <f t="shared" si="5"/>
        <v>2.4703506248460325</v>
      </c>
      <c r="G59" s="7">
        <f t="shared" si="6"/>
        <v>2.959615354041409</v>
      </c>
      <c r="H59" s="7">
        <f t="shared" si="7"/>
        <v>0.99463987074768279</v>
      </c>
      <c r="I59" s="7">
        <f t="shared" si="8"/>
        <v>-1.098862779343915</v>
      </c>
      <c r="J59" s="7">
        <f t="shared" si="9"/>
        <v>-2.381785992903239</v>
      </c>
      <c r="K59" s="7">
        <f t="shared" si="10"/>
        <v>-1.5606136786032663</v>
      </c>
      <c r="L59" s="7">
        <f t="shared" si="11"/>
        <v>1.5903175585998408E-3</v>
      </c>
      <c r="M59" s="7">
        <f t="shared" si="12"/>
        <v>8.8564631942793515E-2</v>
      </c>
      <c r="N59" s="7">
        <f t="shared" si="13"/>
        <v>0.90973694624276624</v>
      </c>
      <c r="O59" s="17">
        <v>5.6947636442931599E-3</v>
      </c>
      <c r="P59" s="17">
        <v>6.0470398956274998E-2</v>
      </c>
      <c r="Q59" s="17">
        <v>0.93680268831874902</v>
      </c>
      <c r="R59" s="18">
        <f t="shared" si="14"/>
        <v>1.5386867988947729E-3</v>
      </c>
      <c r="S59" s="19">
        <f t="shared" si="16"/>
        <v>-1.3091116708885409E-5</v>
      </c>
      <c r="T59" s="19">
        <f t="shared" si="17"/>
        <v>-3.625308856602949E-4</v>
      </c>
      <c r="U59" s="19">
        <f t="shared" si="18"/>
        <v>3.7397047253340254E-4</v>
      </c>
      <c r="V59" s="18">
        <f t="shared" si="23"/>
        <v>1.8827861149721112E-9</v>
      </c>
      <c r="W59" s="18">
        <f t="shared" si="24"/>
        <v>2.4113255227436873E-5</v>
      </c>
      <c r="X59" s="18">
        <f t="shared" si="25"/>
        <v>2.4557649815717601E-5</v>
      </c>
      <c r="Y59" s="18">
        <f t="shared" si="22"/>
        <v>1.1686530130807127E-8</v>
      </c>
    </row>
    <row r="60" spans="1:25">
      <c r="A60" s="6">
        <v>58</v>
      </c>
      <c r="B60" s="7">
        <f t="shared" si="1"/>
        <v>-16.646695863323217</v>
      </c>
      <c r="C60" s="7">
        <f t="shared" si="2"/>
        <v>5.8942943382120874E-8</v>
      </c>
      <c r="D60" s="7">
        <f t="shared" si="3"/>
        <v>1.100453068744172</v>
      </c>
      <c r="E60" s="7">
        <f t="shared" si="4"/>
        <v>2.4703506389791228</v>
      </c>
      <c r="F60" s="7">
        <f t="shared" si="5"/>
        <v>2.4703506389791228</v>
      </c>
      <c r="G60" s="7">
        <f t="shared" si="6"/>
        <v>3.0853159239210246</v>
      </c>
      <c r="H60" s="7">
        <f t="shared" si="7"/>
        <v>0.99582888712184936</v>
      </c>
      <c r="I60" s="7">
        <f t="shared" si="8"/>
        <v>-1.0988729417643928</v>
      </c>
      <c r="J60" s="7">
        <f t="shared" si="9"/>
        <v>-2.3820683374330827</v>
      </c>
      <c r="K60" s="7">
        <f t="shared" si="10"/>
        <v>-1.5603224579395563</v>
      </c>
      <c r="L60" s="7">
        <f t="shared" si="11"/>
        <v>1.5801269797792727E-3</v>
      </c>
      <c r="M60" s="7">
        <f t="shared" si="12"/>
        <v>8.8282301546040109E-2</v>
      </c>
      <c r="N60" s="7">
        <f t="shared" si="13"/>
        <v>0.91002818103956651</v>
      </c>
      <c r="O60" s="17">
        <v>-2.2807198247528698E-3</v>
      </c>
      <c r="P60" s="17">
        <v>5.4975808919005206E-2</v>
      </c>
      <c r="Q60" s="17">
        <v>0.94398061818187207</v>
      </c>
      <c r="R60" s="18">
        <f t="shared" si="14"/>
        <v>2.2769965770650068E-3</v>
      </c>
      <c r="S60" s="19">
        <f t="shared" si="16"/>
        <v>-1.0190578820568064E-5</v>
      </c>
      <c r="T60" s="19">
        <f t="shared" si="17"/>
        <v>-2.8233039675340521E-4</v>
      </c>
      <c r="U60" s="19">
        <f t="shared" si="18"/>
        <v>2.9123479680026598E-4</v>
      </c>
      <c r="V60" s="18">
        <f t="shared" si="23"/>
        <v>2.0931344924777175E-9</v>
      </c>
      <c r="W60" s="18">
        <f t="shared" si="24"/>
        <v>2.4743426914397717E-5</v>
      </c>
      <c r="X60" s="18">
        <f t="shared" si="25"/>
        <v>2.5213589137501828E-5</v>
      </c>
      <c r="Y60" s="18">
        <f t="shared" si="22"/>
        <v>1.1966267185063759E-8</v>
      </c>
    </row>
    <row r="61" spans="1:25">
      <c r="A61" s="6">
        <v>59</v>
      </c>
      <c r="B61" s="7">
        <f t="shared" si="1"/>
        <v>-17.041639275349766</v>
      </c>
      <c r="C61" s="7">
        <f t="shared" si="2"/>
        <v>3.9710932272390049E-8</v>
      </c>
      <c r="D61" s="7">
        <f t="shared" si="3"/>
        <v>1.100453049773384</v>
      </c>
      <c r="E61" s="7">
        <f t="shared" si="4"/>
        <v>2.4703506485008426</v>
      </c>
      <c r="F61" s="7">
        <f t="shared" si="5"/>
        <v>2.4703506485008426</v>
      </c>
      <c r="G61" s="7">
        <f t="shared" si="6"/>
        <v>3.2110164938006402</v>
      </c>
      <c r="H61" s="7">
        <f t="shared" si="7"/>
        <v>0.99675457782181232</v>
      </c>
      <c r="I61" s="7">
        <f t="shared" si="8"/>
        <v>-1.0988808535630274</v>
      </c>
      <c r="J61" s="7">
        <f t="shared" si="9"/>
        <v>-2.3822881524929427</v>
      </c>
      <c r="K61" s="7">
        <f t="shared" si="10"/>
        <v>-1.5600957325000329</v>
      </c>
      <c r="L61" s="7">
        <f t="shared" si="11"/>
        <v>1.5721962103565357E-3</v>
      </c>
      <c r="M61" s="7">
        <f t="shared" si="12"/>
        <v>8.8062496007899949E-2</v>
      </c>
      <c r="N61" s="7">
        <f t="shared" si="13"/>
        <v>0.91025491600080977</v>
      </c>
      <c r="O61" s="17">
        <v>-1.0788247514761E-4</v>
      </c>
      <c r="P61" s="17">
        <v>5.3596926243307502E-2</v>
      </c>
      <c r="Q61" s="17">
        <v>0.94100736181572697</v>
      </c>
      <c r="R61" s="18">
        <f t="shared" si="14"/>
        <v>2.1364110871868931E-3</v>
      </c>
      <c r="S61" s="19">
        <f t="shared" si="16"/>
        <v>-7.9307694227370717E-6</v>
      </c>
      <c r="T61" s="19">
        <f t="shared" si="17"/>
        <v>-2.1980553814016091E-4</v>
      </c>
      <c r="U61" s="19">
        <f t="shared" si="18"/>
        <v>2.2673496124325787E-4</v>
      </c>
      <c r="V61" s="18">
        <f t="shared" si="23"/>
        <v>2.2649259917581071E-9</v>
      </c>
      <c r="W61" s="18">
        <f t="shared" si="24"/>
        <v>2.5240511083142E-5</v>
      </c>
      <c r="X61" s="18">
        <f t="shared" si="25"/>
        <v>2.573112998787097E-5</v>
      </c>
      <c r="Y61" s="18">
        <f t="shared" si="22"/>
        <v>1.2186345297724955E-8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C77A9-BD8B-4D19-B69B-E80CA451744B}">
  <dimension ref="A1:AR61"/>
  <sheetViews>
    <sheetView zoomScale="60" zoomScaleNormal="60" workbookViewId="0">
      <selection activeCell="J9" sqref="J9"/>
    </sheetView>
  </sheetViews>
  <sheetFormatPr defaultRowHeight="14.5"/>
  <cols>
    <col min="3" max="3" width="12.1796875" bestFit="1" customWidth="1"/>
    <col min="4" max="4" width="14.26953125" bestFit="1" customWidth="1"/>
    <col min="5" max="5" width="13.36328125" bestFit="1" customWidth="1"/>
    <col min="6" max="6" width="14.26953125" bestFit="1" customWidth="1"/>
    <col min="7" max="7" width="13.7265625" bestFit="1" customWidth="1"/>
    <col min="8" max="8" width="13.7265625" customWidth="1"/>
    <col min="9" max="9" width="14.26953125" bestFit="1" customWidth="1"/>
    <col min="10" max="10" width="13.7265625" bestFit="1" customWidth="1"/>
    <col min="11" max="11" width="14.26953125" bestFit="1" customWidth="1"/>
    <col min="12" max="16" width="14.26953125" customWidth="1"/>
    <col min="17" max="22" width="9" bestFit="1" customWidth="1"/>
    <col min="23" max="23" width="15.7265625" bestFit="1" customWidth="1"/>
    <col min="24" max="26" width="14.6328125" bestFit="1" customWidth="1"/>
    <col min="27" max="29" width="14" bestFit="1" customWidth="1"/>
    <col min="30" max="30" width="15.7265625" bestFit="1" customWidth="1"/>
    <col min="32" max="32" width="9.81640625" bestFit="1" customWidth="1"/>
    <col min="33" max="33" width="9" bestFit="1" customWidth="1"/>
    <col min="34" max="34" width="0" hidden="1" customWidth="1"/>
    <col min="35" max="35" width="10.453125" bestFit="1" customWidth="1"/>
    <col min="36" max="36" width="12" bestFit="1" customWidth="1"/>
  </cols>
  <sheetData>
    <row r="1" spans="1:36">
      <c r="A1" s="5" t="s">
        <v>0</v>
      </c>
      <c r="B1" s="5" t="s">
        <v>5</v>
      </c>
      <c r="C1" s="5" t="s">
        <v>6</v>
      </c>
      <c r="D1" s="5" t="s">
        <v>7</v>
      </c>
      <c r="E1" s="5" t="s">
        <v>8</v>
      </c>
      <c r="F1" s="5" t="s">
        <v>51</v>
      </c>
      <c r="G1" s="5" t="s">
        <v>52</v>
      </c>
      <c r="H1" s="5" t="s">
        <v>53</v>
      </c>
      <c r="I1" s="5" t="s">
        <v>54</v>
      </c>
      <c r="J1" s="5" t="s">
        <v>55</v>
      </c>
      <c r="K1" s="5" t="s">
        <v>56</v>
      </c>
      <c r="L1" s="5" t="s">
        <v>79</v>
      </c>
      <c r="M1" s="5" t="s">
        <v>80</v>
      </c>
      <c r="N1" s="5" t="s">
        <v>76</v>
      </c>
      <c r="O1" s="5" t="s">
        <v>77</v>
      </c>
      <c r="P1" s="5" t="s">
        <v>78</v>
      </c>
      <c r="Q1" s="5" t="s">
        <v>48</v>
      </c>
      <c r="R1" s="5" t="s">
        <v>49</v>
      </c>
      <c r="S1" s="5" t="s">
        <v>50</v>
      </c>
      <c r="T1" s="5" t="s">
        <v>27</v>
      </c>
      <c r="U1" s="5" t="s">
        <v>28</v>
      </c>
      <c r="V1" s="5" t="s">
        <v>29</v>
      </c>
      <c r="W1" s="5" t="s">
        <v>13</v>
      </c>
      <c r="X1" s="5" t="s">
        <v>57</v>
      </c>
      <c r="Y1" s="5" t="s">
        <v>58</v>
      </c>
      <c r="Z1" s="5" t="s">
        <v>59</v>
      </c>
      <c r="AA1" s="5" t="s">
        <v>37</v>
      </c>
      <c r="AB1" s="5" t="s">
        <v>38</v>
      </c>
      <c r="AC1" s="5" t="s">
        <v>39</v>
      </c>
      <c r="AD1" s="5" t="s">
        <v>40</v>
      </c>
      <c r="AF1" s="15" t="s">
        <v>14</v>
      </c>
      <c r="AG1" s="15" t="s">
        <v>15</v>
      </c>
      <c r="AI1" s="15" t="s">
        <v>13</v>
      </c>
      <c r="AJ1" s="22">
        <f>AVERAGE(W2:W61)</f>
        <v>2.6655547649574382E-3</v>
      </c>
    </row>
    <row r="2" spans="1:36">
      <c r="A2" s="6">
        <v>0</v>
      </c>
      <c r="B2" s="7">
        <f>$AG$2*A2+$AG$3</f>
        <v>-9.2993754364982397</v>
      </c>
      <c r="C2" s="7">
        <f>1/(1+EXP(-B2))</f>
        <v>9.1472981479613044E-5</v>
      </c>
      <c r="D2" s="7">
        <f>$AG$4*C2+$AG$5</f>
        <v>-4.7912354640970198</v>
      </c>
      <c r="E2" s="7">
        <f>$AG$6*C2+$AG$7</f>
        <v>-2.298821615256466</v>
      </c>
      <c r="F2" s="7">
        <f>$AG$6*C2+$AG$7</f>
        <v>-2.298821615256466</v>
      </c>
      <c r="G2" s="7">
        <f>$AG$10*A2+$AG$11</f>
        <v>1.7018716966564671</v>
      </c>
      <c r="H2" s="7">
        <f>TANH(G2)</f>
        <v>0.93564264195004787</v>
      </c>
      <c r="I2" s="7">
        <f>$AG$12*H2+$AG$13</f>
        <v>6.1619040566537215</v>
      </c>
      <c r="J2" s="7">
        <f>$AG$14*H2+$AG$15</f>
        <v>-5.1253158412366702</v>
      </c>
      <c r="K2" s="7">
        <f>$AG$16*H2+$AG$17</f>
        <v>5.8607232611708886</v>
      </c>
      <c r="L2" s="7">
        <f>$AG$18*A2+$AG$19</f>
        <v>1.6548382702559052</v>
      </c>
      <c r="M2" s="7">
        <f>TANH(L2)</f>
        <v>0.92951857042099839</v>
      </c>
      <c r="N2" s="7">
        <f>$AG$20*M2+$AG$21</f>
        <v>-0.31531484725990566</v>
      </c>
      <c r="O2" s="7">
        <f>$AG$22*M2+$AG$23</f>
        <v>7.4290103701434571</v>
      </c>
      <c r="P2" s="7">
        <f>$AG$24*M2+$AG$25</f>
        <v>-3.6191285472072767</v>
      </c>
      <c r="Q2" s="7">
        <f>SUM(D2,I2,N2)</f>
        <v>1.055353745296796</v>
      </c>
      <c r="R2" s="7">
        <f>SUM(E2,J2,O2)</f>
        <v>4.8729136503204984E-3</v>
      </c>
      <c r="S2" s="7">
        <f>SUM(F2,K2,P2)</f>
        <v>-5.7226901292854127E-2</v>
      </c>
      <c r="T2" s="17">
        <v>0.99916902781949102</v>
      </c>
      <c r="U2" s="17">
        <v>-5.1644142064485399E-4</v>
      </c>
      <c r="V2" s="17">
        <v>1.29646532345248E-3</v>
      </c>
      <c r="W2" s="18">
        <f>SUM((Q2-T2)^2, (R2-U2)^2, (S2-V2)^2)</f>
        <v>6.6107520661921552E-3</v>
      </c>
      <c r="X2" s="19"/>
      <c r="Y2" s="19"/>
      <c r="Z2" s="19"/>
      <c r="AA2" s="18"/>
      <c r="AB2" s="18"/>
      <c r="AC2" s="18"/>
      <c r="AD2" s="18">
        <f>(1 - SUM(Q2:S2))^2</f>
        <v>8.9985459843059393E-6</v>
      </c>
      <c r="AF2" s="22" t="s">
        <v>16</v>
      </c>
      <c r="AG2" s="22">
        <v>-7.114190235101125</v>
      </c>
      <c r="AH2">
        <v>-7.114190235101125</v>
      </c>
      <c r="AI2" s="15" t="s">
        <v>60</v>
      </c>
      <c r="AJ2" s="22">
        <f>AVERAGE(AA3:AD61)</f>
        <v>4.0133571343317177E-5</v>
      </c>
    </row>
    <row r="3" spans="1:36">
      <c r="A3" s="6">
        <v>1</v>
      </c>
      <c r="B3" s="7">
        <f t="shared" ref="B3:B61" si="0">$AG$2*A3+$AG$3</f>
        <v>-16.413565671599365</v>
      </c>
      <c r="C3" s="7">
        <f t="shared" ref="C3:C61" si="1">1/(1+EXP(-B3))</f>
        <v>7.4418166909910405E-8</v>
      </c>
      <c r="D3" s="7">
        <f t="shared" ref="D3:D61" si="2">$AG$4*C3+$AG$5</f>
        <v>-4.7908521197697675</v>
      </c>
      <c r="E3" s="7">
        <f t="shared" ref="E3:E61" si="3">$AG$6*C3+$AG$7</f>
        <v>-2.299597435519392</v>
      </c>
      <c r="F3" s="7">
        <f t="shared" ref="F3:F61" si="4">$AG$6*C3+$AG$7</f>
        <v>-2.299597435519392</v>
      </c>
      <c r="G3" s="7">
        <f t="shared" ref="G3:G61" si="5">$AG$10*A3+$AG$11</f>
        <v>1.6023898727308035</v>
      </c>
      <c r="H3" s="7">
        <f t="shared" ref="H3:H61" si="6">TANH(G3)</f>
        <v>0.922027503629957</v>
      </c>
      <c r="I3" s="7">
        <f t="shared" ref="I3:I61" si="7">$AG$12*H3+$AG$13</f>
        <v>6.1111804598325925</v>
      </c>
      <c r="J3" s="7">
        <f t="shared" ref="J3:J61" si="8">$AG$14*H3+$AG$15</f>
        <v>-4.9935104286509766</v>
      </c>
      <c r="K3" s="7">
        <f t="shared" ref="K3:K61" si="9">$AG$16*H3+$AG$17</f>
        <v>5.7776978862090393</v>
      </c>
      <c r="L3" s="7">
        <f t="shared" ref="L3:L61" si="10">$AG$18*A3+$AG$19</f>
        <v>1.5603362720478913</v>
      </c>
      <c r="M3" s="7">
        <f t="shared" ref="M3:M61" si="11">TANH(L3)</f>
        <v>0.91547491743274234</v>
      </c>
      <c r="N3" s="7">
        <f t="shared" ref="N3:N61" si="12">$AG$20*M3+$AG$21</f>
        <v>-0.27042466096351792</v>
      </c>
      <c r="O3" s="7">
        <f t="shared" ref="O3:O61" si="13">$AG$22*M3+$AG$23</f>
        <v>7.2932747941367264</v>
      </c>
      <c r="P3" s="7">
        <f t="shared" ref="P3:P61" si="14">$AG$24*M3+$AG$25</f>
        <v>-3.5262678544739581</v>
      </c>
      <c r="Q3" s="7">
        <f t="shared" ref="Q3:Q61" si="15">SUM(D3,I3,N3)</f>
        <v>1.049903679099307</v>
      </c>
      <c r="R3" s="7">
        <f t="shared" ref="R3:R61" si="16">SUM(E3,J3,O3)</f>
        <v>1.6692996635825352E-4</v>
      </c>
      <c r="S3" s="7">
        <f t="shared" ref="S3:S61" si="17">SUM(F3,K3,P3)</f>
        <v>-4.8167403784310725E-2</v>
      </c>
      <c r="T3" s="17">
        <v>0.98960193539692398</v>
      </c>
      <c r="U3" s="17">
        <v>2.1639113228485896E-3</v>
      </c>
      <c r="V3" s="17">
        <v>2.6945909567850398E-3</v>
      </c>
      <c r="W3" s="18">
        <f t="shared" ref="W3:W61" si="18">SUM((Q3-T3)^2, (R3-U3)^2, (S3-V3)^2)</f>
        <v>6.2272307371293179E-3</v>
      </c>
      <c r="X3" s="19">
        <f>Q3-Q2</f>
        <v>-5.4500661974890008E-3</v>
      </c>
      <c r="Y3" s="19">
        <f t="shared" ref="Y3:Z18" si="19">R3-R2</f>
        <v>-4.7059836839622449E-3</v>
      </c>
      <c r="Z3" s="19">
        <f t="shared" si="19"/>
        <v>9.0594975085434015E-3</v>
      </c>
      <c r="AA3" s="18">
        <f t="shared" ref="AA3:AA34" si="20">(X3+$AG$27*Q3*R3)^2</f>
        <v>2.8871027223066773E-5</v>
      </c>
      <c r="AB3" s="18">
        <f t="shared" ref="AB3:AB34" si="21">(Y3-$AG$27*Q3*R3+$AG$26*R3)^2</f>
        <v>2.2769505048733E-5</v>
      </c>
      <c r="AC3" s="18">
        <f t="shared" ref="AC3:AC34" si="22">(Z3-$AG$26*R3)^2</f>
        <v>8.1872900532066971E-5</v>
      </c>
      <c r="AD3" s="18">
        <f>(1 - SUM(Q3:S3))^2</f>
        <v>3.6221903429759269E-6</v>
      </c>
      <c r="AF3" s="22" t="s">
        <v>17</v>
      </c>
      <c r="AG3" s="22">
        <v>-9.2993754364982397</v>
      </c>
      <c r="AH3">
        <v>-9.2993754364982397</v>
      </c>
      <c r="AI3" s="15" t="s">
        <v>61</v>
      </c>
      <c r="AJ3" s="22">
        <f>SUM(AJ1:AJ2)</f>
        <v>2.7056883363007554E-3</v>
      </c>
    </row>
    <row r="4" spans="1:36">
      <c r="A4" s="6">
        <v>2</v>
      </c>
      <c r="B4" s="7">
        <f t="shared" si="0"/>
        <v>-23.527755906700492</v>
      </c>
      <c r="C4" s="7">
        <f t="shared" si="1"/>
        <v>6.0537633269709996E-11</v>
      </c>
      <c r="D4" s="7">
        <f t="shared" si="2"/>
        <v>-4.7908518078986138</v>
      </c>
      <c r="E4" s="7">
        <f t="shared" si="3"/>
        <v>-2.2995980666907521</v>
      </c>
      <c r="F4" s="7">
        <f t="shared" si="4"/>
        <v>-2.2995980666907521</v>
      </c>
      <c r="G4" s="7">
        <f t="shared" si="5"/>
        <v>1.5029080488051398</v>
      </c>
      <c r="H4" s="7">
        <f t="shared" si="6"/>
        <v>0.90567237628917041</v>
      </c>
      <c r="I4" s="7">
        <f t="shared" si="7"/>
        <v>6.050248953615859</v>
      </c>
      <c r="J4" s="7">
        <f t="shared" si="8"/>
        <v>-4.8351797340694223</v>
      </c>
      <c r="K4" s="7">
        <f t="shared" si="9"/>
        <v>5.6779640055760483</v>
      </c>
      <c r="L4" s="7">
        <f t="shared" si="10"/>
        <v>1.4658342738398773</v>
      </c>
      <c r="M4" s="7">
        <f t="shared" si="11"/>
        <v>0.89877981355311276</v>
      </c>
      <c r="N4" s="7">
        <f t="shared" si="12"/>
        <v>-0.21705917806381647</v>
      </c>
      <c r="O4" s="7">
        <f t="shared" si="13"/>
        <v>7.1319122523900216</v>
      </c>
      <c r="P4" s="7">
        <f t="shared" si="14"/>
        <v>-3.4158750020719832</v>
      </c>
      <c r="Q4" s="7">
        <f t="shared" si="15"/>
        <v>1.0423379676534288</v>
      </c>
      <c r="R4" s="7">
        <f t="shared" si="16"/>
        <v>-2.8655483701527373E-3</v>
      </c>
      <c r="S4" s="7">
        <f t="shared" si="17"/>
        <v>-3.7509063186687008E-2</v>
      </c>
      <c r="T4" s="17">
        <v>1.0027006748148801</v>
      </c>
      <c r="U4" s="17">
        <v>3.31005964809079E-3</v>
      </c>
      <c r="V4" s="17">
        <v>-4.7185297244242705E-3</v>
      </c>
      <c r="W4" s="18">
        <f t="shared" si="18"/>
        <v>2.6844722027036276E-3</v>
      </c>
      <c r="X4" s="19">
        <f t="shared" ref="X4:Z61" si="23">Q4-Q3</f>
        <v>-7.5657114458782537E-3</v>
      </c>
      <c r="Y4" s="19">
        <f t="shared" si="19"/>
        <v>-3.0324783365109909E-3</v>
      </c>
      <c r="Z4" s="19">
        <f t="shared" si="19"/>
        <v>1.0658340597623717E-2</v>
      </c>
      <c r="AA4" s="18">
        <f t="shared" si="20"/>
        <v>7.8785140416701973E-5</v>
      </c>
      <c r="AB4" s="18">
        <f t="shared" si="21"/>
        <v>3.6603385792486789E-6</v>
      </c>
      <c r="AC4" s="18">
        <f t="shared" si="22"/>
        <v>1.1771059440648505E-4</v>
      </c>
      <c r="AD4" s="18">
        <f t="shared" ref="AD4:AD61" si="24">(1 - SUM(Q4:S4))^2</f>
        <v>3.8547671620133586E-6</v>
      </c>
      <c r="AF4" s="22" t="s">
        <v>18</v>
      </c>
      <c r="AG4" s="22">
        <v>-4.194205175203602</v>
      </c>
      <c r="AH4">
        <v>-4.194205175203602</v>
      </c>
    </row>
    <row r="5" spans="1:36">
      <c r="A5" s="6">
        <v>3</v>
      </c>
      <c r="B5" s="7">
        <f t="shared" si="0"/>
        <v>-30.641946141801611</v>
      </c>
      <c r="C5" s="7">
        <f t="shared" si="1"/>
        <v>4.924610376455456E-14</v>
      </c>
      <c r="D5" s="7">
        <f t="shared" si="2"/>
        <v>-4.7908518076449136</v>
      </c>
      <c r="E5" s="7">
        <f t="shared" si="3"/>
        <v>-2.2995980672041969</v>
      </c>
      <c r="F5" s="7">
        <f t="shared" si="4"/>
        <v>-2.2995980672041969</v>
      </c>
      <c r="G5" s="7">
        <f t="shared" si="5"/>
        <v>1.4034262248794764</v>
      </c>
      <c r="H5" s="7">
        <f t="shared" si="6"/>
        <v>0.88608999254205056</v>
      </c>
      <c r="I5" s="7">
        <f t="shared" si="7"/>
        <v>5.9772942090783143</v>
      </c>
      <c r="J5" s="7">
        <f t="shared" si="8"/>
        <v>-4.645606620045907</v>
      </c>
      <c r="K5" s="7">
        <f t="shared" si="9"/>
        <v>5.5585502533960707</v>
      </c>
      <c r="L5" s="7">
        <f t="shared" si="10"/>
        <v>1.3713322756318633</v>
      </c>
      <c r="M5" s="7">
        <f t="shared" si="11"/>
        <v>0.87899546381817528</v>
      </c>
      <c r="N5" s="7">
        <f t="shared" si="12"/>
        <v>-0.15381899788442022</v>
      </c>
      <c r="O5" s="7">
        <f t="shared" si="13"/>
        <v>6.9406913421727143</v>
      </c>
      <c r="P5" s="7">
        <f t="shared" si="14"/>
        <v>-3.2850551631596376</v>
      </c>
      <c r="Q5" s="7">
        <f t="shared" si="15"/>
        <v>1.0326234035489805</v>
      </c>
      <c r="R5" s="7">
        <f t="shared" si="16"/>
        <v>-4.5133450773899852E-3</v>
      </c>
      <c r="S5" s="7">
        <f t="shared" si="17"/>
        <v>-2.6102976967763869E-2</v>
      </c>
      <c r="T5" s="17">
        <v>0.99110329365628103</v>
      </c>
      <c r="U5" s="17">
        <v>1.5165637719900501E-3</v>
      </c>
      <c r="V5" s="17">
        <v>2.4789689316632598E-3</v>
      </c>
      <c r="W5" s="18">
        <f t="shared" si="18"/>
        <v>2.5772069576314536E-3</v>
      </c>
      <c r="X5" s="19">
        <f t="shared" si="23"/>
        <v>-9.7145641044482645E-3</v>
      </c>
      <c r="Y5" s="19">
        <f t="shared" si="19"/>
        <v>-1.6477967072372479E-3</v>
      </c>
      <c r="Z5" s="19">
        <f t="shared" si="19"/>
        <v>1.1406086218923139E-2</v>
      </c>
      <c r="AA5" s="18">
        <f t="shared" si="20"/>
        <v>1.3827968270624868E-4</v>
      </c>
      <c r="AB5" s="18">
        <f t="shared" si="21"/>
        <v>9.1912212197980075E-9</v>
      </c>
      <c r="AC5" s="18">
        <f t="shared" si="22"/>
        <v>1.3705602032633354E-4</v>
      </c>
      <c r="AD5" s="18">
        <f t="shared" si="24"/>
        <v>4.0283761630031216E-6</v>
      </c>
      <c r="AF5" s="22" t="s">
        <v>19</v>
      </c>
      <c r="AG5" s="22">
        <v>-4.7908518076447066</v>
      </c>
      <c r="AH5">
        <v>-4.7908518076447066</v>
      </c>
    </row>
    <row r="6" spans="1:36">
      <c r="A6" s="6">
        <v>4</v>
      </c>
      <c r="B6" s="7">
        <f t="shared" si="0"/>
        <v>-37.756136376902738</v>
      </c>
      <c r="C6" s="7">
        <f t="shared" si="1"/>
        <v>4.0060679693867709E-17</v>
      </c>
      <c r="D6" s="7">
        <f t="shared" si="2"/>
        <v>-4.7908518076447066</v>
      </c>
      <c r="E6" s="7">
        <f t="shared" si="3"/>
        <v>-2.2995980672046143</v>
      </c>
      <c r="F6" s="7">
        <f t="shared" si="4"/>
        <v>-2.2995980672046143</v>
      </c>
      <c r="G6" s="7">
        <f t="shared" si="5"/>
        <v>1.3039444009538128</v>
      </c>
      <c r="H6" s="7">
        <f t="shared" si="6"/>
        <v>0.8627351341279017</v>
      </c>
      <c r="I6" s="7">
        <f t="shared" si="7"/>
        <v>5.8902849996113957</v>
      </c>
      <c r="J6" s="7">
        <f t="shared" si="8"/>
        <v>-4.4195129383816596</v>
      </c>
      <c r="K6" s="7">
        <f t="shared" si="9"/>
        <v>5.4161318782441779</v>
      </c>
      <c r="L6" s="7">
        <f t="shared" si="10"/>
        <v>1.2768302774238496</v>
      </c>
      <c r="M6" s="7">
        <f t="shared" si="11"/>
        <v>0.85563809879012187</v>
      </c>
      <c r="N6" s="7">
        <f t="shared" si="12"/>
        <v>-7.9157763490572464E-2</v>
      </c>
      <c r="O6" s="7">
        <f t="shared" si="13"/>
        <v>6.7149363054501805</v>
      </c>
      <c r="P6" s="7">
        <f t="shared" si="14"/>
        <v>-3.1306095143855028</v>
      </c>
      <c r="Q6" s="7">
        <f t="shared" si="15"/>
        <v>1.0202754284761166</v>
      </c>
      <c r="R6" s="7">
        <f t="shared" si="16"/>
        <v>-4.1747001360938896E-3</v>
      </c>
      <c r="S6" s="7">
        <f t="shared" si="17"/>
        <v>-1.4075703345939328E-2</v>
      </c>
      <c r="T6" s="17">
        <v>0.99855053119660397</v>
      </c>
      <c r="U6" s="17">
        <v>2.0051112150917699E-3</v>
      </c>
      <c r="V6" s="17">
        <v>3.86363487767975E-3</v>
      </c>
      <c r="W6" s="18">
        <f t="shared" si="18"/>
        <v>8.3198108604302001E-4</v>
      </c>
      <c r="X6" s="19">
        <f t="shared" si="23"/>
        <v>-1.2347975072863893E-2</v>
      </c>
      <c r="Y6" s="19">
        <f t="shared" si="19"/>
        <v>3.3864494129609568E-4</v>
      </c>
      <c r="Z6" s="19">
        <f t="shared" si="19"/>
        <v>1.2027273621824541E-2</v>
      </c>
      <c r="AA6" s="18">
        <f t="shared" si="20"/>
        <v>2.0211222498305379E-4</v>
      </c>
      <c r="AB6" s="18">
        <f t="shared" si="21"/>
        <v>3.7205254520660988E-6</v>
      </c>
      <c r="AC6" s="18">
        <f t="shared" si="22"/>
        <v>1.5143013047263333E-4</v>
      </c>
      <c r="AD6" s="18">
        <f t="shared" si="24"/>
        <v>4.1007262266625268E-6</v>
      </c>
      <c r="AF6" s="22" t="s">
        <v>20</v>
      </c>
      <c r="AG6" s="22">
        <v>8.4883201092733476</v>
      </c>
      <c r="AH6">
        <v>8.4883201092733476</v>
      </c>
    </row>
    <row r="7" spans="1:36">
      <c r="A7" s="6">
        <v>5</v>
      </c>
      <c r="B7" s="7">
        <f t="shared" si="0"/>
        <v>-44.870326612003865</v>
      </c>
      <c r="C7" s="7">
        <f t="shared" si="1"/>
        <v>3.2588528530244874E-20</v>
      </c>
      <c r="D7" s="7">
        <f t="shared" si="2"/>
        <v>-4.7908518076447066</v>
      </c>
      <c r="E7" s="7">
        <f t="shared" si="3"/>
        <v>-2.2995980672046148</v>
      </c>
      <c r="F7" s="7">
        <f t="shared" si="4"/>
        <v>-2.2995980672046148</v>
      </c>
      <c r="G7" s="7">
        <f t="shared" si="5"/>
        <v>1.2044625770281492</v>
      </c>
      <c r="H7" s="7">
        <f t="shared" si="6"/>
        <v>0.83501072813142385</v>
      </c>
      <c r="I7" s="7">
        <f t="shared" si="7"/>
        <v>5.7869969125711407</v>
      </c>
      <c r="J7" s="7">
        <f t="shared" si="8"/>
        <v>-4.1511185464079272</v>
      </c>
      <c r="K7" s="7">
        <f t="shared" si="9"/>
        <v>5.2470679180157695</v>
      </c>
      <c r="L7" s="7">
        <f t="shared" si="10"/>
        <v>1.1823282792158354</v>
      </c>
      <c r="M7" s="7">
        <f t="shared" si="11"/>
        <v>0.82818435993817485</v>
      </c>
      <c r="N7" s="7">
        <f t="shared" si="12"/>
        <v>8.5974276001552496E-3</v>
      </c>
      <c r="O7" s="7">
        <f t="shared" si="13"/>
        <v>6.4495887452588541</v>
      </c>
      <c r="P7" s="7">
        <f t="shared" si="14"/>
        <v>-2.9490774578726198</v>
      </c>
      <c r="Q7" s="7">
        <f t="shared" si="15"/>
        <v>1.0047425325265893</v>
      </c>
      <c r="R7" s="7">
        <f t="shared" si="16"/>
        <v>-1.1278683536879441E-3</v>
      </c>
      <c r="S7" s="7">
        <f t="shared" si="17"/>
        <v>-1.6076070614650106E-3</v>
      </c>
      <c r="T7" s="17">
        <v>0.99334815329542803</v>
      </c>
      <c r="U7" s="17">
        <v>5.7859344004262394E-3</v>
      </c>
      <c r="V7" s="17">
        <v>-4.6798608314981898E-3</v>
      </c>
      <c r="W7" s="18">
        <f t="shared" si="18"/>
        <v>1.8707128981379918E-4</v>
      </c>
      <c r="X7" s="19">
        <f t="shared" si="23"/>
        <v>-1.5532895949527337E-2</v>
      </c>
      <c r="Y7" s="19">
        <f t="shared" si="19"/>
        <v>3.0468317824059454E-3</v>
      </c>
      <c r="Z7" s="19">
        <f t="shared" si="19"/>
        <v>1.2468096284474317E-2</v>
      </c>
      <c r="AA7" s="18">
        <f t="shared" si="20"/>
        <v>2.5696271603251508E-4</v>
      </c>
      <c r="AB7" s="18">
        <f t="shared" si="21"/>
        <v>1.2032379568433316E-5</v>
      </c>
      <c r="AC7" s="18">
        <f t="shared" si="22"/>
        <v>1.5733479401764278E-4</v>
      </c>
      <c r="AD7" s="18">
        <f t="shared" si="24"/>
        <v>4.0282782485671808E-6</v>
      </c>
      <c r="AF7" s="22" t="s">
        <v>21</v>
      </c>
      <c r="AG7" s="22">
        <v>-2.2995980672046148</v>
      </c>
      <c r="AH7">
        <v>-2.2995980672046148</v>
      </c>
    </row>
    <row r="8" spans="1:36">
      <c r="A8" s="6">
        <v>6</v>
      </c>
      <c r="B8" s="7">
        <f t="shared" si="0"/>
        <v>-51.984516847104985</v>
      </c>
      <c r="C8" s="7">
        <f t="shared" si="1"/>
        <v>2.6510089191750763E-23</v>
      </c>
      <c r="D8" s="7">
        <f t="shared" si="2"/>
        <v>-4.7908518076447066</v>
      </c>
      <c r="E8" s="7">
        <f t="shared" si="3"/>
        <v>-2.2995980672046148</v>
      </c>
      <c r="F8" s="7">
        <f t="shared" si="4"/>
        <v>-2.2995980672046148</v>
      </c>
      <c r="G8" s="7">
        <f t="shared" si="5"/>
        <v>1.1049807531024856</v>
      </c>
      <c r="H8" s="7">
        <f t="shared" si="6"/>
        <v>0.8022809952099309</v>
      </c>
      <c r="I8" s="7">
        <f t="shared" si="7"/>
        <v>5.665061333384017</v>
      </c>
      <c r="J8" s="7">
        <f t="shared" si="8"/>
        <v>-3.8342685923262172</v>
      </c>
      <c r="K8" s="7">
        <f t="shared" si="9"/>
        <v>5.0474813780686674</v>
      </c>
      <c r="L8" s="7">
        <f t="shared" si="10"/>
        <v>1.0878262810078216</v>
      </c>
      <c r="M8" s="7">
        <f t="shared" si="11"/>
        <v>0.79608339348616886</v>
      </c>
      <c r="N8" s="7">
        <f t="shared" si="12"/>
        <v>0.11120736573588719</v>
      </c>
      <c r="O8" s="7">
        <f t="shared" si="13"/>
        <v>6.1393245159034677</v>
      </c>
      <c r="P8" s="7">
        <f t="shared" si="14"/>
        <v>-2.7368165892343059</v>
      </c>
      <c r="Q8" s="7">
        <f t="shared" si="15"/>
        <v>0.98541689147519751</v>
      </c>
      <c r="R8" s="7">
        <f t="shared" si="16"/>
        <v>5.4578563726357388E-3</v>
      </c>
      <c r="S8" s="7">
        <f t="shared" si="17"/>
        <v>1.1066721629746645E-2</v>
      </c>
      <c r="T8" s="17">
        <v>0.98283073740154103</v>
      </c>
      <c r="U8" s="17">
        <v>1.2651330839959601E-2</v>
      </c>
      <c r="V8" s="17">
        <v>3.0346095032803499E-3</v>
      </c>
      <c r="W8" s="18">
        <f t="shared" si="18"/>
        <v>1.229490930168572E-4</v>
      </c>
      <c r="X8" s="19">
        <f t="shared" si="23"/>
        <v>-1.9325641051391784E-2</v>
      </c>
      <c r="Y8" s="19">
        <f t="shared" si="19"/>
        <v>6.5857247263236829E-3</v>
      </c>
      <c r="Z8" s="19">
        <f t="shared" si="19"/>
        <v>1.2674328691211656E-2</v>
      </c>
      <c r="AA8" s="18">
        <f t="shared" si="20"/>
        <v>2.8784888918076244E-4</v>
      </c>
      <c r="AB8" s="18">
        <f t="shared" si="21"/>
        <v>2.1069863358403535E-5</v>
      </c>
      <c r="AC8" s="18">
        <f t="shared" si="22"/>
        <v>1.5154423215189955E-4</v>
      </c>
      <c r="AD8" s="18">
        <f t="shared" si="24"/>
        <v>3.7693037323743446E-6</v>
      </c>
      <c r="AF8" s="22" t="s">
        <v>22</v>
      </c>
      <c r="AG8" s="22">
        <v>-2.6430284756436144</v>
      </c>
      <c r="AH8">
        <v>-2.6430284756436144</v>
      </c>
    </row>
    <row r="9" spans="1:36">
      <c r="A9" s="6">
        <v>7</v>
      </c>
      <c r="B9" s="7">
        <f t="shared" si="0"/>
        <v>-59.098707082206111</v>
      </c>
      <c r="C9" s="7">
        <f t="shared" si="1"/>
        <v>2.1565405394181347E-26</v>
      </c>
      <c r="D9" s="7">
        <f t="shared" si="2"/>
        <v>-4.7908518076447066</v>
      </c>
      <c r="E9" s="7">
        <f t="shared" si="3"/>
        <v>-2.2995980672046148</v>
      </c>
      <c r="F9" s="7">
        <f t="shared" si="4"/>
        <v>-2.2995980672046148</v>
      </c>
      <c r="G9" s="7">
        <f t="shared" si="5"/>
        <v>1.0054989291768219</v>
      </c>
      <c r="H9" s="7">
        <f t="shared" si="6"/>
        <v>0.76389391067314905</v>
      </c>
      <c r="I9" s="7">
        <f t="shared" si="7"/>
        <v>5.5220491249579666</v>
      </c>
      <c r="J9" s="7">
        <f t="shared" si="8"/>
        <v>-3.4626509563991332</v>
      </c>
      <c r="K9" s="7">
        <f t="shared" si="9"/>
        <v>4.8133961993191017</v>
      </c>
      <c r="L9" s="7">
        <f t="shared" si="10"/>
        <v>0.99332428279980767</v>
      </c>
      <c r="M9" s="7">
        <f t="shared" si="11"/>
        <v>0.75877624107320718</v>
      </c>
      <c r="N9" s="7">
        <f t="shared" si="12"/>
        <v>0.23045874736757943</v>
      </c>
      <c r="O9" s="7">
        <f t="shared" si="13"/>
        <v>5.7787411387594387</v>
      </c>
      <c r="P9" s="7">
        <f t="shared" si="14"/>
        <v>-2.4901309142270858</v>
      </c>
      <c r="Q9" s="7">
        <f t="shared" si="15"/>
        <v>0.96165606468083942</v>
      </c>
      <c r="R9" s="7">
        <f t="shared" si="16"/>
        <v>1.6492115155690712E-2</v>
      </c>
      <c r="S9" s="7">
        <f t="shared" si="17"/>
        <v>2.3667217887401115E-2</v>
      </c>
      <c r="T9" s="17">
        <v>0.97539398785926001</v>
      </c>
      <c r="U9" s="17">
        <v>2.03539996715329E-2</v>
      </c>
      <c r="V9" s="17">
        <v>7.4668309922445502E-3</v>
      </c>
      <c r="W9" s="18">
        <f t="shared" si="18"/>
        <v>4.660972208226481E-4</v>
      </c>
      <c r="X9" s="19">
        <f t="shared" si="23"/>
        <v>-2.3760826794358092E-2</v>
      </c>
      <c r="Y9" s="19">
        <f t="shared" si="19"/>
        <v>1.1034258783054973E-2</v>
      </c>
      <c r="Z9" s="19">
        <f t="shared" si="19"/>
        <v>1.260049625765447E-2</v>
      </c>
      <c r="AA9" s="18">
        <f t="shared" si="20"/>
        <v>2.8233752022269502E-4</v>
      </c>
      <c r="AB9" s="18">
        <f t="shared" si="21"/>
        <v>2.6793413232226611E-5</v>
      </c>
      <c r="AC9" s="18">
        <f t="shared" si="22"/>
        <v>1.3226368426697769E-4</v>
      </c>
      <c r="AD9" s="18">
        <f t="shared" si="24"/>
        <v>3.2956688960547436E-6</v>
      </c>
      <c r="AF9" s="22" t="s">
        <v>23</v>
      </c>
      <c r="AG9" s="22">
        <v>1.1276780865749707</v>
      </c>
      <c r="AH9">
        <v>1.1276780865749707</v>
      </c>
    </row>
    <row r="10" spans="1:36">
      <c r="A10" s="6">
        <v>8</v>
      </c>
      <c r="B10" s="7">
        <f t="shared" si="0"/>
        <v>-66.212897317307238</v>
      </c>
      <c r="C10" s="7">
        <f t="shared" si="1"/>
        <v>1.7543008114816245E-29</v>
      </c>
      <c r="D10" s="7">
        <f t="shared" si="2"/>
        <v>-4.7908518076447066</v>
      </c>
      <c r="E10" s="7">
        <f t="shared" si="3"/>
        <v>-2.2995980672046148</v>
      </c>
      <c r="F10" s="7">
        <f t="shared" si="4"/>
        <v>-2.2995980672046148</v>
      </c>
      <c r="G10" s="7">
        <f t="shared" si="5"/>
        <v>0.90601710525115831</v>
      </c>
      <c r="H10" s="7">
        <f t="shared" si="6"/>
        <v>0.71921509465004962</v>
      </c>
      <c r="I10" s="7">
        <f t="shared" si="7"/>
        <v>5.355596886492128</v>
      </c>
      <c r="J10" s="7">
        <f t="shared" si="8"/>
        <v>-3.030124334831501</v>
      </c>
      <c r="K10" s="7">
        <f t="shared" si="9"/>
        <v>4.5409439211299398</v>
      </c>
      <c r="L10" s="7">
        <f t="shared" si="10"/>
        <v>0.8988222845917937</v>
      </c>
      <c r="M10" s="7">
        <f t="shared" si="11"/>
        <v>0.71572393621776931</v>
      </c>
      <c r="N10" s="7">
        <f t="shared" si="12"/>
        <v>0.3680743654026899</v>
      </c>
      <c r="O10" s="7">
        <f t="shared" si="13"/>
        <v>5.3626293619406171</v>
      </c>
      <c r="P10" s="7">
        <f t="shared" si="14"/>
        <v>-2.2054566306923702</v>
      </c>
      <c r="Q10" s="7">
        <f t="shared" si="15"/>
        <v>0.93281944425011121</v>
      </c>
      <c r="R10" s="7">
        <f t="shared" si="16"/>
        <v>3.2906959904501321E-2</v>
      </c>
      <c r="S10" s="7">
        <f t="shared" si="17"/>
        <v>3.5889223232954848E-2</v>
      </c>
      <c r="T10" s="17">
        <v>0.96249140793574095</v>
      </c>
      <c r="U10" s="17">
        <v>3.3533967396357001E-2</v>
      </c>
      <c r="V10" s="17">
        <v>9.1761695406187595E-3</v>
      </c>
      <c r="W10" s="18">
        <f t="shared" si="18"/>
        <v>1.5944058049258041E-3</v>
      </c>
      <c r="X10" s="19">
        <f t="shared" si="23"/>
        <v>-2.883662043072821E-2</v>
      </c>
      <c r="Y10" s="19">
        <f t="shared" si="19"/>
        <v>1.6414844748810609E-2</v>
      </c>
      <c r="Z10" s="19">
        <f t="shared" si="19"/>
        <v>1.2222005345553733E-2</v>
      </c>
      <c r="AA10" s="18">
        <f t="shared" si="20"/>
        <v>2.3622706186196709E-4</v>
      </c>
      <c r="AB10" s="18">
        <f t="shared" si="21"/>
        <v>2.6445856707662078E-5</v>
      </c>
      <c r="AC10" s="18">
        <f t="shared" si="22"/>
        <v>1.0054787028844694E-4</v>
      </c>
      <c r="AD10" s="18">
        <f t="shared" si="24"/>
        <v>2.6102518554577825E-6</v>
      </c>
      <c r="AF10" s="22" t="s">
        <v>62</v>
      </c>
      <c r="AG10" s="22">
        <v>-9.9481823925663598E-2</v>
      </c>
      <c r="AH10">
        <v>-9.9481823925663598E-2</v>
      </c>
    </row>
    <row r="11" spans="1:36">
      <c r="A11" s="6">
        <v>9</v>
      </c>
      <c r="B11" s="7">
        <f t="shared" si="0"/>
        <v>-73.327087552408358</v>
      </c>
      <c r="C11" s="7">
        <f t="shared" si="1"/>
        <v>1.4270871708238232E-32</v>
      </c>
      <c r="D11" s="7">
        <f t="shared" si="2"/>
        <v>-4.7908518076447066</v>
      </c>
      <c r="E11" s="7">
        <f t="shared" si="3"/>
        <v>-2.2995980672046148</v>
      </c>
      <c r="F11" s="7">
        <f t="shared" si="4"/>
        <v>-2.2995980672046148</v>
      </c>
      <c r="G11" s="7">
        <f t="shared" si="5"/>
        <v>0.80653528132549468</v>
      </c>
      <c r="H11" s="7">
        <f t="shared" si="6"/>
        <v>0.66767451467661842</v>
      </c>
      <c r="I11" s="7">
        <f t="shared" si="7"/>
        <v>5.1635809453362631</v>
      </c>
      <c r="J11" s="7">
        <f t="shared" si="8"/>
        <v>-2.5311703581187119</v>
      </c>
      <c r="K11" s="7">
        <f t="shared" si="9"/>
        <v>4.2266484745878472</v>
      </c>
      <c r="L11" s="7">
        <f t="shared" si="10"/>
        <v>0.80432028638377973</v>
      </c>
      <c r="M11" s="7">
        <f t="shared" si="11"/>
        <v>0.66644512455626048</v>
      </c>
      <c r="N11" s="7">
        <f t="shared" si="12"/>
        <v>0.52559285705152403</v>
      </c>
      <c r="O11" s="7">
        <f t="shared" si="13"/>
        <v>4.8863367697357534</v>
      </c>
      <c r="P11" s="7">
        <f t="shared" si="14"/>
        <v>-1.8796108844474899</v>
      </c>
      <c r="Q11" s="7">
        <f t="shared" si="15"/>
        <v>0.8983219947430805</v>
      </c>
      <c r="R11" s="7">
        <f t="shared" si="16"/>
        <v>5.556834441242664E-2</v>
      </c>
      <c r="S11" s="7">
        <f t="shared" si="17"/>
        <v>4.7439522935742495E-2</v>
      </c>
      <c r="T11" s="17">
        <v>0.94450237023887595</v>
      </c>
      <c r="U11" s="17">
        <v>4.7496166004264602E-2</v>
      </c>
      <c r="V11" s="17">
        <v>7.5225339506602403E-3</v>
      </c>
      <c r="W11" s="18">
        <f t="shared" si="18"/>
        <v>3.7911531548210403E-3</v>
      </c>
      <c r="X11" s="19">
        <f t="shared" si="23"/>
        <v>-3.4497449507030709E-2</v>
      </c>
      <c r="Y11" s="19">
        <f t="shared" si="19"/>
        <v>2.266138450792532E-2</v>
      </c>
      <c r="Z11" s="19">
        <f t="shared" si="19"/>
        <v>1.1550299702787648E-2</v>
      </c>
      <c r="AA11" s="18">
        <f t="shared" si="20"/>
        <v>1.5869704977117469E-4</v>
      </c>
      <c r="AB11" s="18">
        <f t="shared" si="21"/>
        <v>1.9957945284980529E-5</v>
      </c>
      <c r="AC11" s="18">
        <f t="shared" si="22"/>
        <v>6.1533117958909047E-5</v>
      </c>
      <c r="AD11" s="18">
        <f t="shared" si="24"/>
        <v>1.7685331817428497E-6</v>
      </c>
      <c r="AF11" s="22" t="s">
        <v>63</v>
      </c>
      <c r="AG11" s="22">
        <v>1.7018716966564671</v>
      </c>
      <c r="AH11">
        <v>1.7018716966564671</v>
      </c>
    </row>
    <row r="12" spans="1:36">
      <c r="A12" s="6">
        <v>10</v>
      </c>
      <c r="B12" s="7">
        <f t="shared" si="0"/>
        <v>-80.441277787509492</v>
      </c>
      <c r="C12" s="7">
        <f t="shared" si="1"/>
        <v>1.160905689492265E-35</v>
      </c>
      <c r="D12" s="7">
        <f t="shared" si="2"/>
        <v>-4.7908518076447066</v>
      </c>
      <c r="E12" s="7">
        <f t="shared" si="3"/>
        <v>-2.2995980672046148</v>
      </c>
      <c r="F12" s="7">
        <f t="shared" si="4"/>
        <v>-2.2995980672046148</v>
      </c>
      <c r="G12" s="7">
        <f t="shared" si="5"/>
        <v>0.70705345739983105</v>
      </c>
      <c r="H12" s="7">
        <f t="shared" si="6"/>
        <v>0.60882580778411954</v>
      </c>
      <c r="I12" s="7">
        <f t="shared" si="7"/>
        <v>4.9443383631690887</v>
      </c>
      <c r="J12" s="7">
        <f t="shared" si="8"/>
        <v>-1.9614678762383386</v>
      </c>
      <c r="K12" s="7">
        <f t="shared" si="9"/>
        <v>3.8677879297368363</v>
      </c>
      <c r="L12" s="7">
        <f t="shared" si="10"/>
        <v>0.70981828817576575</v>
      </c>
      <c r="M12" s="7">
        <f t="shared" si="11"/>
        <v>0.61056287344715376</v>
      </c>
      <c r="N12" s="7">
        <f t="shared" si="12"/>
        <v>0.70421907809579887</v>
      </c>
      <c r="O12" s="7">
        <f t="shared" si="13"/>
        <v>4.3462202096647804</v>
      </c>
      <c r="P12" s="7">
        <f t="shared" si="14"/>
        <v>-1.5101012879181264</v>
      </c>
      <c r="Q12" s="7">
        <f t="shared" si="15"/>
        <v>0.85770563362018093</v>
      </c>
      <c r="R12" s="7">
        <f t="shared" si="16"/>
        <v>8.515426622182698E-2</v>
      </c>
      <c r="S12" s="7">
        <f t="shared" si="17"/>
        <v>5.8088574614095112E-2</v>
      </c>
      <c r="T12" s="17">
        <v>0.91819898168117797</v>
      </c>
      <c r="U12" s="17">
        <v>6.7597221336325009E-2</v>
      </c>
      <c r="V12" s="17">
        <v>3.2927993138720797E-3</v>
      </c>
      <c r="W12" s="18">
        <f t="shared" si="18"/>
        <v>6.9702719754929972E-3</v>
      </c>
      <c r="X12" s="19">
        <f t="shared" si="23"/>
        <v>-4.0616361122899569E-2</v>
      </c>
      <c r="Y12" s="19">
        <f t="shared" si="19"/>
        <v>2.958592180940034E-2</v>
      </c>
      <c r="Z12" s="19">
        <f t="shared" si="19"/>
        <v>1.0649051678352617E-2</v>
      </c>
      <c r="AA12" s="18">
        <f t="shared" si="20"/>
        <v>7.3508730014784911E-5</v>
      </c>
      <c r="AB12" s="18">
        <f t="shared" si="21"/>
        <v>1.038411658783964E-5</v>
      </c>
      <c r="AC12" s="18">
        <f t="shared" si="22"/>
        <v>2.4699866792054486E-5</v>
      </c>
      <c r="AD12" s="18">
        <f t="shared" si="24"/>
        <v>8.9960379387992178E-7</v>
      </c>
      <c r="AF12" s="22" t="s">
        <v>64</v>
      </c>
      <c r="AG12" s="22">
        <v>3.7255293063222767</v>
      </c>
      <c r="AH12">
        <v>3.7255293063222767</v>
      </c>
    </row>
    <row r="13" spans="1:36">
      <c r="A13" s="6">
        <v>11</v>
      </c>
      <c r="B13" s="7">
        <f t="shared" si="0"/>
        <v>-87.555468022610611</v>
      </c>
      <c r="C13" s="7">
        <f t="shared" si="1"/>
        <v>9.443725985691078E-39</v>
      </c>
      <c r="D13" s="7">
        <f t="shared" si="2"/>
        <v>-4.7908518076447066</v>
      </c>
      <c r="E13" s="7">
        <f t="shared" si="3"/>
        <v>-2.2995980672046148</v>
      </c>
      <c r="F13" s="7">
        <f t="shared" si="4"/>
        <v>-2.2995980672046148</v>
      </c>
      <c r="G13" s="7">
        <f t="shared" si="5"/>
        <v>0.60757163347416743</v>
      </c>
      <c r="H13" s="7">
        <f t="shared" si="6"/>
        <v>0.54241545094190213</v>
      </c>
      <c r="I13" s="7">
        <f t="shared" si="7"/>
        <v>4.696924632510088</v>
      </c>
      <c r="J13" s="7">
        <f t="shared" si="8"/>
        <v>-1.3185625837790571</v>
      </c>
      <c r="K13" s="7">
        <f t="shared" si="9"/>
        <v>3.462816298266953</v>
      </c>
      <c r="L13" s="7">
        <f t="shared" si="10"/>
        <v>0.61531628996775178</v>
      </c>
      <c r="M13" s="7">
        <f t="shared" si="11"/>
        <v>0.54785854275083301</v>
      </c>
      <c r="N13" s="7">
        <f t="shared" si="12"/>
        <v>0.90465190628530268</v>
      </c>
      <c r="O13" s="7">
        <f t="shared" si="13"/>
        <v>3.7401664676434541</v>
      </c>
      <c r="P13" s="7">
        <f t="shared" si="14"/>
        <v>-1.0954821293054291</v>
      </c>
      <c r="Q13" s="7">
        <f t="shared" si="15"/>
        <v>0.810724731150684</v>
      </c>
      <c r="R13" s="7">
        <f t="shared" si="16"/>
        <v>0.12200581665978216</v>
      </c>
      <c r="S13" s="7">
        <f t="shared" si="17"/>
        <v>6.7736101756909139E-2</v>
      </c>
      <c r="T13" s="17">
        <v>0.89021613947898592</v>
      </c>
      <c r="U13" s="17">
        <v>9.5969397639399309E-2</v>
      </c>
      <c r="V13" s="17">
        <v>1.96514990734073E-2</v>
      </c>
      <c r="W13" s="18">
        <f t="shared" si="18"/>
        <v>9.3089081286520155E-3</v>
      </c>
      <c r="X13" s="19">
        <f t="shared" si="23"/>
        <v>-4.6980902469496932E-2</v>
      </c>
      <c r="Y13" s="19">
        <f t="shared" si="19"/>
        <v>3.6851550437955183E-2</v>
      </c>
      <c r="Z13" s="19">
        <f t="shared" si="19"/>
        <v>9.6475271428140275E-3</v>
      </c>
      <c r="AA13" s="18">
        <f t="shared" si="20"/>
        <v>1.2860234921723544E-5</v>
      </c>
      <c r="AB13" s="18">
        <f t="shared" si="21"/>
        <v>2.5397032199788066E-6</v>
      </c>
      <c r="AC13" s="18">
        <f t="shared" si="22"/>
        <v>2.2820557091382306E-6</v>
      </c>
      <c r="AD13" s="18">
        <f t="shared" si="24"/>
        <v>2.1776181873155379E-7</v>
      </c>
      <c r="AF13" s="22" t="s">
        <v>65</v>
      </c>
      <c r="AG13" s="22">
        <v>2.6761399738240179</v>
      </c>
      <c r="AH13">
        <v>2.6761399738240179</v>
      </c>
    </row>
    <row r="14" spans="1:36">
      <c r="A14" s="6">
        <v>12</v>
      </c>
      <c r="B14" s="7">
        <f t="shared" si="0"/>
        <v>-94.669658257711731</v>
      </c>
      <c r="C14" s="7">
        <f t="shared" si="1"/>
        <v>7.6822743914557371E-42</v>
      </c>
      <c r="D14" s="7">
        <f t="shared" si="2"/>
        <v>-4.7908518076447066</v>
      </c>
      <c r="E14" s="7">
        <f t="shared" si="3"/>
        <v>-2.2995980672046148</v>
      </c>
      <c r="F14" s="7">
        <f t="shared" si="4"/>
        <v>-2.2995980672046148</v>
      </c>
      <c r="G14" s="7">
        <f t="shared" si="5"/>
        <v>0.50808980954850402</v>
      </c>
      <c r="H14" s="7">
        <f t="shared" si="6"/>
        <v>0.4684555357221396</v>
      </c>
      <c r="I14" s="7">
        <f t="shared" si="7"/>
        <v>4.4213848008657513</v>
      </c>
      <c r="J14" s="7">
        <f t="shared" si="8"/>
        <v>-0.60257153681636666</v>
      </c>
      <c r="K14" s="7">
        <f t="shared" si="9"/>
        <v>3.0118073148175362</v>
      </c>
      <c r="L14" s="7">
        <f t="shared" si="10"/>
        <v>0.52081429175973804</v>
      </c>
      <c r="M14" s="7">
        <f t="shared" si="11"/>
        <v>0.47832824023440851</v>
      </c>
      <c r="N14" s="7">
        <f t="shared" si="12"/>
        <v>1.126903783045331</v>
      </c>
      <c r="O14" s="7">
        <f t="shared" si="13"/>
        <v>3.0681379242237821</v>
      </c>
      <c r="P14" s="7">
        <f t="shared" si="14"/>
        <v>-0.63572767204052116</v>
      </c>
      <c r="Q14" s="7">
        <f t="shared" si="15"/>
        <v>0.75743677626637562</v>
      </c>
      <c r="R14" s="7">
        <f t="shared" si="16"/>
        <v>0.16596832020280061</v>
      </c>
      <c r="S14" s="7">
        <f t="shared" si="17"/>
        <v>7.6481575572400207E-2</v>
      </c>
      <c r="T14" s="17">
        <v>0.83105634839519704</v>
      </c>
      <c r="U14" s="17">
        <v>0.139820372745182</v>
      </c>
      <c r="V14" s="17">
        <v>2.4532806481925299E-2</v>
      </c>
      <c r="W14" s="18">
        <f t="shared" si="18"/>
        <v>8.8022311666926048E-3</v>
      </c>
      <c r="X14" s="19">
        <f t="shared" si="23"/>
        <v>-5.3287954884308375E-2</v>
      </c>
      <c r="Y14" s="19">
        <f t="shared" si="19"/>
        <v>4.396250354301845E-2</v>
      </c>
      <c r="Z14" s="19">
        <f t="shared" si="19"/>
        <v>8.7454738154910672E-3</v>
      </c>
      <c r="AA14" s="18">
        <f t="shared" si="20"/>
        <v>3.4717808962624998E-6</v>
      </c>
      <c r="AB14" s="18">
        <f t="shared" si="21"/>
        <v>1.4369175658299325E-8</v>
      </c>
      <c r="AC14" s="18">
        <f t="shared" si="22"/>
        <v>5.3980834102218707E-6</v>
      </c>
      <c r="AD14" s="18">
        <f t="shared" si="24"/>
        <v>1.284322616045195E-8</v>
      </c>
      <c r="AF14" s="22" t="s">
        <v>66</v>
      </c>
      <c r="AG14" s="22">
        <v>-9.680798643903433</v>
      </c>
      <c r="AH14">
        <v>-9.680798643903433</v>
      </c>
    </row>
    <row r="15" spans="1:36">
      <c r="A15" s="6">
        <v>13</v>
      </c>
      <c r="B15" s="7">
        <f t="shared" si="0"/>
        <v>-101.78384849281287</v>
      </c>
      <c r="C15" s="7">
        <f t="shared" si="1"/>
        <v>6.2493702078011925E-45</v>
      </c>
      <c r="D15" s="7">
        <f t="shared" si="2"/>
        <v>-4.7908518076447066</v>
      </c>
      <c r="E15" s="7">
        <f t="shared" si="3"/>
        <v>-2.2995980672046148</v>
      </c>
      <c r="F15" s="7">
        <f t="shared" si="4"/>
        <v>-2.2995980672046148</v>
      </c>
      <c r="G15" s="7">
        <f t="shared" si="5"/>
        <v>0.4086079856228404</v>
      </c>
      <c r="H15" s="7">
        <f t="shared" si="6"/>
        <v>0.38729009742385706</v>
      </c>
      <c r="I15" s="7">
        <f t="shared" si="7"/>
        <v>4.1190005818250075</v>
      </c>
      <c r="J15" s="7">
        <f t="shared" si="8"/>
        <v>0.18317472819347458</v>
      </c>
      <c r="K15" s="7">
        <f t="shared" si="9"/>
        <v>2.5168589132494215</v>
      </c>
      <c r="L15" s="7">
        <f t="shared" si="10"/>
        <v>0.42631229355172406</v>
      </c>
      <c r="M15" s="7">
        <f t="shared" si="11"/>
        <v>0.40223483906115826</v>
      </c>
      <c r="N15" s="7">
        <f t="shared" si="12"/>
        <v>1.3701344408698626</v>
      </c>
      <c r="O15" s="7">
        <f t="shared" si="13"/>
        <v>2.3326753172226331</v>
      </c>
      <c r="P15" s="7">
        <f t="shared" si="14"/>
        <v>-0.13257610945980991</v>
      </c>
      <c r="Q15" s="7">
        <f t="shared" si="15"/>
        <v>0.69828321505016344</v>
      </c>
      <c r="R15" s="7">
        <f t="shared" si="16"/>
        <v>0.21625197821149289</v>
      </c>
      <c r="S15" s="7">
        <f t="shared" si="17"/>
        <v>8.4684736584996756E-2</v>
      </c>
      <c r="T15" s="17">
        <v>0.77338802087821101</v>
      </c>
      <c r="U15" s="17">
        <v>0.19576330278256401</v>
      </c>
      <c r="V15" s="17">
        <v>3.84479753657469E-2</v>
      </c>
      <c r="W15" s="18">
        <f t="shared" si="18"/>
        <v>8.1983557673466507E-3</v>
      </c>
      <c r="X15" s="19">
        <f t="shared" si="23"/>
        <v>-5.915356121621218E-2</v>
      </c>
      <c r="Y15" s="19">
        <f t="shared" si="19"/>
        <v>5.0283658008692278E-2</v>
      </c>
      <c r="Z15" s="19">
        <f t="shared" si="19"/>
        <v>8.2031610125965493E-3</v>
      </c>
      <c r="AA15" s="18">
        <f t="shared" si="20"/>
        <v>5.0336491216937508E-5</v>
      </c>
      <c r="AB15" s="18">
        <f t="shared" si="21"/>
        <v>2.378774397125115E-6</v>
      </c>
      <c r="AC15" s="18">
        <f t="shared" si="22"/>
        <v>3.8678896930846419E-5</v>
      </c>
      <c r="AD15" s="18">
        <f t="shared" si="24"/>
        <v>6.0850944414267532E-7</v>
      </c>
      <c r="AF15" s="22" t="s">
        <v>67</v>
      </c>
      <c r="AG15" s="22">
        <v>3.9324521781315784</v>
      </c>
      <c r="AH15">
        <v>3.9324521781315784</v>
      </c>
    </row>
    <row r="16" spans="1:36">
      <c r="A16" s="6">
        <v>14</v>
      </c>
      <c r="B16" s="7">
        <f t="shared" si="0"/>
        <v>-108.89803872791398</v>
      </c>
      <c r="C16" s="7">
        <f t="shared" si="1"/>
        <v>5.0837324995304023E-48</v>
      </c>
      <c r="D16" s="7">
        <f t="shared" si="2"/>
        <v>-4.7908518076447066</v>
      </c>
      <c r="E16" s="7">
        <f t="shared" si="3"/>
        <v>-2.2995980672046148</v>
      </c>
      <c r="F16" s="7">
        <f t="shared" si="4"/>
        <v>-2.2995980672046148</v>
      </c>
      <c r="G16" s="7">
        <f t="shared" si="5"/>
        <v>0.30912616169717677</v>
      </c>
      <c r="H16" s="7">
        <f t="shared" si="6"/>
        <v>0.29964192507350662</v>
      </c>
      <c r="I16" s="7">
        <f t="shared" si="7"/>
        <v>3.7924647470881907</v>
      </c>
      <c r="J16" s="7">
        <f t="shared" si="8"/>
        <v>1.0316790362233617</v>
      </c>
      <c r="K16" s="7">
        <f t="shared" si="9"/>
        <v>1.9823786749274588</v>
      </c>
      <c r="L16" s="7">
        <f t="shared" si="10"/>
        <v>0.33181029534371009</v>
      </c>
      <c r="M16" s="7">
        <f t="shared" si="11"/>
        <v>0.32014646867693353</v>
      </c>
      <c r="N16" s="7">
        <f t="shared" si="12"/>
        <v>1.6325278681637623</v>
      </c>
      <c r="O16" s="7">
        <f t="shared" si="13"/>
        <v>1.5392697661972534</v>
      </c>
      <c r="P16" s="7">
        <f t="shared" si="14"/>
        <v>0.4102159223287023</v>
      </c>
      <c r="Q16" s="7">
        <f t="shared" si="15"/>
        <v>0.63414080760724634</v>
      </c>
      <c r="R16" s="7">
        <f t="shared" si="16"/>
        <v>0.27135073521600028</v>
      </c>
      <c r="S16" s="7">
        <f t="shared" si="17"/>
        <v>9.2996530051546289E-2</v>
      </c>
      <c r="T16" s="17">
        <v>0.68790871012265198</v>
      </c>
      <c r="U16" s="17">
        <v>0.25894601239861498</v>
      </c>
      <c r="V16" s="17">
        <v>6.3388110834698502E-2</v>
      </c>
      <c r="W16" s="18">
        <f t="shared" si="18"/>
        <v>3.921522977602925E-3</v>
      </c>
      <c r="X16" s="19">
        <f t="shared" si="23"/>
        <v>-6.4142407442917104E-2</v>
      </c>
      <c r="Y16" s="19">
        <f t="shared" si="19"/>
        <v>5.5098757004507393E-2</v>
      </c>
      <c r="Z16" s="19">
        <f t="shared" si="19"/>
        <v>8.311793466549533E-3</v>
      </c>
      <c r="AA16" s="18">
        <f t="shared" si="20"/>
        <v>1.2881073037948623E-4</v>
      </c>
      <c r="AB16" s="18">
        <f t="shared" si="21"/>
        <v>5.271882245710671E-6</v>
      </c>
      <c r="AC16" s="18">
        <f t="shared" si="22"/>
        <v>9.5751714364383428E-5</v>
      </c>
      <c r="AD16" s="18">
        <f t="shared" si="24"/>
        <v>2.2859236319369784E-6</v>
      </c>
      <c r="AF16" s="22" t="s">
        <v>68</v>
      </c>
      <c r="AG16" s="22">
        <v>6.0980192055291091</v>
      </c>
      <c r="AH16">
        <v>6.0980192055291091</v>
      </c>
    </row>
    <row r="17" spans="1:44">
      <c r="A17" s="6">
        <v>15</v>
      </c>
      <c r="B17" s="7">
        <f t="shared" si="0"/>
        <v>-116.01222896301512</v>
      </c>
      <c r="C17" s="7">
        <f t="shared" si="1"/>
        <v>4.1355105022453871E-51</v>
      </c>
      <c r="D17" s="7">
        <f t="shared" si="2"/>
        <v>-4.7908518076447066</v>
      </c>
      <c r="E17" s="7">
        <f t="shared" si="3"/>
        <v>-2.2995980672046148</v>
      </c>
      <c r="F17" s="7">
        <f t="shared" si="4"/>
        <v>-2.2995980672046148</v>
      </c>
      <c r="G17" s="7">
        <f t="shared" si="5"/>
        <v>0.20964433777151315</v>
      </c>
      <c r="H17" s="7">
        <f t="shared" si="6"/>
        <v>0.20662604729306874</v>
      </c>
      <c r="I17" s="7">
        <f t="shared" si="7"/>
        <v>3.4459313684638784</v>
      </c>
      <c r="J17" s="7">
        <f t="shared" si="8"/>
        <v>1.9321470197017119</v>
      </c>
      <c r="K17" s="7">
        <f t="shared" si="9"/>
        <v>1.4151660658032004</v>
      </c>
      <c r="L17" s="7">
        <f t="shared" si="10"/>
        <v>0.23730829713569612</v>
      </c>
      <c r="M17" s="7">
        <f t="shared" si="11"/>
        <v>0.23295171732057732</v>
      </c>
      <c r="N17" s="7">
        <f t="shared" si="12"/>
        <v>1.91124371479763</v>
      </c>
      <c r="O17" s="7">
        <f t="shared" si="13"/>
        <v>0.69650970868117024</v>
      </c>
      <c r="P17" s="7">
        <f t="shared" si="14"/>
        <v>0.98677282105239827</v>
      </c>
      <c r="Q17" s="7">
        <f t="shared" si="15"/>
        <v>0.56632327561680174</v>
      </c>
      <c r="R17" s="7">
        <f t="shared" si="16"/>
        <v>0.32905866117826732</v>
      </c>
      <c r="S17" s="7">
        <f t="shared" si="17"/>
        <v>0.10234081965098385</v>
      </c>
      <c r="T17" s="17">
        <v>0.59497831839092707</v>
      </c>
      <c r="U17" s="17">
        <v>0.33076845698165103</v>
      </c>
      <c r="V17" s="17">
        <v>7.3720662375898097E-2</v>
      </c>
      <c r="W17" s="18">
        <f t="shared" si="18"/>
        <v>1.6431482805268653E-3</v>
      </c>
      <c r="X17" s="19">
        <f t="shared" si="23"/>
        <v>-6.7817531990444602E-2</v>
      </c>
      <c r="Y17" s="19">
        <f t="shared" si="19"/>
        <v>5.7707925962267037E-2</v>
      </c>
      <c r="Z17" s="19">
        <f t="shared" si="19"/>
        <v>9.3442895994375608E-3</v>
      </c>
      <c r="AA17" s="18">
        <f t="shared" si="20"/>
        <v>1.9428976485974934E-4</v>
      </c>
      <c r="AB17" s="18">
        <f t="shared" si="21"/>
        <v>4.4210502310040932E-6</v>
      </c>
      <c r="AC17" s="18">
        <f t="shared" si="22"/>
        <v>1.5879713224414255E-4</v>
      </c>
      <c r="AD17" s="18">
        <f t="shared" si="24"/>
        <v>5.1858382039935944E-6</v>
      </c>
      <c r="AF17" s="22" t="s">
        <v>69</v>
      </c>
      <c r="AG17" s="22">
        <v>0.15515646104750119</v>
      </c>
      <c r="AH17">
        <v>0.15515646104750119</v>
      </c>
    </row>
    <row r="18" spans="1:44">
      <c r="A18" s="6">
        <v>16</v>
      </c>
      <c r="B18" s="7">
        <f t="shared" si="0"/>
        <v>-123.12641919811624</v>
      </c>
      <c r="C18" s="7">
        <f t="shared" si="1"/>
        <v>3.3641516574213792E-54</v>
      </c>
      <c r="D18" s="7">
        <f t="shared" si="2"/>
        <v>-4.7908518076447066</v>
      </c>
      <c r="E18" s="7">
        <f t="shared" si="3"/>
        <v>-2.2995980672046148</v>
      </c>
      <c r="F18" s="7">
        <f t="shared" si="4"/>
        <v>-2.2995980672046148</v>
      </c>
      <c r="G18" s="7">
        <f t="shared" si="5"/>
        <v>0.11016251384584952</v>
      </c>
      <c r="H18" s="7">
        <f t="shared" si="6"/>
        <v>0.10971903053694436</v>
      </c>
      <c r="I18" s="7">
        <f t="shared" si="7"/>
        <v>3.0849014375506729</v>
      </c>
      <c r="J18" s="7">
        <f t="shared" si="8"/>
        <v>2.8702843360991279</v>
      </c>
      <c r="K18" s="7">
        <f t="shared" si="9"/>
        <v>0.82422521647382263</v>
      </c>
      <c r="L18" s="7">
        <f t="shared" si="10"/>
        <v>0.14280629892768215</v>
      </c>
      <c r="M18" s="7">
        <f t="shared" si="11"/>
        <v>0.1418433731534148</v>
      </c>
      <c r="N18" s="7">
        <f t="shared" si="12"/>
        <v>2.2024692631816203</v>
      </c>
      <c r="O18" s="7">
        <f t="shared" si="13"/>
        <v>-0.18407624604803918</v>
      </c>
      <c r="P18" s="7">
        <f t="shared" si="14"/>
        <v>1.5892075266253176</v>
      </c>
      <c r="Q18" s="7">
        <f t="shared" si="15"/>
        <v>0.49651889308758657</v>
      </c>
      <c r="R18" s="7">
        <f t="shared" si="16"/>
        <v>0.38661002284647394</v>
      </c>
      <c r="S18" s="7">
        <f t="shared" si="17"/>
        <v>0.11383467589452545</v>
      </c>
      <c r="T18" s="17">
        <v>0.48898600704502004</v>
      </c>
      <c r="U18" s="17">
        <v>0.40789980280525601</v>
      </c>
      <c r="V18" s="17">
        <v>9.9755417736937704E-2</v>
      </c>
      <c r="W18" s="18">
        <f t="shared" si="18"/>
        <v>7.0822461309165289E-4</v>
      </c>
      <c r="X18" s="19">
        <f t="shared" si="23"/>
        <v>-6.980438252921517E-2</v>
      </c>
      <c r="Y18" s="19">
        <f t="shared" si="19"/>
        <v>5.7551361668206624E-2</v>
      </c>
      <c r="Z18" s="19">
        <f t="shared" si="19"/>
        <v>1.14938562435416E-2</v>
      </c>
      <c r="AA18" s="18">
        <f t="shared" si="20"/>
        <v>2.0768279004883256E-4</v>
      </c>
      <c r="AB18" s="18">
        <f t="shared" si="21"/>
        <v>7.7477685250581395E-7</v>
      </c>
      <c r="AC18" s="18">
        <f t="shared" si="22"/>
        <v>2.0420850569353256E-4</v>
      </c>
      <c r="AD18" s="18">
        <f t="shared" si="24"/>
        <v>9.2197745834299548E-6</v>
      </c>
      <c r="AF18" s="22" t="s">
        <v>81</v>
      </c>
      <c r="AG18" s="22">
        <v>-9.4501998208013943E-2</v>
      </c>
      <c r="AH18">
        <v>-9.4501998208013943E-2</v>
      </c>
    </row>
    <row r="19" spans="1:44">
      <c r="A19" s="6">
        <v>17</v>
      </c>
      <c r="B19" s="7">
        <f t="shared" si="0"/>
        <v>-130.24060943321737</v>
      </c>
      <c r="C19" s="7">
        <f t="shared" si="1"/>
        <v>2.7366673033440432E-57</v>
      </c>
      <c r="D19" s="7">
        <f t="shared" si="2"/>
        <v>-4.7908518076447066</v>
      </c>
      <c r="E19" s="7">
        <f t="shared" si="3"/>
        <v>-2.2995980672046148</v>
      </c>
      <c r="F19" s="7">
        <f t="shared" si="4"/>
        <v>-2.2995980672046148</v>
      </c>
      <c r="G19" s="7">
        <f t="shared" si="5"/>
        <v>1.0680689920185893E-2</v>
      </c>
      <c r="H19" s="7">
        <f t="shared" si="6"/>
        <v>1.0680283797874553E-2</v>
      </c>
      <c r="I19" s="7">
        <f t="shared" si="7"/>
        <v>2.7159296841128384</v>
      </c>
      <c r="J19" s="7">
        <f t="shared" si="8"/>
        <v>3.8290585012246106</v>
      </c>
      <c r="K19" s="7">
        <f t="shared" si="9"/>
        <v>0.2202850367674416</v>
      </c>
      <c r="L19" s="7">
        <f t="shared" si="10"/>
        <v>4.8304300719668181E-2</v>
      </c>
      <c r="M19" s="7">
        <f t="shared" si="11"/>
        <v>4.8266766188090796E-2</v>
      </c>
      <c r="N19" s="7">
        <f t="shared" si="12"/>
        <v>2.5015845520007072</v>
      </c>
      <c r="O19" s="7">
        <f t="shared" si="13"/>
        <v>-1.0885186057257759</v>
      </c>
      <c r="P19" s="7">
        <f t="shared" si="14"/>
        <v>2.2079630992459225</v>
      </c>
      <c r="Q19" s="7">
        <f t="shared" si="15"/>
        <v>0.42666242846883895</v>
      </c>
      <c r="R19" s="7">
        <f t="shared" si="16"/>
        <v>0.44094182829421991</v>
      </c>
      <c r="S19" s="7">
        <f t="shared" si="17"/>
        <v>0.1286500688087493</v>
      </c>
      <c r="T19" s="17">
        <v>0.39651123517081099</v>
      </c>
      <c r="U19" s="17">
        <v>0.47372642816447597</v>
      </c>
      <c r="V19" s="17">
        <v>0.13353312106332502</v>
      </c>
      <c r="W19" s="18">
        <f t="shared" si="18"/>
        <v>2.0077686452687564E-3</v>
      </c>
      <c r="X19" s="19">
        <f t="shared" si="23"/>
        <v>-6.9856464618747616E-2</v>
      </c>
      <c r="Y19" s="19">
        <f t="shared" si="23"/>
        <v>5.4331805447745962E-2</v>
      </c>
      <c r="Z19" s="19">
        <f t="shared" si="23"/>
        <v>1.4815392914223846E-2</v>
      </c>
      <c r="AA19" s="18">
        <f t="shared" si="20"/>
        <v>1.6079890999222291E-4</v>
      </c>
      <c r="AB19" s="18">
        <f t="shared" si="21"/>
        <v>1.445350157175039E-6</v>
      </c>
      <c r="AC19" s="18">
        <f t="shared" si="22"/>
        <v>2.1293067907691941E-4</v>
      </c>
      <c r="AD19" s="18">
        <f t="shared" si="24"/>
        <v>1.4030076922010324E-5</v>
      </c>
      <c r="AF19" s="22" t="s">
        <v>82</v>
      </c>
      <c r="AG19" s="22">
        <v>1.6548382702559052</v>
      </c>
      <c r="AH19">
        <v>1.6548382702559052</v>
      </c>
    </row>
    <row r="20" spans="1:44">
      <c r="A20" s="6">
        <v>18</v>
      </c>
      <c r="B20" s="7">
        <f t="shared" si="0"/>
        <v>-137.35479966831849</v>
      </c>
      <c r="C20" s="7">
        <f t="shared" si="1"/>
        <v>2.2262218508106868E-60</v>
      </c>
      <c r="D20" s="7">
        <f t="shared" si="2"/>
        <v>-4.7908518076447066</v>
      </c>
      <c r="E20" s="7">
        <f t="shared" si="3"/>
        <v>-2.2995980672046148</v>
      </c>
      <c r="F20" s="7">
        <f t="shared" si="4"/>
        <v>-2.2995980672046148</v>
      </c>
      <c r="G20" s="7">
        <f t="shared" si="5"/>
        <v>-8.8801134005477733E-2</v>
      </c>
      <c r="H20" s="7">
        <f t="shared" si="6"/>
        <v>-8.856844995686769E-2</v>
      </c>
      <c r="I20" s="7">
        <f t="shared" si="7"/>
        <v>2.3461756178941693</v>
      </c>
      <c r="J20" s="7">
        <f t="shared" si="8"/>
        <v>4.7898655083666526</v>
      </c>
      <c r="K20" s="7">
        <f t="shared" si="9"/>
        <v>-0.38493564779342176</v>
      </c>
      <c r="L20" s="7">
        <f t="shared" si="10"/>
        <v>-4.619769748834579E-2</v>
      </c>
      <c r="M20" s="7">
        <f t="shared" si="11"/>
        <v>-4.6164860059403276E-2</v>
      </c>
      <c r="N20" s="7">
        <f t="shared" si="12"/>
        <v>2.8034328886169528</v>
      </c>
      <c r="O20" s="7">
        <f t="shared" si="13"/>
        <v>-2.0012249501985844</v>
      </c>
      <c r="P20" s="7">
        <f t="shared" si="14"/>
        <v>2.8323723064948574</v>
      </c>
      <c r="Q20" s="7">
        <f t="shared" si="15"/>
        <v>0.35875669886641548</v>
      </c>
      <c r="R20" s="7">
        <f t="shared" si="16"/>
        <v>0.48904249096345342</v>
      </c>
      <c r="S20" s="7">
        <f t="shared" si="17"/>
        <v>0.14783859149682099</v>
      </c>
      <c r="T20" s="17">
        <v>0.31251275507811599</v>
      </c>
      <c r="U20" s="17">
        <v>0.52750319456345507</v>
      </c>
      <c r="V20" s="17">
        <v>0.171732007304878</v>
      </c>
      <c r="W20" s="18">
        <f t="shared" si="18"/>
        <v>4.1886233774792916E-3</v>
      </c>
      <c r="X20" s="19">
        <f t="shared" si="23"/>
        <v>-6.790572960242347E-2</v>
      </c>
      <c r="Y20" s="19">
        <f t="shared" si="23"/>
        <v>4.8100662669233518E-2</v>
      </c>
      <c r="Z20" s="19">
        <f t="shared" si="23"/>
        <v>1.9188522688071696E-2</v>
      </c>
      <c r="AA20" s="18">
        <f t="shared" si="20"/>
        <v>8.2189003807586701E-5</v>
      </c>
      <c r="AB20" s="18">
        <f t="shared" si="21"/>
        <v>1.4022114566026369E-5</v>
      </c>
      <c r="AC20" s="18">
        <f t="shared" si="22"/>
        <v>1.8028354405740017E-4</v>
      </c>
      <c r="AD20" s="18">
        <f t="shared" si="24"/>
        <v>1.9028951753775358E-5</v>
      </c>
      <c r="AF20" s="22" t="s">
        <v>83</v>
      </c>
      <c r="AG20" s="22">
        <v>-3.1964750434895328</v>
      </c>
      <c r="AH20">
        <v>-3.1964750434895328</v>
      </c>
    </row>
    <row r="21" spans="1:44">
      <c r="A21" s="6">
        <v>19</v>
      </c>
      <c r="B21" s="7">
        <f t="shared" si="0"/>
        <v>-144.46898990341964</v>
      </c>
      <c r="C21" s="7">
        <f t="shared" si="1"/>
        <v>1.8109851069477126E-63</v>
      </c>
      <c r="D21" s="7">
        <f t="shared" si="2"/>
        <v>-4.7908518076447066</v>
      </c>
      <c r="E21" s="7">
        <f t="shared" si="3"/>
        <v>-2.2995980672046148</v>
      </c>
      <c r="F21" s="7">
        <f t="shared" si="4"/>
        <v>-2.2995980672046148</v>
      </c>
      <c r="G21" s="7">
        <f t="shared" si="5"/>
        <v>-0.18828295793114136</v>
      </c>
      <c r="H21" s="7">
        <f t="shared" si="6"/>
        <v>-0.18608915464137624</v>
      </c>
      <c r="I21" s="7">
        <f t="shared" si="7"/>
        <v>1.9828593746188328</v>
      </c>
      <c r="J21" s="7">
        <f t="shared" si="8"/>
        <v>5.73394381402895</v>
      </c>
      <c r="K21" s="7">
        <f t="shared" si="9"/>
        <v>-0.97961877789628748</v>
      </c>
      <c r="L21" s="7">
        <f t="shared" si="10"/>
        <v>-0.14069969569635976</v>
      </c>
      <c r="M21" s="7">
        <f t="shared" si="11"/>
        <v>-0.13977853988167618</v>
      </c>
      <c r="N21" s="7">
        <f t="shared" si="12"/>
        <v>3.1026666798980678</v>
      </c>
      <c r="O21" s="7">
        <f t="shared" si="13"/>
        <v>-2.9060256287265793</v>
      </c>
      <c r="P21" s="7">
        <f t="shared" si="14"/>
        <v>3.4513730155611402</v>
      </c>
      <c r="Q21" s="7">
        <f t="shared" si="15"/>
        <v>0.2946742468721939</v>
      </c>
      <c r="R21" s="7">
        <f t="shared" si="16"/>
        <v>0.52832011809775592</v>
      </c>
      <c r="S21" s="7">
        <f t="shared" si="17"/>
        <v>0.17215617046023812</v>
      </c>
      <c r="T21" s="17">
        <v>0.23552071001902899</v>
      </c>
      <c r="U21" s="17">
        <v>0.55793614971574401</v>
      </c>
      <c r="V21" s="17">
        <v>0.208737490794312</v>
      </c>
      <c r="W21" s="18">
        <f t="shared" si="18"/>
        <v>5.7144432484205364E-3</v>
      </c>
      <c r="X21" s="19">
        <f t="shared" si="23"/>
        <v>-6.4082451994221579E-2</v>
      </c>
      <c r="Y21" s="19">
        <f t="shared" si="23"/>
        <v>3.9277627134302495E-2</v>
      </c>
      <c r="Z21" s="19">
        <f t="shared" si="23"/>
        <v>2.431757896341713E-2</v>
      </c>
      <c r="AA21" s="18">
        <f t="shared" si="20"/>
        <v>1.7790650388869837E-5</v>
      </c>
      <c r="AB21" s="18">
        <f t="shared" si="21"/>
        <v>3.8592640022990429E-5</v>
      </c>
      <c r="AC21" s="18">
        <f t="shared" si="22"/>
        <v>1.1919049224914149E-4</v>
      </c>
      <c r="AD21" s="18">
        <f t="shared" si="24"/>
        <v>2.3517306613862435E-5</v>
      </c>
      <c r="AF21" s="22" t="s">
        <v>84</v>
      </c>
      <c r="AG21" s="22">
        <v>2.6558680655508837</v>
      </c>
      <c r="AH21">
        <v>2.6558680655508837</v>
      </c>
    </row>
    <row r="22" spans="1:44">
      <c r="A22" s="6">
        <v>20</v>
      </c>
      <c r="B22" s="7">
        <f t="shared" si="0"/>
        <v>-151.58318013852076</v>
      </c>
      <c r="C22" s="7">
        <f t="shared" si="1"/>
        <v>1.4731986645410961E-66</v>
      </c>
      <c r="D22" s="7">
        <f t="shared" si="2"/>
        <v>-4.7908518076447066</v>
      </c>
      <c r="E22" s="7">
        <f t="shared" si="3"/>
        <v>-2.2995980672046148</v>
      </c>
      <c r="F22" s="7">
        <f t="shared" si="4"/>
        <v>-2.2995980672046148</v>
      </c>
      <c r="G22" s="7">
        <f t="shared" si="5"/>
        <v>-0.28776478185680499</v>
      </c>
      <c r="H22" s="7">
        <f t="shared" si="6"/>
        <v>-0.28007622322227066</v>
      </c>
      <c r="I22" s="7">
        <f t="shared" si="7"/>
        <v>1.6327077962053889</v>
      </c>
      <c r="J22" s="7">
        <f t="shared" si="8"/>
        <v>6.6438137000913313</v>
      </c>
      <c r="K22" s="7">
        <f t="shared" si="9"/>
        <v>-1.5527537271739633</v>
      </c>
      <c r="L22" s="7">
        <f t="shared" si="10"/>
        <v>-0.23520169390437373</v>
      </c>
      <c r="M22" s="7">
        <f t="shared" si="11"/>
        <v>-0.23095845686119784</v>
      </c>
      <c r="N22" s="7">
        <f t="shared" si="12"/>
        <v>3.3941210089905565</v>
      </c>
      <c r="O22" s="7">
        <f t="shared" si="13"/>
        <v>-3.7873033533905849</v>
      </c>
      <c r="P22" s="7">
        <f t="shared" si="14"/>
        <v>4.0542809812567713</v>
      </c>
      <c r="Q22" s="7">
        <f t="shared" si="15"/>
        <v>0.23597699755123847</v>
      </c>
      <c r="R22" s="7">
        <f t="shared" si="16"/>
        <v>0.55691227949613165</v>
      </c>
      <c r="S22" s="7">
        <f t="shared" si="17"/>
        <v>0.20192918687819317</v>
      </c>
      <c r="T22" s="17">
        <v>0.188024971201353</v>
      </c>
      <c r="U22" s="17">
        <v>0.5772776209197521</v>
      </c>
      <c r="V22" s="17">
        <v>0.245867937524964</v>
      </c>
      <c r="W22" s="18">
        <f t="shared" si="18"/>
        <v>4.6447577707598442E-3</v>
      </c>
      <c r="X22" s="19">
        <f t="shared" si="23"/>
        <v>-5.8697249320955436E-2</v>
      </c>
      <c r="Y22" s="19">
        <f t="shared" si="23"/>
        <v>2.8592161398375726E-2</v>
      </c>
      <c r="Z22" s="19">
        <f t="shared" si="23"/>
        <v>2.9773016417955045E-2</v>
      </c>
      <c r="AA22" s="18">
        <f t="shared" si="20"/>
        <v>1.0854323641945646E-6</v>
      </c>
      <c r="AB22" s="18">
        <f t="shared" si="21"/>
        <v>6.5264683183255821E-5</v>
      </c>
      <c r="AC22" s="18">
        <f t="shared" si="22"/>
        <v>5.4300490856190321E-5</v>
      </c>
      <c r="AD22" s="18">
        <f t="shared" si="24"/>
        <v>2.6848316090689106E-5</v>
      </c>
      <c r="AF22" s="22" t="s">
        <v>85</v>
      </c>
      <c r="AG22" s="22">
        <v>9.6652613191338439</v>
      </c>
      <c r="AH22">
        <v>9.6652613191338439</v>
      </c>
    </row>
    <row r="23" spans="1:44">
      <c r="A23" s="6">
        <v>21</v>
      </c>
      <c r="B23" s="7">
        <f t="shared" si="0"/>
        <v>-158.69737037362188</v>
      </c>
      <c r="C23" s="7">
        <f t="shared" si="1"/>
        <v>1.1984164292016627E-69</v>
      </c>
      <c r="D23" s="7">
        <f t="shared" si="2"/>
        <v>-4.7908518076447066</v>
      </c>
      <c r="E23" s="7">
        <f t="shared" si="3"/>
        <v>-2.2995980672046148</v>
      </c>
      <c r="F23" s="7">
        <f t="shared" si="4"/>
        <v>-2.2995980672046148</v>
      </c>
      <c r="G23" s="7">
        <f t="shared" si="5"/>
        <v>-0.38724660578246861</v>
      </c>
      <c r="H23" s="7">
        <f t="shared" si="6"/>
        <v>-0.36898412634008626</v>
      </c>
      <c r="I23" s="7">
        <f t="shared" si="7"/>
        <v>1.3014787975763051</v>
      </c>
      <c r="J23" s="7">
        <f t="shared" si="8"/>
        <v>7.5045132080265784</v>
      </c>
      <c r="K23" s="7">
        <f t="shared" si="9"/>
        <v>-2.0949158279097237</v>
      </c>
      <c r="L23" s="7">
        <f t="shared" si="10"/>
        <v>-0.32970369211238748</v>
      </c>
      <c r="M23" s="7">
        <f t="shared" si="11"/>
        <v>-0.3182545059527821</v>
      </c>
      <c r="N23" s="7">
        <f t="shared" si="12"/>
        <v>3.6731606513070427</v>
      </c>
      <c r="O23" s="7">
        <f t="shared" si="13"/>
        <v>-4.6310424799886833</v>
      </c>
      <c r="P23" s="7">
        <f t="shared" si="14"/>
        <v>4.6315076898848746</v>
      </c>
      <c r="Q23" s="7">
        <f t="shared" si="15"/>
        <v>0.183787641238641</v>
      </c>
      <c r="R23" s="7">
        <f t="shared" si="16"/>
        <v>0.57387266083328026</v>
      </c>
      <c r="S23" s="7">
        <f t="shared" si="17"/>
        <v>0.2369937947705365</v>
      </c>
      <c r="T23" s="17">
        <v>0.137907399961987</v>
      </c>
      <c r="U23" s="17">
        <v>0.57947852857229998</v>
      </c>
      <c r="V23" s="17">
        <v>0.28965693379235602</v>
      </c>
      <c r="W23" s="18">
        <f t="shared" si="18"/>
        <v>4.9098285043428554E-3</v>
      </c>
      <c r="X23" s="19">
        <f t="shared" si="23"/>
        <v>-5.2189356312597468E-2</v>
      </c>
      <c r="Y23" s="19">
        <f t="shared" si="23"/>
        <v>1.6960381337148611E-2</v>
      </c>
      <c r="Z23" s="19">
        <f t="shared" si="23"/>
        <v>3.5064607892343336E-2</v>
      </c>
      <c r="AA23" s="18">
        <f t="shared" si="20"/>
        <v>3.5018691133569736E-5</v>
      </c>
      <c r="AB23" s="18">
        <f t="shared" si="21"/>
        <v>8.0312399439516293E-5</v>
      </c>
      <c r="AC23" s="18">
        <f t="shared" si="22"/>
        <v>1.0293999808004338E-5</v>
      </c>
      <c r="AD23" s="18">
        <f t="shared" si="24"/>
        <v>2.8578680569820114E-5</v>
      </c>
      <c r="AF23" s="22" t="s">
        <v>86</v>
      </c>
      <c r="AG23" s="22">
        <v>-1.5550295139632071</v>
      </c>
      <c r="AH23">
        <v>-1.5550295139632071</v>
      </c>
    </row>
    <row r="24" spans="1:44">
      <c r="A24" s="6">
        <v>22</v>
      </c>
      <c r="B24" s="7">
        <f t="shared" si="0"/>
        <v>-165.811560608723</v>
      </c>
      <c r="C24" s="7">
        <f t="shared" si="1"/>
        <v>9.7488680403321088E-73</v>
      </c>
      <c r="D24" s="7">
        <f t="shared" si="2"/>
        <v>-4.7908518076447066</v>
      </c>
      <c r="E24" s="7">
        <f t="shared" si="3"/>
        <v>-2.2995980672046148</v>
      </c>
      <c r="F24" s="7">
        <f t="shared" si="4"/>
        <v>-2.2995980672046148</v>
      </c>
      <c r="G24" s="7">
        <f t="shared" si="5"/>
        <v>-0.48672842970813224</v>
      </c>
      <c r="H24" s="7">
        <f t="shared" si="6"/>
        <v>-0.45161597345050719</v>
      </c>
      <c r="I24" s="7">
        <f t="shared" si="7"/>
        <v>0.99363142953089012</v>
      </c>
      <c r="J24" s="7">
        <f t="shared" si="8"/>
        <v>8.3044554814763778</v>
      </c>
      <c r="K24" s="7">
        <f t="shared" si="9"/>
        <v>-2.5988064185774156</v>
      </c>
      <c r="L24" s="7">
        <f t="shared" si="10"/>
        <v>-0.42420569032040167</v>
      </c>
      <c r="M24" s="7">
        <f t="shared" si="11"/>
        <v>-0.40046757432750196</v>
      </c>
      <c r="N24" s="7">
        <f t="shared" si="12"/>
        <v>3.9359526726155334</v>
      </c>
      <c r="O24" s="7">
        <f t="shared" si="13"/>
        <v>-5.4256532696781692</v>
      </c>
      <c r="P24" s="7">
        <f t="shared" si="14"/>
        <v>5.1751242608292252</v>
      </c>
      <c r="Q24" s="7">
        <f t="shared" si="15"/>
        <v>0.13873229450171687</v>
      </c>
      <c r="R24" s="7">
        <f t="shared" si="16"/>
        <v>0.57920414459359382</v>
      </c>
      <c r="S24" s="7">
        <f t="shared" si="17"/>
        <v>0.27671977504719436</v>
      </c>
      <c r="T24" s="17">
        <v>9.9076317792327895E-2</v>
      </c>
      <c r="U24" s="17">
        <v>0.57261055388682602</v>
      </c>
      <c r="V24" s="17">
        <v>0.33141838551950203</v>
      </c>
      <c r="W24" s="18">
        <f t="shared" si="18"/>
        <v>4.6080099147852221E-3</v>
      </c>
      <c r="X24" s="19">
        <f t="shared" si="23"/>
        <v>-4.5055346736924129E-2</v>
      </c>
      <c r="Y24" s="19">
        <f t="shared" si="23"/>
        <v>5.3314837603135601E-3</v>
      </c>
      <c r="Z24" s="19">
        <f t="shared" si="23"/>
        <v>3.9725980276657857E-2</v>
      </c>
      <c r="AA24" s="18">
        <f t="shared" si="20"/>
        <v>9.6091193631435103E-5</v>
      </c>
      <c r="AB24" s="18">
        <f t="shared" si="21"/>
        <v>7.5817998701737502E-5</v>
      </c>
      <c r="AC24" s="18">
        <f t="shared" si="22"/>
        <v>1.2042334976474359E-6</v>
      </c>
      <c r="AD24" s="18">
        <f t="shared" si="24"/>
        <v>2.8556047290763078E-5</v>
      </c>
      <c r="AF24" s="22" t="s">
        <v>87</v>
      </c>
      <c r="AG24" s="22">
        <v>-6.6122890398226595</v>
      </c>
      <c r="AH24">
        <v>-6.6122890398226595</v>
      </c>
      <c r="AR24" s="4"/>
    </row>
    <row r="25" spans="1:44">
      <c r="A25" s="6">
        <v>23</v>
      </c>
      <c r="B25" s="7">
        <f t="shared" si="0"/>
        <v>-172.92575084382412</v>
      </c>
      <c r="C25" s="7">
        <f t="shared" si="1"/>
        <v>7.9305010972789308E-76</v>
      </c>
      <c r="D25" s="7">
        <f t="shared" si="2"/>
        <v>-4.7908518076447066</v>
      </c>
      <c r="E25" s="7">
        <f t="shared" si="3"/>
        <v>-2.2995980672046148</v>
      </c>
      <c r="F25" s="7">
        <f t="shared" si="4"/>
        <v>-2.2995980672046148</v>
      </c>
      <c r="G25" s="7">
        <f t="shared" si="5"/>
        <v>-0.58621025363379586</v>
      </c>
      <c r="H25" s="7">
        <f t="shared" si="6"/>
        <v>-0.52716451016580079</v>
      </c>
      <c r="I25" s="7">
        <f t="shared" si="7"/>
        <v>0.71217314194829928</v>
      </c>
      <c r="J25" s="7">
        <f t="shared" si="8"/>
        <v>9.03582565325868</v>
      </c>
      <c r="K25" s="7">
        <f t="shared" si="9"/>
        <v>-3.0595028464168972</v>
      </c>
      <c r="L25" s="7">
        <f t="shared" si="10"/>
        <v>-0.51870768852841542</v>
      </c>
      <c r="M25" s="7">
        <f t="shared" si="11"/>
        <v>-0.47670198712518774</v>
      </c>
      <c r="N25" s="7">
        <f t="shared" si="12"/>
        <v>4.1796340705784152</v>
      </c>
      <c r="O25" s="7">
        <f t="shared" si="13"/>
        <v>-6.1624787908785237</v>
      </c>
      <c r="P25" s="7">
        <f t="shared" si="14"/>
        <v>5.6792082330286799</v>
      </c>
      <c r="Q25" s="7">
        <f t="shared" si="15"/>
        <v>0.10095540488200783</v>
      </c>
      <c r="R25" s="7">
        <f t="shared" si="16"/>
        <v>0.57374879517554156</v>
      </c>
      <c r="S25" s="7">
        <f t="shared" si="17"/>
        <v>0.32010731940716752</v>
      </c>
      <c r="T25" s="17">
        <v>7.6771548896384309E-2</v>
      </c>
      <c r="U25" s="17">
        <v>0.554625055849157</v>
      </c>
      <c r="V25" s="17">
        <v>0.37486334043008496</v>
      </c>
      <c r="W25" s="18">
        <f t="shared" si="18"/>
        <v>3.9487981344190617E-3</v>
      </c>
      <c r="X25" s="19">
        <f t="shared" si="23"/>
        <v>-3.7776889619709042E-2</v>
      </c>
      <c r="Y25" s="19">
        <f t="shared" si="23"/>
        <v>-5.4553494180522577E-3</v>
      </c>
      <c r="Z25" s="19">
        <f t="shared" si="23"/>
        <v>4.3387544359973162E-2</v>
      </c>
      <c r="AA25" s="18">
        <f t="shared" si="20"/>
        <v>1.5289613420617034E-4</v>
      </c>
      <c r="AB25" s="18">
        <f t="shared" si="21"/>
        <v>5.4725254390700313E-5</v>
      </c>
      <c r="AC25" s="18">
        <f t="shared" si="22"/>
        <v>2.6242782812946749E-5</v>
      </c>
      <c r="AD25" s="18">
        <f t="shared" si="24"/>
        <v>2.6920330265011509E-5</v>
      </c>
      <c r="AF25" s="22" t="s">
        <v>88</v>
      </c>
      <c r="AG25" s="22">
        <v>2.5271169082991181</v>
      </c>
      <c r="AH25">
        <v>2.5271169082991181</v>
      </c>
      <c r="AR25" s="4"/>
    </row>
    <row r="26" spans="1:44">
      <c r="A26" s="6">
        <v>24</v>
      </c>
      <c r="B26" s="7">
        <f t="shared" si="0"/>
        <v>-180.03994107892524</v>
      </c>
      <c r="C26" s="7">
        <f t="shared" si="1"/>
        <v>6.4512974628180295E-79</v>
      </c>
      <c r="D26" s="7">
        <f t="shared" si="2"/>
        <v>-4.7908518076447066</v>
      </c>
      <c r="E26" s="7">
        <f t="shared" si="3"/>
        <v>-2.2995980672046148</v>
      </c>
      <c r="F26" s="7">
        <f t="shared" si="4"/>
        <v>-2.2995980672046148</v>
      </c>
      <c r="G26" s="7">
        <f t="shared" si="5"/>
        <v>-0.68569207755945905</v>
      </c>
      <c r="H26" s="7">
        <f t="shared" si="6"/>
        <v>-0.59520738520607908</v>
      </c>
      <c r="I26" s="7">
        <f t="shared" si="7"/>
        <v>0.45867741689931796</v>
      </c>
      <c r="J26" s="7">
        <f t="shared" si="8"/>
        <v>9.6945350256758971</v>
      </c>
      <c r="K26" s="7">
        <f t="shared" si="9"/>
        <v>-3.4744296052119314</v>
      </c>
      <c r="L26" s="7">
        <f t="shared" si="10"/>
        <v>-0.61320968673642917</v>
      </c>
      <c r="M26" s="7">
        <f t="shared" si="11"/>
        <v>-0.54638253302689865</v>
      </c>
      <c r="N26" s="7">
        <f t="shared" si="12"/>
        <v>4.402366196569961</v>
      </c>
      <c r="O26" s="7">
        <f t="shared" si="13"/>
        <v>-6.835959475878461</v>
      </c>
      <c r="P26" s="7">
        <f t="shared" si="14"/>
        <v>6.1399561429834222</v>
      </c>
      <c r="Q26" s="7">
        <f t="shared" si="15"/>
        <v>7.0191805824572739E-2</v>
      </c>
      <c r="R26" s="7">
        <f t="shared" si="16"/>
        <v>0.55897748259282132</v>
      </c>
      <c r="S26" s="7">
        <f t="shared" si="17"/>
        <v>0.36592847056687638</v>
      </c>
      <c r="T26" s="17">
        <v>5.50331848909218E-2</v>
      </c>
      <c r="U26" s="17">
        <v>0.53385373128166391</v>
      </c>
      <c r="V26" s="17">
        <v>0.41205954274061996</v>
      </c>
      <c r="W26" s="18">
        <f t="shared" si="18"/>
        <v>2.9890624884541424E-3</v>
      </c>
      <c r="X26" s="19">
        <f t="shared" si="23"/>
        <v>-3.0763599057435087E-2</v>
      </c>
      <c r="Y26" s="19">
        <f t="shared" si="23"/>
        <v>-1.4771312582720242E-2</v>
      </c>
      <c r="Z26" s="19">
        <f t="shared" si="23"/>
        <v>4.5821151159708862E-2</v>
      </c>
      <c r="AA26" s="18">
        <f t="shared" si="20"/>
        <v>1.8361041163901504E-4</v>
      </c>
      <c r="AB26" s="18">
        <f t="shared" si="21"/>
        <v>2.8037205729142587E-5</v>
      </c>
      <c r="AC26" s="18">
        <f t="shared" si="22"/>
        <v>7.2957468122683154E-5</v>
      </c>
      <c r="AD26" s="18">
        <f t="shared" si="24"/>
        <v>2.4031966976301169E-5</v>
      </c>
      <c r="AF26" s="22" t="s">
        <v>70</v>
      </c>
      <c r="AG26" s="22">
        <v>6.6692555474633736E-2</v>
      </c>
      <c r="AH26">
        <v>6.6692555474633736E-2</v>
      </c>
    </row>
    <row r="27" spans="1:44">
      <c r="A27" s="6">
        <v>25</v>
      </c>
      <c r="B27" s="7">
        <f t="shared" si="0"/>
        <v>-187.15413131402639</v>
      </c>
      <c r="C27" s="7">
        <f t="shared" si="1"/>
        <v>5.2479961156605013E-82</v>
      </c>
      <c r="D27" s="7">
        <f t="shared" si="2"/>
        <v>-4.7908518076447066</v>
      </c>
      <c r="E27" s="7">
        <f t="shared" si="3"/>
        <v>-2.2995980672046148</v>
      </c>
      <c r="F27" s="7">
        <f t="shared" si="4"/>
        <v>-2.2995980672046148</v>
      </c>
      <c r="G27" s="7">
        <f t="shared" si="5"/>
        <v>-0.78517390148512267</v>
      </c>
      <c r="H27" s="7">
        <f t="shared" si="6"/>
        <v>-0.65566636935379885</v>
      </c>
      <c r="I27" s="7">
        <f t="shared" si="7"/>
        <v>0.23343569962651411</v>
      </c>
      <c r="J27" s="7">
        <f t="shared" si="8"/>
        <v>10.279826277424922</v>
      </c>
      <c r="K27" s="7">
        <f t="shared" si="9"/>
        <v>-3.8431096516915066</v>
      </c>
      <c r="L27" s="7">
        <f t="shared" si="10"/>
        <v>-0.70771168494444336</v>
      </c>
      <c r="M27" s="7">
        <f t="shared" si="11"/>
        <v>-0.60923988487286551</v>
      </c>
      <c r="N27" s="7">
        <f t="shared" si="12"/>
        <v>4.6032881530454342</v>
      </c>
      <c r="O27" s="7">
        <f t="shared" si="13"/>
        <v>-7.4434922072984708</v>
      </c>
      <c r="P27" s="7">
        <f t="shared" si="14"/>
        <v>6.5555871216667851</v>
      </c>
      <c r="Q27" s="7">
        <f t="shared" si="15"/>
        <v>4.5872045027241626E-2</v>
      </c>
      <c r="R27" s="7">
        <f t="shared" si="16"/>
        <v>0.53673600292183643</v>
      </c>
      <c r="S27" s="7">
        <f t="shared" si="17"/>
        <v>0.41287940277066415</v>
      </c>
      <c r="T27" s="17">
        <v>4.1882891498532304E-2</v>
      </c>
      <c r="U27" s="17">
        <v>0.51004856673586696</v>
      </c>
      <c r="V27" s="17">
        <v>0.44388223355148898</v>
      </c>
      <c r="W27" s="18">
        <f t="shared" si="18"/>
        <v>1.6893081124802665E-3</v>
      </c>
      <c r="X27" s="19">
        <f t="shared" si="23"/>
        <v>-2.4319760797331114E-2</v>
      </c>
      <c r="Y27" s="19">
        <f t="shared" si="23"/>
        <v>-2.2241479670984887E-2</v>
      </c>
      <c r="Z27" s="19">
        <f t="shared" si="23"/>
        <v>4.6950932203787765E-2</v>
      </c>
      <c r="AA27" s="18">
        <f t="shared" si="20"/>
        <v>1.8273776152710232E-4</v>
      </c>
      <c r="AB27" s="18">
        <f t="shared" si="21"/>
        <v>7.5796056007552953E-6</v>
      </c>
      <c r="AC27" s="18">
        <f t="shared" si="22"/>
        <v>1.2442591664491742E-4</v>
      </c>
      <c r="AD27" s="18">
        <f t="shared" si="24"/>
        <v>2.0363101006755133E-5</v>
      </c>
      <c r="AF27" s="22" t="s">
        <v>71</v>
      </c>
      <c r="AG27" s="22">
        <v>0.43871611607885924</v>
      </c>
      <c r="AH27">
        <v>0.43871611607885924</v>
      </c>
    </row>
    <row r="28" spans="1:44">
      <c r="A28" s="6">
        <v>26</v>
      </c>
      <c r="B28" s="7">
        <f t="shared" si="0"/>
        <v>-194.26832154912751</v>
      </c>
      <c r="C28" s="7">
        <f t="shared" si="1"/>
        <v>4.2691355326154711E-85</v>
      </c>
      <c r="D28" s="7">
        <f t="shared" si="2"/>
        <v>-4.7908518076447066</v>
      </c>
      <c r="E28" s="7">
        <f t="shared" si="3"/>
        <v>-2.2995980672046148</v>
      </c>
      <c r="F28" s="7">
        <f t="shared" si="4"/>
        <v>-2.2995980672046148</v>
      </c>
      <c r="G28" s="7">
        <f t="shared" si="5"/>
        <v>-0.8846557254107863</v>
      </c>
      <c r="H28" s="7">
        <f t="shared" si="6"/>
        <v>-0.70874404470536256</v>
      </c>
      <c r="I28" s="7">
        <f t="shared" si="7"/>
        <v>3.5693264592803864E-2</v>
      </c>
      <c r="J28" s="7">
        <f t="shared" si="8"/>
        <v>10.793660564989885</v>
      </c>
      <c r="K28" s="7">
        <f t="shared" si="9"/>
        <v>-4.1667783353701813</v>
      </c>
      <c r="L28" s="7">
        <f t="shared" si="10"/>
        <v>-0.80221368315245711</v>
      </c>
      <c r="M28" s="7">
        <f t="shared" si="11"/>
        <v>-0.66527252274002724</v>
      </c>
      <c r="N28" s="7">
        <f t="shared" si="12"/>
        <v>4.7823950816087031</v>
      </c>
      <c r="O28" s="7">
        <f t="shared" si="13"/>
        <v>-7.9850622946849832</v>
      </c>
      <c r="P28" s="7">
        <f t="shared" si="14"/>
        <v>6.9260911189081709</v>
      </c>
      <c r="Q28" s="7">
        <f t="shared" si="15"/>
        <v>2.7236538556800305E-2</v>
      </c>
      <c r="R28" s="7">
        <f t="shared" si="16"/>
        <v>0.50900020310028715</v>
      </c>
      <c r="S28" s="7">
        <f t="shared" si="17"/>
        <v>0.4597147163333748</v>
      </c>
      <c r="T28" s="17">
        <v>2.6899076645389701E-2</v>
      </c>
      <c r="U28" s="17">
        <v>0.48054748715594703</v>
      </c>
      <c r="V28" s="17">
        <v>0.487722954635535</v>
      </c>
      <c r="W28" s="18">
        <f t="shared" si="18"/>
        <v>1.5941323379415535E-3</v>
      </c>
      <c r="X28" s="19">
        <f t="shared" si="23"/>
        <v>-1.8635506470441321E-2</v>
      </c>
      <c r="Y28" s="19">
        <f t="shared" si="23"/>
        <v>-2.7735799821549278E-2</v>
      </c>
      <c r="Z28" s="19">
        <f t="shared" si="23"/>
        <v>4.6835313562710645E-2</v>
      </c>
      <c r="AA28" s="18">
        <f t="shared" si="20"/>
        <v>1.5758804895822369E-4</v>
      </c>
      <c r="AB28" s="18">
        <f t="shared" si="21"/>
        <v>1.6544609857701276E-8</v>
      </c>
      <c r="AC28" s="18">
        <f t="shared" si="22"/>
        <v>1.6612088912602258E-4</v>
      </c>
      <c r="AD28" s="18">
        <f t="shared" si="24"/>
        <v>1.6390692402991944E-5</v>
      </c>
      <c r="AF28" s="22"/>
      <c r="AG28" s="22"/>
    </row>
    <row r="29" spans="1:44">
      <c r="A29" s="6">
        <v>27</v>
      </c>
      <c r="B29" s="7">
        <f t="shared" si="0"/>
        <v>-201.38251178422863</v>
      </c>
      <c r="C29" s="7">
        <f t="shared" si="1"/>
        <v>3.4728528364290071E-88</v>
      </c>
      <c r="D29" s="7">
        <f t="shared" si="2"/>
        <v>-4.7908518076447066</v>
      </c>
      <c r="E29" s="7">
        <f t="shared" si="3"/>
        <v>-2.2995980672046148</v>
      </c>
      <c r="F29" s="7">
        <f t="shared" si="4"/>
        <v>-2.2995980672046148</v>
      </c>
      <c r="G29" s="7">
        <f t="shared" si="5"/>
        <v>-0.98413754933644992</v>
      </c>
      <c r="H29" s="7">
        <f t="shared" si="6"/>
        <v>-0.75485144216257516</v>
      </c>
      <c r="I29" s="7">
        <f t="shared" si="7"/>
        <v>-0.13608119587229073</v>
      </c>
      <c r="J29" s="7">
        <f t="shared" si="8"/>
        <v>11.240016995767586</v>
      </c>
      <c r="K29" s="7">
        <f t="shared" si="9"/>
        <v>-4.4479421305812279</v>
      </c>
      <c r="L29" s="7">
        <f t="shared" si="10"/>
        <v>-0.89671568136047131</v>
      </c>
      <c r="M29" s="7">
        <f t="shared" si="11"/>
        <v>-0.71469491316015799</v>
      </c>
      <c r="N29" s="7">
        <f t="shared" si="12"/>
        <v>4.9403725191762478</v>
      </c>
      <c r="O29" s="7">
        <f t="shared" si="13"/>
        <v>-8.4627426131118035</v>
      </c>
      <c r="P29" s="7">
        <f t="shared" si="14"/>
        <v>7.2528862494050381</v>
      </c>
      <c r="Q29" s="7">
        <f t="shared" si="15"/>
        <v>1.3439515659250389E-2</v>
      </c>
      <c r="R29" s="7">
        <f t="shared" si="16"/>
        <v>0.47767631545116807</v>
      </c>
      <c r="S29" s="7">
        <f t="shared" si="17"/>
        <v>0.50534605161919544</v>
      </c>
      <c r="T29" s="17">
        <v>2.8643066551244298E-2</v>
      </c>
      <c r="U29" s="17">
        <v>0.45621581041098197</v>
      </c>
      <c r="V29" s="17">
        <v>0.51359201939365806</v>
      </c>
      <c r="W29" s="18">
        <f t="shared" si="18"/>
        <v>7.596972208427777E-4</v>
      </c>
      <c r="X29" s="19">
        <f t="shared" si="23"/>
        <v>-1.3797022897549915E-2</v>
      </c>
      <c r="Y29" s="19">
        <f t="shared" si="23"/>
        <v>-3.1323887649119087E-2</v>
      </c>
      <c r="Z29" s="19">
        <f t="shared" si="23"/>
        <v>4.563133528582064E-2</v>
      </c>
      <c r="AA29" s="18">
        <f t="shared" si="20"/>
        <v>1.2057314229448217E-4</v>
      </c>
      <c r="AB29" s="18">
        <f t="shared" si="21"/>
        <v>5.2115234918138375E-6</v>
      </c>
      <c r="AC29" s="18">
        <f t="shared" si="22"/>
        <v>1.8971980107139078E-4</v>
      </c>
      <c r="AD29" s="18">
        <f t="shared" si="24"/>
        <v>1.2518273819004455E-5</v>
      </c>
      <c r="AF29" s="22"/>
      <c r="AG29" s="22"/>
    </row>
    <row r="30" spans="1:44">
      <c r="A30" s="6">
        <v>28</v>
      </c>
      <c r="B30" s="7">
        <f t="shared" si="0"/>
        <v>-208.49670201932975</v>
      </c>
      <c r="C30" s="7">
        <f t="shared" si="1"/>
        <v>2.8250934483928298E-91</v>
      </c>
      <c r="D30" s="7">
        <f t="shared" si="2"/>
        <v>-4.7908518076447066</v>
      </c>
      <c r="E30" s="7">
        <f t="shared" si="3"/>
        <v>-2.2995980672046148</v>
      </c>
      <c r="F30" s="7">
        <f t="shared" si="4"/>
        <v>-2.2995980672046148</v>
      </c>
      <c r="G30" s="7">
        <f t="shared" si="5"/>
        <v>-1.0836193732621135</v>
      </c>
      <c r="H30" s="7">
        <f t="shared" si="6"/>
        <v>-0.79453743999272819</v>
      </c>
      <c r="I30" s="7">
        <f t="shared" si="7"/>
        <v>-0.28393254383916844</v>
      </c>
      <c r="J30" s="7">
        <f t="shared" si="8"/>
        <v>11.624209149743686</v>
      </c>
      <c r="K30" s="7">
        <f t="shared" si="9"/>
        <v>-4.6899481075400873</v>
      </c>
      <c r="L30" s="7">
        <f t="shared" si="10"/>
        <v>-0.99121767956848505</v>
      </c>
      <c r="M30" s="7">
        <f t="shared" si="11"/>
        <v>-0.75788106694348845</v>
      </c>
      <c r="N30" s="7">
        <f t="shared" si="12"/>
        <v>5.0784159819689645</v>
      </c>
      <c r="O30" s="7">
        <f t="shared" si="13"/>
        <v>-8.8801480747959936</v>
      </c>
      <c r="P30" s="7">
        <f t="shared" si="14"/>
        <v>7.5384455807386503</v>
      </c>
      <c r="Q30" s="7">
        <f t="shared" si="15"/>
        <v>3.6316304850894099E-3</v>
      </c>
      <c r="R30" s="7">
        <f t="shared" si="16"/>
        <v>0.44446300774307801</v>
      </c>
      <c r="S30" s="7">
        <f t="shared" si="17"/>
        <v>0.54889940599394826</v>
      </c>
      <c r="T30" s="17">
        <v>1.8585382566350301E-2</v>
      </c>
      <c r="U30" s="17">
        <v>0.43462182741029998</v>
      </c>
      <c r="V30" s="17">
        <v>0.547713142498501</v>
      </c>
      <c r="W30" s="18">
        <f t="shared" si="18"/>
        <v>3.2187075273070229E-4</v>
      </c>
      <c r="X30" s="19">
        <f t="shared" si="23"/>
        <v>-9.8078851741609796E-3</v>
      </c>
      <c r="Y30" s="19">
        <f t="shared" si="23"/>
        <v>-3.3213307708090056E-2</v>
      </c>
      <c r="Z30" s="19">
        <f t="shared" si="23"/>
        <v>4.3553354374752828E-2</v>
      </c>
      <c r="AA30" s="18">
        <f t="shared" si="20"/>
        <v>8.2805310729320655E-5</v>
      </c>
      <c r="AB30" s="18">
        <f t="shared" si="21"/>
        <v>1.8310497728032322E-5</v>
      </c>
      <c r="AC30" s="18">
        <f t="shared" si="22"/>
        <v>1.9351538054203067E-4</v>
      </c>
      <c r="AD30" s="18">
        <f t="shared" si="24"/>
        <v>9.0357701385961103E-6</v>
      </c>
      <c r="AF30" s="22"/>
      <c r="AG30" s="22"/>
    </row>
    <row r="31" spans="1:44">
      <c r="A31" s="6">
        <v>29</v>
      </c>
      <c r="B31" s="7">
        <f t="shared" si="0"/>
        <v>-215.61089225443087</v>
      </c>
      <c r="C31" s="7">
        <f t="shared" si="1"/>
        <v>2.2981546780308672E-94</v>
      </c>
      <c r="D31" s="7">
        <f t="shared" si="2"/>
        <v>-4.7908518076447066</v>
      </c>
      <c r="E31" s="7">
        <f t="shared" si="3"/>
        <v>-2.2995980672046148</v>
      </c>
      <c r="F31" s="7">
        <f t="shared" si="4"/>
        <v>-2.2995980672046148</v>
      </c>
      <c r="G31" s="7">
        <f t="shared" si="5"/>
        <v>-1.1831011971877772</v>
      </c>
      <c r="H31" s="7">
        <f t="shared" si="6"/>
        <v>-0.82842698635907508</v>
      </c>
      <c r="I31" s="7">
        <f t="shared" si="7"/>
        <v>-0.4101890420049612</v>
      </c>
      <c r="J31" s="7">
        <f t="shared" si="8"/>
        <v>11.95228702424952</v>
      </c>
      <c r="K31" s="7">
        <f t="shared" si="9"/>
        <v>-4.8966072121487398</v>
      </c>
      <c r="L31" s="7">
        <f t="shared" si="10"/>
        <v>-1.0857196777764992</v>
      </c>
      <c r="M31" s="7">
        <f t="shared" si="11"/>
        <v>-0.79531055252460325</v>
      </c>
      <c r="N31" s="7">
        <f t="shared" si="12"/>
        <v>5.1980583985196489</v>
      </c>
      <c r="O31" s="7">
        <f t="shared" si="13"/>
        <v>-9.2419138339782201</v>
      </c>
      <c r="P31" s="7">
        <f t="shared" si="14"/>
        <v>7.7859401580128553</v>
      </c>
      <c r="Q31" s="7">
        <f t="shared" si="15"/>
        <v>-2.9824511300189371E-3</v>
      </c>
      <c r="R31" s="7">
        <f t="shared" si="16"/>
        <v>0.41077512306668496</v>
      </c>
      <c r="S31" s="7">
        <f t="shared" si="17"/>
        <v>0.58973487865950069</v>
      </c>
      <c r="T31" s="17">
        <v>1.6441050975567299E-2</v>
      </c>
      <c r="U31" s="17">
        <v>0.40770546813070097</v>
      </c>
      <c r="V31" s="17">
        <v>0.57331041777418701</v>
      </c>
      <c r="W31" s="18">
        <f t="shared" si="18"/>
        <v>6.5645813084492307E-4</v>
      </c>
      <c r="X31" s="19">
        <f t="shared" si="23"/>
        <v>-6.614081615108347E-3</v>
      </c>
      <c r="Y31" s="19">
        <f t="shared" si="23"/>
        <v>-3.3687884676393054E-2</v>
      </c>
      <c r="Z31" s="19">
        <f t="shared" si="23"/>
        <v>4.083547266555243E-2</v>
      </c>
      <c r="AA31" s="18">
        <f t="shared" si="20"/>
        <v>5.1144811415162047E-5</v>
      </c>
      <c r="AB31" s="18">
        <f t="shared" si="21"/>
        <v>3.311730340305454E-5</v>
      </c>
      <c r="AC31" s="18">
        <f t="shared" si="22"/>
        <v>1.806290299673237E-4</v>
      </c>
      <c r="AD31" s="18">
        <f t="shared" si="24"/>
        <v>6.1130060545155804E-6</v>
      </c>
      <c r="AF31" s="22"/>
      <c r="AG31" s="22"/>
    </row>
    <row r="32" spans="1:44">
      <c r="A32" s="6">
        <v>30</v>
      </c>
      <c r="B32" s="7">
        <f t="shared" si="0"/>
        <v>-222.72508248953201</v>
      </c>
      <c r="C32" s="7">
        <f t="shared" si="1"/>
        <v>1.8695009636440932E-97</v>
      </c>
      <c r="D32" s="7">
        <f t="shared" si="2"/>
        <v>-4.7908518076447066</v>
      </c>
      <c r="E32" s="7">
        <f t="shared" si="3"/>
        <v>-2.2995980672046148</v>
      </c>
      <c r="F32" s="7">
        <f t="shared" si="4"/>
        <v>-2.2995980672046148</v>
      </c>
      <c r="G32" s="7">
        <f t="shared" si="5"/>
        <v>-1.2825830211134408</v>
      </c>
      <c r="H32" s="7">
        <f t="shared" si="6"/>
        <v>-0.8571715983711371</v>
      </c>
      <c r="I32" s="7">
        <f t="shared" si="7"/>
        <v>-0.51727793645476172</v>
      </c>
      <c r="J32" s="7">
        <f t="shared" si="8"/>
        <v>12.230557825235421</v>
      </c>
      <c r="K32" s="7">
        <f t="shared" si="9"/>
        <v>-5.0718924082537766</v>
      </c>
      <c r="L32" s="7">
        <f t="shared" si="10"/>
        <v>-1.180221675984513</v>
      </c>
      <c r="M32" s="7">
        <f t="shared" si="11"/>
        <v>-0.82752149790871166</v>
      </c>
      <c r="N32" s="7">
        <f t="shared" si="12"/>
        <v>5.3010198815671563</v>
      </c>
      <c r="O32" s="7">
        <f t="shared" si="13"/>
        <v>-9.5532410384519757</v>
      </c>
      <c r="P32" s="7">
        <f t="shared" si="14"/>
        <v>7.9989282391385217</v>
      </c>
      <c r="Q32" s="7">
        <f t="shared" si="15"/>
        <v>-7.1098625323120501E-3</v>
      </c>
      <c r="R32" s="7">
        <f t="shared" si="16"/>
        <v>0.37771871957883008</v>
      </c>
      <c r="S32" s="7">
        <f t="shared" si="17"/>
        <v>0.62743776368013027</v>
      </c>
      <c r="T32" s="17">
        <v>1.6927265894710001E-2</v>
      </c>
      <c r="U32" s="17">
        <v>0.38076372682378795</v>
      </c>
      <c r="V32" s="17">
        <v>0.602138744531867</v>
      </c>
      <c r="W32" s="18">
        <f t="shared" si="18"/>
        <v>1.2270959820031889E-3</v>
      </c>
      <c r="X32" s="19">
        <f t="shared" si="23"/>
        <v>-4.127411402293113E-3</v>
      </c>
      <c r="Y32" s="19">
        <f t="shared" si="23"/>
        <v>-3.305640348785488E-2</v>
      </c>
      <c r="Z32" s="19">
        <f t="shared" si="23"/>
        <v>3.7702885020629573E-2</v>
      </c>
      <c r="AA32" s="18">
        <f t="shared" si="20"/>
        <v>2.8149347764657401E-5</v>
      </c>
      <c r="AB32" s="18">
        <f t="shared" si="21"/>
        <v>4.4718541382231276E-5</v>
      </c>
      <c r="AC32" s="18">
        <f t="shared" si="22"/>
        <v>1.5654659965350361E-4</v>
      </c>
      <c r="AD32" s="18">
        <f t="shared" si="24"/>
        <v>3.8156905855600444E-6</v>
      </c>
    </row>
    <row r="33" spans="1:30">
      <c r="A33" s="6">
        <v>31</v>
      </c>
      <c r="B33" s="7">
        <f t="shared" si="0"/>
        <v>-229.83927272463313</v>
      </c>
      <c r="C33" s="7">
        <f t="shared" si="1"/>
        <v>1.5208000951706826E-100</v>
      </c>
      <c r="D33" s="7">
        <f t="shared" si="2"/>
        <v>-4.7908518076447066</v>
      </c>
      <c r="E33" s="7">
        <f t="shared" si="3"/>
        <v>-2.2995980672046148</v>
      </c>
      <c r="F33" s="7">
        <f t="shared" si="4"/>
        <v>-2.2995980672046148</v>
      </c>
      <c r="G33" s="7">
        <f t="shared" si="5"/>
        <v>-1.3820648450391044</v>
      </c>
      <c r="H33" s="7">
        <f t="shared" si="6"/>
        <v>-0.88141279799840699</v>
      </c>
      <c r="I33" s="7">
        <f t="shared" si="7"/>
        <v>-0.60758923608656445</v>
      </c>
      <c r="J33" s="7">
        <f t="shared" si="8"/>
        <v>12.465231997713687</v>
      </c>
      <c r="K33" s="7">
        <f t="shared" si="9"/>
        <v>-5.2197157091459339</v>
      </c>
      <c r="L33" s="7">
        <f t="shared" si="10"/>
        <v>-1.2747236741925272</v>
      </c>
      <c r="M33" s="7">
        <f t="shared" si="11"/>
        <v>-0.85507275647401215</v>
      </c>
      <c r="N33" s="7">
        <f t="shared" si="12"/>
        <v>5.3890867919878662</v>
      </c>
      <c r="O33" s="7">
        <f t="shared" si="13"/>
        <v>-9.81953115215663</v>
      </c>
      <c r="P33" s="7">
        <f t="shared" si="14"/>
        <v>8.1811051241831798</v>
      </c>
      <c r="Q33" s="7">
        <f t="shared" si="15"/>
        <v>-9.3542517434048733E-3</v>
      </c>
      <c r="R33" s="7">
        <f t="shared" si="16"/>
        <v>0.34610277835244219</v>
      </c>
      <c r="S33" s="7">
        <f t="shared" si="17"/>
        <v>0.66179134783263116</v>
      </c>
      <c r="T33" s="17">
        <v>5.5360201456173194E-3</v>
      </c>
      <c r="U33" s="17">
        <v>0.35516465630493699</v>
      </c>
      <c r="V33" s="17">
        <v>0.624921752972462</v>
      </c>
      <c r="W33" s="18">
        <f t="shared" si="18"/>
        <v>1.6632048541079284E-3</v>
      </c>
      <c r="X33" s="19">
        <f t="shared" si="23"/>
        <v>-2.2443892110928232E-3</v>
      </c>
      <c r="Y33" s="19">
        <f t="shared" si="23"/>
        <v>-3.1615941226387889E-2</v>
      </c>
      <c r="Z33" s="19">
        <f t="shared" si="23"/>
        <v>3.4353584152500893E-2</v>
      </c>
      <c r="AA33" s="18">
        <f t="shared" si="20"/>
        <v>1.3430369862911132E-5</v>
      </c>
      <c r="AB33" s="18">
        <f t="shared" si="21"/>
        <v>5.0596259743623536E-5</v>
      </c>
      <c r="AC33" s="18">
        <f t="shared" si="22"/>
        <v>1.2703781710259759E-4</v>
      </c>
      <c r="AD33" s="18">
        <f t="shared" si="24"/>
        <v>2.1319666460929517E-6</v>
      </c>
    </row>
    <row r="34" spans="1:30">
      <c r="A34" s="6">
        <v>32</v>
      </c>
      <c r="B34" s="7">
        <f t="shared" si="0"/>
        <v>-236.95346295973425</v>
      </c>
      <c r="C34" s="7">
        <f t="shared" si="1"/>
        <v>1.2371392015561772E-103</v>
      </c>
      <c r="D34" s="7">
        <f t="shared" si="2"/>
        <v>-4.7908518076447066</v>
      </c>
      <c r="E34" s="7">
        <f t="shared" si="3"/>
        <v>-2.2995980672046148</v>
      </c>
      <c r="F34" s="7">
        <f t="shared" si="4"/>
        <v>-2.2995980672046148</v>
      </c>
      <c r="G34" s="7">
        <f t="shared" si="5"/>
        <v>-1.4815466689647681</v>
      </c>
      <c r="H34" s="7">
        <f t="shared" si="6"/>
        <v>-0.9017573610221592</v>
      </c>
      <c r="I34" s="7">
        <f t="shared" si="7"/>
        <v>-0.68338350185587382</v>
      </c>
      <c r="J34" s="7">
        <f t="shared" si="8"/>
        <v>12.662183615844835</v>
      </c>
      <c r="K34" s="7">
        <f t="shared" si="9"/>
        <v>-5.3437772451928716</v>
      </c>
      <c r="L34" s="7">
        <f t="shared" si="10"/>
        <v>-1.3692256724005409</v>
      </c>
      <c r="M34" s="7">
        <f t="shared" si="11"/>
        <v>-0.87851560397072215</v>
      </c>
      <c r="N34" s="7">
        <f t="shared" si="12"/>
        <v>5.4640212689594314</v>
      </c>
      <c r="O34" s="7">
        <f t="shared" si="13"/>
        <v>-10.046112399276934</v>
      </c>
      <c r="P34" s="7">
        <f t="shared" si="14"/>
        <v>8.3361160077479077</v>
      </c>
      <c r="Q34" s="7">
        <f t="shared" si="15"/>
        <v>-1.0214040541148606E-2</v>
      </c>
      <c r="R34" s="7">
        <f t="shared" si="16"/>
        <v>0.31647314936328641</v>
      </c>
      <c r="S34" s="7">
        <f t="shared" si="17"/>
        <v>0.69274069535042138</v>
      </c>
      <c r="T34" s="17">
        <v>5.5516744239331806E-3</v>
      </c>
      <c r="U34" s="17">
        <v>0.33275256354035898</v>
      </c>
      <c r="V34" s="17">
        <v>0.65513191440359508</v>
      </c>
      <c r="W34" s="18">
        <f t="shared" si="18"/>
        <v>1.9279974986152397E-3</v>
      </c>
      <c r="X34" s="19">
        <f t="shared" si="23"/>
        <v>-8.597887977437324E-4</v>
      </c>
      <c r="Y34" s="19">
        <f t="shared" si="23"/>
        <v>-2.9629628989155776E-2</v>
      </c>
      <c r="Z34" s="19">
        <f t="shared" si="23"/>
        <v>3.0949347517790216E-2</v>
      </c>
      <c r="AA34" s="18">
        <f t="shared" si="20"/>
        <v>5.1889436553008424E-6</v>
      </c>
      <c r="AB34" s="18">
        <f t="shared" si="21"/>
        <v>5.0482295673376972E-5</v>
      </c>
      <c r="AC34" s="18">
        <f t="shared" si="22"/>
        <v>9.6883555399468631E-5</v>
      </c>
      <c r="AD34" s="18">
        <f t="shared" si="24"/>
        <v>1.0003916932300258E-6</v>
      </c>
    </row>
    <row r="35" spans="1:30">
      <c r="A35" s="6">
        <v>33</v>
      </c>
      <c r="B35" s="7">
        <f t="shared" si="0"/>
        <v>-244.06765319483537</v>
      </c>
      <c r="C35" s="7">
        <f t="shared" si="1"/>
        <v>1.0063869728093901E-106</v>
      </c>
      <c r="D35" s="7">
        <f t="shared" si="2"/>
        <v>-4.7908518076447066</v>
      </c>
      <c r="E35" s="7">
        <f t="shared" si="3"/>
        <v>-2.2995980672046148</v>
      </c>
      <c r="F35" s="7">
        <f t="shared" si="4"/>
        <v>-2.2995980672046148</v>
      </c>
      <c r="G35" s="7">
        <f t="shared" si="5"/>
        <v>-1.5810284928904317</v>
      </c>
      <c r="H35" s="7">
        <f t="shared" si="6"/>
        <v>-0.91876236150679824</v>
      </c>
      <c r="I35" s="7">
        <f t="shared" si="7"/>
        <v>-0.7467361295154209</v>
      </c>
      <c r="J35" s="7">
        <f t="shared" si="8"/>
        <v>12.826805601476106</v>
      </c>
      <c r="K35" s="7">
        <f t="shared" si="9"/>
        <v>-5.4474740647382323</v>
      </c>
      <c r="L35" s="7">
        <f t="shared" si="10"/>
        <v>-1.4637276706085547</v>
      </c>
      <c r="M35" s="7">
        <f t="shared" si="11"/>
        <v>-0.89837416782952029</v>
      </c>
      <c r="N35" s="7">
        <f t="shared" si="12"/>
        <v>5.5274986727336231</v>
      </c>
      <c r="O35" s="7">
        <f t="shared" si="13"/>
        <v>-10.238050608394925</v>
      </c>
      <c r="P35" s="7">
        <f t="shared" si="14"/>
        <v>8.4674265718980575</v>
      </c>
      <c r="Q35" s="7">
        <f t="shared" si="15"/>
        <v>-1.0089264426504485E-2</v>
      </c>
      <c r="R35" s="7">
        <f t="shared" si="16"/>
        <v>0.28915692587656672</v>
      </c>
      <c r="S35" s="7">
        <f t="shared" si="17"/>
        <v>0.72035443995521042</v>
      </c>
      <c r="T35" s="17">
        <v>1.2931474477337201E-2</v>
      </c>
      <c r="U35" s="17">
        <v>0.31162242112024097</v>
      </c>
      <c r="V35" s="17">
        <v>0.68166378325101906</v>
      </c>
      <c r="W35" s="18">
        <f t="shared" si="18"/>
        <v>2.5316198124239885E-3</v>
      </c>
      <c r="X35" s="19">
        <f t="shared" si="23"/>
        <v>1.2477611464412064E-4</v>
      </c>
      <c r="Y35" s="19">
        <f t="shared" si="23"/>
        <v>-2.7316223486719693E-2</v>
      </c>
      <c r="Z35" s="19">
        <f t="shared" si="23"/>
        <v>2.7613744604789048E-2</v>
      </c>
      <c r="AA35" s="18">
        <f t="shared" ref="AA35:AA61" si="25">(X35+$AG$27*Q35*R35)^2</f>
        <v>1.3343156346360729E-6</v>
      </c>
      <c r="AB35" s="18">
        <f t="shared" ref="AB35:AB61" si="26">(Y35-$AG$27*Q35*R35+$AG$26*R35)^2</f>
        <v>4.5585550697477296E-5</v>
      </c>
      <c r="AC35" s="18">
        <f t="shared" ref="AC35:AC61" si="27">(Z35-$AG$26*R35)^2</f>
        <v>6.937441130269785E-5</v>
      </c>
      <c r="AD35" s="18">
        <f t="shared" si="24"/>
        <v>3.3396678578783906E-7</v>
      </c>
    </row>
    <row r="36" spans="1:30">
      <c r="A36" s="6">
        <v>34</v>
      </c>
      <c r="B36" s="7">
        <f t="shared" si="0"/>
        <v>-251.18184342993649</v>
      </c>
      <c r="C36" s="7">
        <f t="shared" si="1"/>
        <v>8.1867484092852688E-110</v>
      </c>
      <c r="D36" s="7">
        <f t="shared" si="2"/>
        <v>-4.7908518076447066</v>
      </c>
      <c r="E36" s="7">
        <f t="shared" si="3"/>
        <v>-2.2995980672046148</v>
      </c>
      <c r="F36" s="7">
        <f t="shared" si="4"/>
        <v>-2.2995980672046148</v>
      </c>
      <c r="G36" s="7">
        <f t="shared" si="5"/>
        <v>-1.6805103168160953</v>
      </c>
      <c r="H36" s="7">
        <f t="shared" si="6"/>
        <v>-0.93292774538757473</v>
      </c>
      <c r="I36" s="7">
        <f t="shared" si="7"/>
        <v>-0.79950968229855901</v>
      </c>
      <c r="J36" s="7">
        <f t="shared" si="8"/>
        <v>12.9639378305395</v>
      </c>
      <c r="K36" s="7">
        <f t="shared" si="9"/>
        <v>-5.5338548476969001</v>
      </c>
      <c r="L36" s="7">
        <f t="shared" si="10"/>
        <v>-1.5582296688165689</v>
      </c>
      <c r="M36" s="7">
        <f t="shared" si="11"/>
        <v>-0.91513318787902243</v>
      </c>
      <c r="N36" s="7">
        <f t="shared" si="12"/>
        <v>5.5810684620751969</v>
      </c>
      <c r="O36" s="7">
        <f t="shared" si="13"/>
        <v>-10.400030916625967</v>
      </c>
      <c r="P36" s="7">
        <f t="shared" si="14"/>
        <v>8.5782420564895485</v>
      </c>
      <c r="Q36" s="7">
        <f t="shared" si="15"/>
        <v>-9.2930278680691814E-3</v>
      </c>
      <c r="R36" s="7">
        <f t="shared" si="16"/>
        <v>0.26430884670891786</v>
      </c>
      <c r="S36" s="7">
        <f t="shared" si="17"/>
        <v>0.74478914158803367</v>
      </c>
      <c r="T36" s="17">
        <v>8.6066661943624695E-3</v>
      </c>
      <c r="U36" s="17">
        <v>0.29035002727487702</v>
      </c>
      <c r="V36" s="17">
        <v>0.69814062804294097</v>
      </c>
      <c r="W36" s="18">
        <f t="shared" si="18"/>
        <v>3.1746259487642368E-3</v>
      </c>
      <c r="X36" s="19">
        <f t="shared" si="23"/>
        <v>7.9623655843530372E-4</v>
      </c>
      <c r="Y36" s="19">
        <f t="shared" si="23"/>
        <v>-2.4848079167648862E-2</v>
      </c>
      <c r="Z36" s="19">
        <f t="shared" si="23"/>
        <v>2.4434701632823241E-2</v>
      </c>
      <c r="AA36" s="18">
        <f t="shared" si="25"/>
        <v>7.9158328063098778E-8</v>
      </c>
      <c r="AB36" s="18">
        <f t="shared" si="26"/>
        <v>3.7737177430437619E-5</v>
      </c>
      <c r="AC36" s="18">
        <f t="shared" si="27"/>
        <v>4.6338914114463156E-5</v>
      </c>
      <c r="AD36" s="18">
        <f t="shared" si="24"/>
        <v>3.8040434301761193E-8</v>
      </c>
    </row>
    <row r="37" spans="1:30">
      <c r="A37" s="6">
        <v>35</v>
      </c>
      <c r="B37" s="7">
        <f t="shared" si="0"/>
        <v>-258.29603366503761</v>
      </c>
      <c r="C37" s="7">
        <f t="shared" si="1"/>
        <v>6.6597493139082022E-113</v>
      </c>
      <c r="D37" s="7">
        <f t="shared" si="2"/>
        <v>-4.7908518076447066</v>
      </c>
      <c r="E37" s="7">
        <f t="shared" si="3"/>
        <v>-2.2995980672046148</v>
      </c>
      <c r="F37" s="7">
        <f t="shared" si="4"/>
        <v>-2.2995980672046148</v>
      </c>
      <c r="G37" s="7">
        <f t="shared" si="5"/>
        <v>-1.7799921407417589</v>
      </c>
      <c r="H37" s="7">
        <f t="shared" si="6"/>
        <v>-0.94469431007649607</v>
      </c>
      <c r="I37" s="7">
        <f t="shared" si="7"/>
        <v>-0.84334636388187212</v>
      </c>
      <c r="J37" s="7">
        <f t="shared" si="8"/>
        <v>13.07784757402341</v>
      </c>
      <c r="K37" s="7">
        <f t="shared" si="9"/>
        <v>-5.6056075851530434</v>
      </c>
      <c r="L37" s="7">
        <f t="shared" si="10"/>
        <v>-1.6527316670245826</v>
      </c>
      <c r="M37" s="7">
        <f t="shared" si="11"/>
        <v>-0.92923152078086535</v>
      </c>
      <c r="N37" s="7">
        <f t="shared" si="12"/>
        <v>5.6261334313507447</v>
      </c>
      <c r="O37" s="7">
        <f t="shared" si="13"/>
        <v>-10.536294988286421</v>
      </c>
      <c r="P37" s="7">
        <f t="shared" si="14"/>
        <v>8.6714643086161765</v>
      </c>
      <c r="Q37" s="7">
        <f t="shared" si="15"/>
        <v>-8.0647401758344728E-3</v>
      </c>
      <c r="R37" s="7">
        <f t="shared" si="16"/>
        <v>0.24195451853237415</v>
      </c>
      <c r="S37" s="7">
        <f t="shared" si="17"/>
        <v>0.7662586562585183</v>
      </c>
      <c r="T37" s="17">
        <v>7.3575980325581393E-3</v>
      </c>
      <c r="U37" s="17">
        <v>0.272509543831852</v>
      </c>
      <c r="V37" s="17">
        <v>0.71941411557586699</v>
      </c>
      <c r="W37" s="18">
        <f t="shared" si="18"/>
        <v>3.3658690786343517E-3</v>
      </c>
      <c r="X37" s="19">
        <f t="shared" si="23"/>
        <v>1.2282876922347086E-3</v>
      </c>
      <c r="Y37" s="19">
        <f t="shared" si="23"/>
        <v>-2.2354328176543703E-2</v>
      </c>
      <c r="Z37" s="19">
        <f t="shared" si="23"/>
        <v>2.1469514670484635E-2</v>
      </c>
      <c r="AA37" s="18">
        <f t="shared" si="25"/>
        <v>1.3854831782038067E-7</v>
      </c>
      <c r="AB37" s="18">
        <f t="shared" si="26"/>
        <v>2.8747785353063883E-5</v>
      </c>
      <c r="AC37" s="18">
        <f t="shared" si="27"/>
        <v>2.8440350592744596E-5</v>
      </c>
      <c r="AD37" s="18">
        <f t="shared" si="24"/>
        <v>2.2032834947410589E-8</v>
      </c>
    </row>
    <row r="38" spans="1:30">
      <c r="A38" s="6">
        <v>36</v>
      </c>
      <c r="B38" s="7">
        <f t="shared" si="0"/>
        <v>-265.4102239001387</v>
      </c>
      <c r="C38" s="7">
        <f t="shared" si="1"/>
        <v>5.417567354799672E-116</v>
      </c>
      <c r="D38" s="7">
        <f t="shared" si="2"/>
        <v>-4.7908518076447066</v>
      </c>
      <c r="E38" s="7">
        <f t="shared" si="3"/>
        <v>-2.2995980672046148</v>
      </c>
      <c r="F38" s="7">
        <f t="shared" si="4"/>
        <v>-2.2995980672046148</v>
      </c>
      <c r="G38" s="7">
        <f t="shared" si="5"/>
        <v>-1.8794739646674226</v>
      </c>
      <c r="H38" s="7">
        <f t="shared" si="6"/>
        <v>-0.95444530146411388</v>
      </c>
      <c r="I38" s="7">
        <f t="shared" si="7"/>
        <v>-0.87967396806213838</v>
      </c>
      <c r="J38" s="7">
        <f t="shared" si="8"/>
        <v>13.172244958225376</v>
      </c>
      <c r="K38" s="7">
        <f t="shared" si="9"/>
        <v>-5.6650693179076859</v>
      </c>
      <c r="L38" s="7">
        <f t="shared" si="10"/>
        <v>-1.7472336652325968</v>
      </c>
      <c r="M38" s="7">
        <f t="shared" si="11"/>
        <v>-0.94105987490726117</v>
      </c>
      <c r="N38" s="7">
        <f t="shared" si="12"/>
        <v>5.6639424701213255</v>
      </c>
      <c r="O38" s="7">
        <f t="shared" si="13"/>
        <v>-10.650619121893293</v>
      </c>
      <c r="P38" s="7">
        <f t="shared" si="14"/>
        <v>8.7496768049652829</v>
      </c>
      <c r="Q38" s="7">
        <f t="shared" si="15"/>
        <v>-6.583305585519561E-3</v>
      </c>
      <c r="R38" s="7">
        <f t="shared" si="16"/>
        <v>0.22202776912746813</v>
      </c>
      <c r="S38" s="7">
        <f t="shared" si="17"/>
        <v>0.78500941985298223</v>
      </c>
      <c r="T38" s="17">
        <v>2.8505374714209897E-3</v>
      </c>
      <c r="U38" s="17">
        <v>0.25622929206750999</v>
      </c>
      <c r="V38" s="17">
        <v>0.73983758563310398</v>
      </c>
      <c r="W38" s="18">
        <f t="shared" si="18"/>
        <v>3.2992361730293587E-3</v>
      </c>
      <c r="X38" s="19">
        <f t="shared" si="23"/>
        <v>1.4814345903149118E-3</v>
      </c>
      <c r="Y38" s="19">
        <f t="shared" si="23"/>
        <v>-1.9926749404906019E-2</v>
      </c>
      <c r="Z38" s="19">
        <f t="shared" si="23"/>
        <v>1.8750763594463926E-2</v>
      </c>
      <c r="AA38" s="18">
        <f t="shared" si="25"/>
        <v>7.0589148709279471E-7</v>
      </c>
      <c r="AB38" s="18">
        <f t="shared" si="26"/>
        <v>2.005148981979379E-5</v>
      </c>
      <c r="AC38" s="18">
        <f t="shared" si="27"/>
        <v>1.5548544578665848E-5</v>
      </c>
      <c r="AD38" s="18">
        <f t="shared" si="24"/>
        <v>2.0601013619390725E-7</v>
      </c>
    </row>
    <row r="39" spans="1:30">
      <c r="A39" s="6">
        <v>37</v>
      </c>
      <c r="B39" s="7">
        <f t="shared" si="0"/>
        <v>-272.52441413523985</v>
      </c>
      <c r="C39" s="7">
        <f t="shared" si="1"/>
        <v>4.4070782037538442E-119</v>
      </c>
      <c r="D39" s="7">
        <f t="shared" si="2"/>
        <v>-4.7908518076447066</v>
      </c>
      <c r="E39" s="7">
        <f t="shared" si="3"/>
        <v>-2.2995980672046148</v>
      </c>
      <c r="F39" s="7">
        <f t="shared" si="4"/>
        <v>-2.2995980672046148</v>
      </c>
      <c r="G39" s="7">
        <f t="shared" si="5"/>
        <v>-1.9789557885930862</v>
      </c>
      <c r="H39" s="7">
        <f t="shared" si="6"/>
        <v>-0.96251023038861894</v>
      </c>
      <c r="I39" s="7">
        <f t="shared" si="7"/>
        <v>-0.90972009712378821</v>
      </c>
      <c r="J39" s="7">
        <f t="shared" si="8"/>
        <v>13.250319911220901</v>
      </c>
      <c r="K39" s="7">
        <f t="shared" si="9"/>
        <v>-5.7142494093805443</v>
      </c>
      <c r="L39" s="7">
        <f t="shared" si="10"/>
        <v>-1.8417356634406106</v>
      </c>
      <c r="M39" s="7">
        <f t="shared" si="11"/>
        <v>-0.95096147243717322</v>
      </c>
      <c r="N39" s="7">
        <f t="shared" si="12"/>
        <v>5.6955926795163672</v>
      </c>
      <c r="O39" s="7">
        <f t="shared" si="13"/>
        <v>-10.746320649496782</v>
      </c>
      <c r="P39" s="7">
        <f t="shared" si="14"/>
        <v>8.8151490297890565</v>
      </c>
      <c r="Q39" s="7">
        <f t="shared" si="15"/>
        <v>-4.9792252521276836E-3</v>
      </c>
      <c r="R39" s="7">
        <f t="shared" si="16"/>
        <v>0.20440119451950345</v>
      </c>
      <c r="S39" s="7">
        <f t="shared" si="17"/>
        <v>0.8013015532038974</v>
      </c>
      <c r="T39" s="17">
        <v>-2.1838521820841201E-4</v>
      </c>
      <c r="U39" s="17">
        <v>0.23591031536785101</v>
      </c>
      <c r="V39" s="17">
        <v>0.75684413386429605</v>
      </c>
      <c r="W39" s="18">
        <f t="shared" si="18"/>
        <v>2.9919524288014995E-3</v>
      </c>
      <c r="X39" s="19">
        <f t="shared" si="23"/>
        <v>1.6040803333918774E-3</v>
      </c>
      <c r="Y39" s="19">
        <f t="shared" si="23"/>
        <v>-1.7626574607964685E-2</v>
      </c>
      <c r="Z39" s="19">
        <f t="shared" si="23"/>
        <v>1.6292133350915172E-2</v>
      </c>
      <c r="AA39" s="18">
        <f t="shared" si="25"/>
        <v>1.339974785597965E-6</v>
      </c>
      <c r="AB39" s="18">
        <f t="shared" si="26"/>
        <v>1.2588510276344632E-5</v>
      </c>
      <c r="AC39" s="18">
        <f t="shared" si="27"/>
        <v>7.0761072516292371E-6</v>
      </c>
      <c r="AD39" s="18">
        <f t="shared" si="24"/>
        <v>5.2348476643722586E-7</v>
      </c>
    </row>
    <row r="40" spans="1:30">
      <c r="A40" s="6">
        <v>38</v>
      </c>
      <c r="B40" s="7">
        <f t="shared" si="0"/>
        <v>-279.638604370341</v>
      </c>
      <c r="C40" s="7">
        <f t="shared" si="1"/>
        <v>3.5850663262718953E-122</v>
      </c>
      <c r="D40" s="7">
        <f t="shared" si="2"/>
        <v>-4.7908518076447066</v>
      </c>
      <c r="E40" s="7">
        <f t="shared" si="3"/>
        <v>-2.2995980672046148</v>
      </c>
      <c r="F40" s="7">
        <f t="shared" si="4"/>
        <v>-2.2995980672046148</v>
      </c>
      <c r="G40" s="7">
        <f t="shared" si="5"/>
        <v>-2.0784376125187496</v>
      </c>
      <c r="H40" s="7">
        <f t="shared" si="6"/>
        <v>-0.96916988021324568</v>
      </c>
      <c r="I40" s="7">
        <f t="shared" si="7"/>
        <v>-0.93453081771527913</v>
      </c>
      <c r="J40" s="7">
        <f t="shared" si="8"/>
        <v>13.314790640212021</v>
      </c>
      <c r="K40" s="7">
        <f t="shared" si="9"/>
        <v>-5.7548600819132165</v>
      </c>
      <c r="L40" s="7">
        <f t="shared" si="10"/>
        <v>-1.9362376616486248</v>
      </c>
      <c r="M40" s="7">
        <f t="shared" si="11"/>
        <v>-0.95923459360854346</v>
      </c>
      <c r="N40" s="7">
        <f t="shared" si="12"/>
        <v>5.722037504872417</v>
      </c>
      <c r="O40" s="7">
        <f t="shared" si="13"/>
        <v>-10.826282527542935</v>
      </c>
      <c r="P40" s="7">
        <f t="shared" si="14"/>
        <v>8.8698532982356326</v>
      </c>
      <c r="Q40" s="7">
        <f t="shared" si="15"/>
        <v>-3.3451204875687424E-3</v>
      </c>
      <c r="R40" s="7">
        <f t="shared" si="16"/>
        <v>0.18891004546447121</v>
      </c>
      <c r="S40" s="7">
        <f t="shared" si="17"/>
        <v>0.81539514911780131</v>
      </c>
      <c r="T40" s="17">
        <v>8.2348707294253292E-3</v>
      </c>
      <c r="U40" s="17">
        <v>0.22078107592961702</v>
      </c>
      <c r="V40" s="17">
        <v>0.7750441208199299</v>
      </c>
      <c r="W40" s="18">
        <f t="shared" si="18"/>
        <v>2.7780642641915309E-3</v>
      </c>
      <c r="X40" s="19">
        <f t="shared" si="23"/>
        <v>1.6341047645589413E-3</v>
      </c>
      <c r="Y40" s="19">
        <f t="shared" si="23"/>
        <v>-1.5491149055032238E-2</v>
      </c>
      <c r="Z40" s="19">
        <f t="shared" si="23"/>
        <v>1.4093595913903911E-2</v>
      </c>
      <c r="AA40" s="18">
        <f t="shared" si="25"/>
        <v>1.8410914896665867E-6</v>
      </c>
      <c r="AB40" s="18">
        <f t="shared" si="26"/>
        <v>6.8383236853553647E-6</v>
      </c>
      <c r="AC40" s="18">
        <f t="shared" si="27"/>
        <v>2.2341347475454891E-6</v>
      </c>
      <c r="AD40" s="18">
        <f t="shared" si="24"/>
        <v>9.2174226732127855E-7</v>
      </c>
    </row>
    <row r="41" spans="1:30">
      <c r="A41" s="6">
        <v>39</v>
      </c>
      <c r="B41" s="7">
        <f t="shared" si="0"/>
        <v>-286.75279460544209</v>
      </c>
      <c r="C41" s="7">
        <f t="shared" si="1"/>
        <v>2.9163767851502543E-125</v>
      </c>
      <c r="D41" s="7">
        <f t="shared" si="2"/>
        <v>-4.7908518076447066</v>
      </c>
      <c r="E41" s="7">
        <f t="shared" si="3"/>
        <v>-2.2995980672046148</v>
      </c>
      <c r="F41" s="7">
        <f t="shared" si="4"/>
        <v>-2.2995980672046148</v>
      </c>
      <c r="G41" s="7">
        <f t="shared" si="5"/>
        <v>-2.1779194364444132</v>
      </c>
      <c r="H41" s="7">
        <f t="shared" si="6"/>
        <v>-0.97466178972180595</v>
      </c>
      <c r="I41" s="7">
        <f t="shared" si="7"/>
        <v>-0.95499108753709061</v>
      </c>
      <c r="J41" s="7">
        <f t="shared" si="8"/>
        <v>13.36795671033493</v>
      </c>
      <c r="K41" s="7">
        <f t="shared" si="9"/>
        <v>-5.7883498515714455</v>
      </c>
      <c r="L41" s="7">
        <f t="shared" si="10"/>
        <v>-2.0307396598566383</v>
      </c>
      <c r="M41" s="7">
        <f t="shared" si="11"/>
        <v>-0.96613621134899674</v>
      </c>
      <c r="N41" s="7">
        <f t="shared" si="12"/>
        <v>5.7440983537394805</v>
      </c>
      <c r="O41" s="7">
        <f t="shared" si="13"/>
        <v>-10.892988466529186</v>
      </c>
      <c r="P41" s="7">
        <f t="shared" si="14"/>
        <v>8.9154887895778785</v>
      </c>
      <c r="Q41" s="7">
        <f t="shared" si="15"/>
        <v>-1.7445414423162831E-3</v>
      </c>
      <c r="R41" s="7">
        <f t="shared" si="16"/>
        <v>0.1753701766011293</v>
      </c>
      <c r="S41" s="7">
        <f t="shared" si="17"/>
        <v>0.82754087080181904</v>
      </c>
      <c r="T41" s="17">
        <v>3.9663387236011597E-3</v>
      </c>
      <c r="U41" s="17">
        <v>0.204823212440885</v>
      </c>
      <c r="V41" s="17">
        <v>0.78395269848070492</v>
      </c>
      <c r="W41" s="18">
        <f t="shared" si="18"/>
        <v>2.8000242387425417E-3</v>
      </c>
      <c r="X41" s="19">
        <f t="shared" si="23"/>
        <v>1.6005790452524593E-3</v>
      </c>
      <c r="Y41" s="19">
        <f t="shared" si="23"/>
        <v>-1.3539868863341908E-2</v>
      </c>
      <c r="Z41" s="19">
        <f t="shared" si="23"/>
        <v>1.214572168401773E-2</v>
      </c>
      <c r="AA41" s="18">
        <f t="shared" si="25"/>
        <v>2.1502057824916901E-6</v>
      </c>
      <c r="AB41" s="18">
        <f t="shared" si="26"/>
        <v>2.9232881003215863E-6</v>
      </c>
      <c r="AC41" s="18">
        <f t="shared" si="27"/>
        <v>2.0235283395333925E-7</v>
      </c>
      <c r="AD41" s="18">
        <f t="shared" si="24"/>
        <v>1.360736156190121E-6</v>
      </c>
    </row>
    <row r="42" spans="1:30">
      <c r="A42" s="6">
        <v>40</v>
      </c>
      <c r="B42" s="7">
        <f t="shared" si="0"/>
        <v>-293.86698484054324</v>
      </c>
      <c r="C42" s="7">
        <f t="shared" si="1"/>
        <v>2.3724117711951642E-128</v>
      </c>
      <c r="D42" s="7">
        <f t="shared" si="2"/>
        <v>-4.7908518076447066</v>
      </c>
      <c r="E42" s="7">
        <f t="shared" si="3"/>
        <v>-2.2995980672046148</v>
      </c>
      <c r="F42" s="7">
        <f t="shared" si="4"/>
        <v>-2.2995980672046148</v>
      </c>
      <c r="G42" s="7">
        <f t="shared" si="5"/>
        <v>-2.2774012603700768</v>
      </c>
      <c r="H42" s="7">
        <f t="shared" si="6"/>
        <v>-0.97918574108732948</v>
      </c>
      <c r="I42" s="7">
        <f t="shared" si="7"/>
        <v>-0.97184520092972493</v>
      </c>
      <c r="J42" s="7">
        <f t="shared" si="8"/>
        <v>13.411752172579376</v>
      </c>
      <c r="K42" s="7">
        <f t="shared" si="9"/>
        <v>-5.8159369938832874</v>
      </c>
      <c r="L42" s="7">
        <f t="shared" si="10"/>
        <v>-2.1252416580646525</v>
      </c>
      <c r="M42" s="7">
        <f t="shared" si="11"/>
        <v>-0.97188614593573341</v>
      </c>
      <c r="N42" s="7">
        <f t="shared" si="12"/>
        <v>5.7624778761476811</v>
      </c>
      <c r="O42" s="7">
        <f t="shared" si="13"/>
        <v>-10.948563086877922</v>
      </c>
      <c r="P42" s="7">
        <f t="shared" si="14"/>
        <v>8.9535090190254536</v>
      </c>
      <c r="Q42" s="7">
        <f t="shared" si="15"/>
        <v>-2.1913242674997946E-4</v>
      </c>
      <c r="R42" s="7">
        <f t="shared" si="16"/>
        <v>0.16359101849683988</v>
      </c>
      <c r="S42" s="7">
        <f t="shared" si="17"/>
        <v>0.83797395793755136</v>
      </c>
      <c r="T42" s="17">
        <v>7.9785242352294391E-3</v>
      </c>
      <c r="U42" s="17">
        <v>0.19286137258476199</v>
      </c>
      <c r="V42" s="17">
        <v>0.80233719563429595</v>
      </c>
      <c r="W42" s="18">
        <f t="shared" si="18"/>
        <v>2.19393403063876E-3</v>
      </c>
      <c r="X42" s="19">
        <f t="shared" si="23"/>
        <v>1.5254090155663036E-3</v>
      </c>
      <c r="Y42" s="19">
        <f t="shared" si="23"/>
        <v>-1.1779158104289422E-2</v>
      </c>
      <c r="Z42" s="19">
        <f t="shared" si="23"/>
        <v>1.0433087135732322E-2</v>
      </c>
      <c r="AA42" s="18">
        <f t="shared" si="25"/>
        <v>2.2791393719623646E-6</v>
      </c>
      <c r="AB42" s="18">
        <f t="shared" si="26"/>
        <v>7.2782719704748808E-7</v>
      </c>
      <c r="AC42" s="18">
        <f t="shared" si="27"/>
        <v>2.2773505388639314E-7</v>
      </c>
      <c r="AD42" s="18">
        <f t="shared" si="24"/>
        <v>1.8112960929038919E-6</v>
      </c>
    </row>
    <row r="43" spans="1:30">
      <c r="A43" s="6">
        <v>41</v>
      </c>
      <c r="B43" s="7">
        <f t="shared" si="0"/>
        <v>-300.98117507564433</v>
      </c>
      <c r="C43" s="7">
        <f t="shared" si="1"/>
        <v>1.929907562275332E-131</v>
      </c>
      <c r="D43" s="7">
        <f t="shared" si="2"/>
        <v>-4.7908518076447066</v>
      </c>
      <c r="E43" s="7">
        <f t="shared" si="3"/>
        <v>-2.2995980672046148</v>
      </c>
      <c r="F43" s="7">
        <f t="shared" si="4"/>
        <v>-2.2995980672046148</v>
      </c>
      <c r="G43" s="7">
        <f t="shared" si="5"/>
        <v>-2.3768830842957405</v>
      </c>
      <c r="H43" s="7">
        <f t="shared" si="6"/>
        <v>-0.98290896509941239</v>
      </c>
      <c r="I43" s="7">
        <f t="shared" si="7"/>
        <v>-0.98571618110074288</v>
      </c>
      <c r="J43" s="7">
        <f t="shared" si="8"/>
        <v>13.447795954546496</v>
      </c>
      <c r="K43" s="7">
        <f t="shared" si="9"/>
        <v>-5.8386412854154566</v>
      </c>
      <c r="L43" s="7">
        <f t="shared" si="10"/>
        <v>-2.2197436562726667</v>
      </c>
      <c r="M43" s="7">
        <f t="shared" si="11"/>
        <v>-0.97667134905158348</v>
      </c>
      <c r="N43" s="7">
        <f t="shared" si="12"/>
        <v>5.7777736584855246</v>
      </c>
      <c r="O43" s="7">
        <f t="shared" si="13"/>
        <v>-10.994813325457747</v>
      </c>
      <c r="P43" s="7">
        <f t="shared" si="14"/>
        <v>8.9851501651417145</v>
      </c>
      <c r="Q43" s="7">
        <f t="shared" si="15"/>
        <v>1.205669740074633E-3</v>
      </c>
      <c r="R43" s="7">
        <f t="shared" si="16"/>
        <v>0.15338456188413474</v>
      </c>
      <c r="S43" s="7">
        <f t="shared" si="17"/>
        <v>0.84691081252164224</v>
      </c>
      <c r="T43" s="17">
        <v>3.1396670372780401E-3</v>
      </c>
      <c r="U43" s="17">
        <v>0.17630438116484701</v>
      </c>
      <c r="V43" s="17">
        <v>0.81844367482675706</v>
      </c>
      <c r="W43" s="18">
        <f t="shared" si="18"/>
        <v>1.3394363899456526E-3</v>
      </c>
      <c r="X43" s="19">
        <f t="shared" si="23"/>
        <v>1.4248021668246125E-3</v>
      </c>
      <c r="Y43" s="19">
        <f t="shared" si="23"/>
        <v>-1.0206456612705139E-2</v>
      </c>
      <c r="Z43" s="19">
        <f t="shared" si="23"/>
        <v>8.9368545840908808E-3</v>
      </c>
      <c r="AA43" s="18">
        <f t="shared" si="25"/>
        <v>2.2678385124728105E-6</v>
      </c>
      <c r="AB43" s="18">
        <f t="shared" si="26"/>
        <v>3.3617354968829603E-9</v>
      </c>
      <c r="AC43" s="18">
        <f t="shared" si="27"/>
        <v>1.6712124347787847E-6</v>
      </c>
      <c r="AD43" s="18">
        <f t="shared" si="24"/>
        <v>2.2531335277954061E-6</v>
      </c>
    </row>
    <row r="44" spans="1:30">
      <c r="A44" s="6">
        <v>42</v>
      </c>
      <c r="B44" s="7">
        <f t="shared" si="0"/>
        <v>-308.09536531074548</v>
      </c>
      <c r="C44" s="7">
        <f t="shared" si="1"/>
        <v>1.5699396049830623E-134</v>
      </c>
      <c r="D44" s="7">
        <f t="shared" si="2"/>
        <v>-4.7908518076447066</v>
      </c>
      <c r="E44" s="7">
        <f t="shared" si="3"/>
        <v>-2.2995980672046148</v>
      </c>
      <c r="F44" s="7">
        <f t="shared" si="4"/>
        <v>-2.2995980672046148</v>
      </c>
      <c r="G44" s="7">
        <f t="shared" si="5"/>
        <v>-2.4763649082214041</v>
      </c>
      <c r="H44" s="7">
        <f t="shared" si="6"/>
        <v>-0.98597090513089658</v>
      </c>
      <c r="I44" s="7">
        <f t="shared" si="7"/>
        <v>-0.99712352842223861</v>
      </c>
      <c r="J44" s="7">
        <f t="shared" si="8"/>
        <v>13.477437979451002</v>
      </c>
      <c r="K44" s="7">
        <f t="shared" si="9"/>
        <v>-5.8573130545336252</v>
      </c>
      <c r="L44" s="7">
        <f t="shared" si="10"/>
        <v>-2.31424565448068</v>
      </c>
      <c r="M44" s="7">
        <f t="shared" si="11"/>
        <v>-0.98065006468950677</v>
      </c>
      <c r="N44" s="7">
        <f t="shared" si="12"/>
        <v>5.7904915237272885</v>
      </c>
      <c r="O44" s="7">
        <f t="shared" si="13"/>
        <v>-11.033268651812799</v>
      </c>
      <c r="P44" s="7">
        <f t="shared" si="14"/>
        <v>9.0114585829469256</v>
      </c>
      <c r="Q44" s="7">
        <f t="shared" si="15"/>
        <v>2.5161876603432276E-3</v>
      </c>
      <c r="R44" s="7">
        <f t="shared" si="16"/>
        <v>0.14457126043358848</v>
      </c>
      <c r="S44" s="7">
        <f t="shared" si="17"/>
        <v>0.85454746120868563</v>
      </c>
      <c r="T44" s="17">
        <v>2.6118371468564702E-3</v>
      </c>
      <c r="U44" s="17">
        <v>0.16677826328596299</v>
      </c>
      <c r="V44" s="17">
        <v>0.83017491401183396</v>
      </c>
      <c r="W44" s="18">
        <f t="shared" si="18"/>
        <v>1.0871811813724019E-3</v>
      </c>
      <c r="X44" s="19">
        <f t="shared" si="23"/>
        <v>1.3105179202685946E-3</v>
      </c>
      <c r="Y44" s="19">
        <f t="shared" si="23"/>
        <v>-8.8133014505462626E-3</v>
      </c>
      <c r="Z44" s="19">
        <f t="shared" si="23"/>
        <v>7.6366486870433903E-3</v>
      </c>
      <c r="AA44" s="18">
        <f t="shared" si="25"/>
        <v>2.1612204404800362E-6</v>
      </c>
      <c r="AB44" s="18">
        <f t="shared" si="26"/>
        <v>4.4747308019972473E-7</v>
      </c>
      <c r="AC44" s="18">
        <f t="shared" si="27"/>
        <v>4.0207392907668777E-6</v>
      </c>
      <c r="AD44" s="18">
        <f t="shared" si="24"/>
        <v>2.6729284277847097E-6</v>
      </c>
    </row>
    <row r="45" spans="1:30">
      <c r="A45" s="6">
        <v>43</v>
      </c>
      <c r="B45" s="7">
        <f t="shared" si="0"/>
        <v>-315.20955554584663</v>
      </c>
      <c r="C45" s="7">
        <f t="shared" si="1"/>
        <v>1.2771131692900965E-137</v>
      </c>
      <c r="D45" s="7">
        <f t="shared" si="2"/>
        <v>-4.7908518076447066</v>
      </c>
      <c r="E45" s="7">
        <f t="shared" si="3"/>
        <v>-2.2995980672046148</v>
      </c>
      <c r="F45" s="7">
        <f t="shared" si="4"/>
        <v>-2.2995980672046148</v>
      </c>
      <c r="G45" s="7">
        <f t="shared" si="5"/>
        <v>-2.5758467321470677</v>
      </c>
      <c r="H45" s="7">
        <f t="shared" si="6"/>
        <v>-0.98848746895083062</v>
      </c>
      <c r="I45" s="7">
        <f t="shared" si="7"/>
        <v>-1.0064990606846331</v>
      </c>
      <c r="J45" s="7">
        <f t="shared" si="8"/>
        <v>13.501800327066316</v>
      </c>
      <c r="K45" s="7">
        <f t="shared" si="9"/>
        <v>-5.8726591090395228</v>
      </c>
      <c r="L45" s="7">
        <f t="shared" si="10"/>
        <v>-2.4087476526886942</v>
      </c>
      <c r="M45" s="7">
        <f t="shared" si="11"/>
        <v>-0.98395571579976138</v>
      </c>
      <c r="N45" s="7">
        <f t="shared" si="12"/>
        <v>5.8010579550037003</v>
      </c>
      <c r="O45" s="7">
        <f t="shared" si="13"/>
        <v>-11.065218633623294</v>
      </c>
      <c r="P45" s="7">
        <f t="shared" si="14"/>
        <v>9.0333165035527401</v>
      </c>
      <c r="Q45" s="7">
        <f t="shared" si="15"/>
        <v>3.7070866743604824E-3</v>
      </c>
      <c r="R45" s="7">
        <f t="shared" si="16"/>
        <v>0.13698362623840765</v>
      </c>
      <c r="S45" s="7">
        <f t="shared" si="17"/>
        <v>0.86105932730860246</v>
      </c>
      <c r="T45" s="17">
        <v>2.39128185473625E-3</v>
      </c>
      <c r="U45" s="17">
        <v>0.157909899247861</v>
      </c>
      <c r="V45" s="17">
        <v>0.83969352077445703</v>
      </c>
      <c r="W45" s="18">
        <f t="shared" si="18"/>
        <v>8.9613793324405395E-4</v>
      </c>
      <c r="X45" s="19">
        <f t="shared" si="23"/>
        <v>1.1908990140172548E-3</v>
      </c>
      <c r="Y45" s="19">
        <f t="shared" si="23"/>
        <v>-7.5876341951808257E-3</v>
      </c>
      <c r="Z45" s="19">
        <f t="shared" si="23"/>
        <v>6.5118660999168299E-3</v>
      </c>
      <c r="AA45" s="18">
        <f t="shared" si="25"/>
        <v>1.9985011000604123E-6</v>
      </c>
      <c r="AB45" s="18">
        <f t="shared" si="26"/>
        <v>1.7566040172159296E-6</v>
      </c>
      <c r="AC45" s="18">
        <f t="shared" si="27"/>
        <v>6.8849666206505151E-6</v>
      </c>
      <c r="AD45" s="18">
        <f t="shared" si="24"/>
        <v>3.0626407764148473E-6</v>
      </c>
    </row>
    <row r="46" spans="1:30">
      <c r="A46" s="6">
        <v>44</v>
      </c>
      <c r="B46" s="7">
        <f t="shared" si="0"/>
        <v>-322.32374578094772</v>
      </c>
      <c r="C46" s="7">
        <f t="shared" si="1"/>
        <v>1.0389049629663196E-140</v>
      </c>
      <c r="D46" s="7">
        <f t="shared" si="2"/>
        <v>-4.7908518076447066</v>
      </c>
      <c r="E46" s="7">
        <f t="shared" si="3"/>
        <v>-2.2995980672046148</v>
      </c>
      <c r="F46" s="7">
        <f t="shared" si="4"/>
        <v>-2.2995980672046148</v>
      </c>
      <c r="G46" s="7">
        <f t="shared" si="5"/>
        <v>-2.6753285560727313</v>
      </c>
      <c r="H46" s="7">
        <f t="shared" si="6"/>
        <v>-0.99055475408049809</v>
      </c>
      <c r="I46" s="7">
        <f t="shared" si="7"/>
        <v>-1.0142007920197336</v>
      </c>
      <c r="J46" s="7">
        <f t="shared" si="8"/>
        <v>13.521813298146164</v>
      </c>
      <c r="K46" s="7">
        <f t="shared" si="9"/>
        <v>-5.88526545346354</v>
      </c>
      <c r="L46" s="7">
        <f t="shared" si="10"/>
        <v>-2.5032496508967084</v>
      </c>
      <c r="M46" s="7">
        <f t="shared" si="11"/>
        <v>-0.98670043712684952</v>
      </c>
      <c r="N46" s="7">
        <f t="shared" si="12"/>
        <v>5.8098313882270709</v>
      </c>
      <c r="O46" s="7">
        <f t="shared" si="13"/>
        <v>-11.091747082497802</v>
      </c>
      <c r="P46" s="7">
        <f t="shared" si="14"/>
        <v>9.0514653943012124</v>
      </c>
      <c r="Q46" s="7">
        <f t="shared" si="15"/>
        <v>4.778788562630254E-3</v>
      </c>
      <c r="R46" s="7">
        <f t="shared" si="16"/>
        <v>0.13046814844374666</v>
      </c>
      <c r="S46" s="7">
        <f t="shared" si="17"/>
        <v>0.86660187363305674</v>
      </c>
      <c r="T46" s="17">
        <v>1.2757458204968699E-3</v>
      </c>
      <c r="U46" s="17">
        <v>0.14923463373831</v>
      </c>
      <c r="V46" s="17">
        <v>0.84673055231667504</v>
      </c>
      <c r="W46" s="18">
        <f t="shared" si="18"/>
        <v>7.5932168962316129E-4</v>
      </c>
      <c r="X46" s="19">
        <f t="shared" si="23"/>
        <v>1.0717018882697715E-3</v>
      </c>
      <c r="Y46" s="19">
        <f t="shared" si="23"/>
        <v>-6.5154777946609954E-3</v>
      </c>
      <c r="Z46" s="19">
        <f t="shared" si="23"/>
        <v>5.5425463244542783E-3</v>
      </c>
      <c r="AA46" s="18">
        <f t="shared" si="25"/>
        <v>1.8096504219228829E-6</v>
      </c>
      <c r="AB46" s="18">
        <f t="shared" si="26"/>
        <v>3.6566841625470982E-6</v>
      </c>
      <c r="AC46" s="18">
        <f t="shared" si="27"/>
        <v>9.9774356183891216E-6</v>
      </c>
      <c r="AD46" s="18">
        <f t="shared" si="24"/>
        <v>3.4181007804830661E-6</v>
      </c>
    </row>
    <row r="47" spans="1:30">
      <c r="A47" s="6">
        <v>45</v>
      </c>
      <c r="B47" s="7">
        <f t="shared" si="0"/>
        <v>-329.43793601604887</v>
      </c>
      <c r="C47" s="7">
        <f t="shared" si="1"/>
        <v>8.4512754862276462E-144</v>
      </c>
      <c r="D47" s="7">
        <f t="shared" si="2"/>
        <v>-4.7908518076447066</v>
      </c>
      <c r="E47" s="7">
        <f t="shared" si="3"/>
        <v>-2.2995980672046148</v>
      </c>
      <c r="F47" s="7">
        <f t="shared" si="4"/>
        <v>-2.2995980672046148</v>
      </c>
      <c r="G47" s="7">
        <f t="shared" si="5"/>
        <v>-2.774810379998395</v>
      </c>
      <c r="H47" s="7">
        <f t="shared" si="6"/>
        <v>-0.99225226680130907</v>
      </c>
      <c r="I47" s="7">
        <f t="shared" si="7"/>
        <v>-1.0205249254089699</v>
      </c>
      <c r="J47" s="7">
        <f t="shared" si="8"/>
        <v>13.538246576991799</v>
      </c>
      <c r="K47" s="7">
        <f t="shared" si="9"/>
        <v>-5.8956169186366747</v>
      </c>
      <c r="L47" s="7">
        <f t="shared" si="10"/>
        <v>-2.5977516491047217</v>
      </c>
      <c r="M47" s="7">
        <f t="shared" si="11"/>
        <v>-0.98897822312196337</v>
      </c>
      <c r="N47" s="7">
        <f t="shared" si="12"/>
        <v>5.8171122743148622</v>
      </c>
      <c r="O47" s="7">
        <f t="shared" si="13"/>
        <v>-11.11376247936964</v>
      </c>
      <c r="P47" s="7">
        <f t="shared" si="14"/>
        <v>9.0665267736717645</v>
      </c>
      <c r="Q47" s="7">
        <f t="shared" si="15"/>
        <v>5.7355412611856949E-3</v>
      </c>
      <c r="R47" s="7">
        <f t="shared" si="16"/>
        <v>0.12488603041754409</v>
      </c>
      <c r="S47" s="7">
        <f t="shared" si="17"/>
        <v>0.87131178783047503</v>
      </c>
      <c r="T47" s="17">
        <v>3.5362804167817599E-3</v>
      </c>
      <c r="U47" s="17">
        <v>0.135577127775768</v>
      </c>
      <c r="V47" s="17">
        <v>0.86534225693530897</v>
      </c>
      <c r="W47" s="18">
        <f t="shared" si="18"/>
        <v>1.547716100930925E-4</v>
      </c>
      <c r="X47" s="19">
        <f t="shared" si="23"/>
        <v>9.5675269855544087E-4</v>
      </c>
      <c r="Y47" s="19">
        <f t="shared" si="23"/>
        <v>-5.5821180262025649E-3</v>
      </c>
      <c r="Z47" s="19">
        <f t="shared" si="23"/>
        <v>4.7099141974182857E-3</v>
      </c>
      <c r="AA47" s="18">
        <f t="shared" si="25"/>
        <v>1.6154415542298542E-6</v>
      </c>
      <c r="AB47" s="18">
        <f t="shared" si="26"/>
        <v>5.9175571899618503E-6</v>
      </c>
      <c r="AC47" s="18">
        <f t="shared" si="27"/>
        <v>1.3097554129206132E-5</v>
      </c>
      <c r="AD47" s="18">
        <f t="shared" si="24"/>
        <v>3.7378789918326748E-6</v>
      </c>
    </row>
    <row r="48" spans="1:30">
      <c r="A48" s="6">
        <v>46</v>
      </c>
      <c r="B48" s="7">
        <f t="shared" si="0"/>
        <v>-336.55212625114996</v>
      </c>
      <c r="C48" s="7">
        <f t="shared" si="1"/>
        <v>6.874936581319604E-147</v>
      </c>
      <c r="D48" s="7">
        <f t="shared" si="2"/>
        <v>-4.7908518076447066</v>
      </c>
      <c r="E48" s="7">
        <f t="shared" si="3"/>
        <v>-2.2995980672046148</v>
      </c>
      <c r="F48" s="7">
        <f t="shared" si="4"/>
        <v>-2.2995980672046148</v>
      </c>
      <c r="G48" s="7">
        <f t="shared" si="5"/>
        <v>-2.8742922039240586</v>
      </c>
      <c r="H48" s="7">
        <f t="shared" si="6"/>
        <v>-0.99364567406333759</v>
      </c>
      <c r="I48" s="7">
        <f t="shared" si="7"/>
        <v>-1.0257161049992991</v>
      </c>
      <c r="J48" s="7">
        <f t="shared" si="8"/>
        <v>13.55173587212445</v>
      </c>
      <c r="K48" s="7">
        <f t="shared" si="9"/>
        <v>-5.9041139428816489</v>
      </c>
      <c r="L48" s="7">
        <f t="shared" si="10"/>
        <v>-2.6922536473127359</v>
      </c>
      <c r="M48" s="7">
        <f t="shared" si="11"/>
        <v>-0.99086769110419592</v>
      </c>
      <c r="N48" s="7">
        <f t="shared" si="12"/>
        <v>5.8231519115655415</v>
      </c>
      <c r="O48" s="7">
        <f t="shared" si="13"/>
        <v>-11.132024681172053</v>
      </c>
      <c r="P48" s="7">
        <f t="shared" si="14"/>
        <v>9.079020482101777</v>
      </c>
      <c r="Q48" s="7">
        <f t="shared" si="15"/>
        <v>6.5839989215357164E-3</v>
      </c>
      <c r="R48" s="7">
        <f t="shared" si="16"/>
        <v>0.12011312374778171</v>
      </c>
      <c r="S48" s="7">
        <f t="shared" si="17"/>
        <v>0.87530847201551332</v>
      </c>
      <c r="T48" s="17">
        <v>-3.1346344649783998E-3</v>
      </c>
      <c r="U48" s="17">
        <v>0.125187367886479</v>
      </c>
      <c r="V48" s="17">
        <v>0.87833605384871605</v>
      </c>
      <c r="W48" s="18">
        <f t="shared" si="18"/>
        <v>1.2936604023730975E-4</v>
      </c>
      <c r="X48" s="19">
        <f t="shared" si="23"/>
        <v>8.4845766035002157E-4</v>
      </c>
      <c r="Y48" s="19">
        <f t="shared" si="23"/>
        <v>-4.7729066697623779E-3</v>
      </c>
      <c r="Z48" s="19">
        <f t="shared" si="23"/>
        <v>3.9966841850382906E-3</v>
      </c>
      <c r="AA48" s="18">
        <f t="shared" si="25"/>
        <v>1.428993571239429E-6</v>
      </c>
      <c r="AB48" s="18">
        <f t="shared" si="26"/>
        <v>8.3567071109486868E-6</v>
      </c>
      <c r="AC48" s="18">
        <f t="shared" si="27"/>
        <v>1.6111930946572355E-5</v>
      </c>
      <c r="AD48" s="18">
        <f t="shared" si="24"/>
        <v>4.0224100398213436E-6</v>
      </c>
    </row>
    <row r="49" spans="1:30">
      <c r="A49" s="6">
        <v>47</v>
      </c>
      <c r="B49" s="7">
        <f t="shared" si="0"/>
        <v>-343.66631648625111</v>
      </c>
      <c r="C49" s="7">
        <f t="shared" si="1"/>
        <v>5.5926177148274607E-150</v>
      </c>
      <c r="D49" s="7">
        <f t="shared" si="2"/>
        <v>-4.7908518076447066</v>
      </c>
      <c r="E49" s="7">
        <f t="shared" si="3"/>
        <v>-2.2995980672046148</v>
      </c>
      <c r="F49" s="7">
        <f t="shared" si="4"/>
        <v>-2.2995980672046148</v>
      </c>
      <c r="G49" s="7">
        <f t="shared" si="5"/>
        <v>-2.9737740278497222</v>
      </c>
      <c r="H49" s="7">
        <f t="shared" si="6"/>
        <v>-0.99478913654650158</v>
      </c>
      <c r="I49" s="7">
        <f t="shared" si="7"/>
        <v>-1.0299761079910068</v>
      </c>
      <c r="J49" s="7">
        <f t="shared" si="8"/>
        <v>13.562805502180819</v>
      </c>
      <c r="K49" s="7">
        <f t="shared" si="9"/>
        <v>-5.9110867990647851</v>
      </c>
      <c r="L49" s="7">
        <f t="shared" si="10"/>
        <v>-2.7867556455207501</v>
      </c>
      <c r="M49" s="7">
        <f t="shared" si="11"/>
        <v>-0.99243447884471059</v>
      </c>
      <c r="N49" s="7">
        <f t="shared" si="12"/>
        <v>5.8281601094765421</v>
      </c>
      <c r="O49" s="7">
        <f t="shared" si="13"/>
        <v>-11.147168094115743</v>
      </c>
      <c r="P49" s="7">
        <f t="shared" si="14"/>
        <v>9.0893805355061108</v>
      </c>
      <c r="Q49" s="7">
        <f t="shared" si="15"/>
        <v>7.3321938408286158E-3</v>
      </c>
      <c r="R49" s="7">
        <f t="shared" si="16"/>
        <v>0.11603934086046053</v>
      </c>
      <c r="S49" s="7">
        <f t="shared" si="17"/>
        <v>0.87869566923671094</v>
      </c>
      <c r="T49" s="17">
        <v>9.0828857896239103E-3</v>
      </c>
      <c r="U49" s="17">
        <v>0.11564560923284699</v>
      </c>
      <c r="V49" s="17">
        <v>0.87802773465304806</v>
      </c>
      <c r="W49" s="18">
        <f t="shared" si="18"/>
        <v>3.6660835022127734E-6</v>
      </c>
      <c r="X49" s="19">
        <f t="shared" si="23"/>
        <v>7.4819491929289939E-4</v>
      </c>
      <c r="Y49" s="19">
        <f t="shared" si="23"/>
        <v>-4.0737828873211868E-3</v>
      </c>
      <c r="Z49" s="19">
        <f t="shared" si="23"/>
        <v>3.3871972211976242E-3</v>
      </c>
      <c r="AA49" s="18">
        <f t="shared" si="25"/>
        <v>1.2576829727606509E-6</v>
      </c>
      <c r="AB49" s="18">
        <f t="shared" si="26"/>
        <v>1.0836655346672846E-5</v>
      </c>
      <c r="AC49" s="18">
        <f t="shared" si="27"/>
        <v>1.8937840828508777E-5</v>
      </c>
      <c r="AD49" s="18">
        <f t="shared" si="24"/>
        <v>4.2733321212830549E-6</v>
      </c>
    </row>
    <row r="50" spans="1:30">
      <c r="A50" s="6">
        <v>48</v>
      </c>
      <c r="B50" s="7">
        <f t="shared" si="0"/>
        <v>-350.7805067213522</v>
      </c>
      <c r="C50" s="7">
        <f t="shared" si="1"/>
        <v>4.5494780256140477E-153</v>
      </c>
      <c r="D50" s="7">
        <f t="shared" si="2"/>
        <v>-4.7908518076447066</v>
      </c>
      <c r="E50" s="7">
        <f t="shared" si="3"/>
        <v>-2.2995980672046148</v>
      </c>
      <c r="F50" s="7">
        <f t="shared" si="4"/>
        <v>-2.2995980672046148</v>
      </c>
      <c r="G50" s="7">
        <f t="shared" si="5"/>
        <v>-3.073255851775385</v>
      </c>
      <c r="H50" s="7">
        <f t="shared" si="6"/>
        <v>-0.99572727367309644</v>
      </c>
      <c r="I50" s="7">
        <f t="shared" si="7"/>
        <v>-1.0334711653494848</v>
      </c>
      <c r="J50" s="7">
        <f t="shared" si="8"/>
        <v>13.571887418803753</v>
      </c>
      <c r="K50" s="7">
        <f t="shared" si="9"/>
        <v>-5.9168075772801796</v>
      </c>
      <c r="L50" s="7">
        <f t="shared" si="10"/>
        <v>-2.8812576437287634</v>
      </c>
      <c r="M50" s="7">
        <f t="shared" si="11"/>
        <v>-0.9937333062310536</v>
      </c>
      <c r="N50" s="7">
        <f t="shared" si="12"/>
        <v>5.8323117788027883</v>
      </c>
      <c r="O50" s="7">
        <f t="shared" si="13"/>
        <v>-11.159721600213196</v>
      </c>
      <c r="P50" s="7">
        <f t="shared" si="14"/>
        <v>9.0979687575974495</v>
      </c>
      <c r="Q50" s="7">
        <f t="shared" si="15"/>
        <v>7.9888058085968439E-3</v>
      </c>
      <c r="R50" s="7">
        <f t="shared" si="16"/>
        <v>0.11256775138594222</v>
      </c>
      <c r="S50" s="7">
        <f t="shared" si="17"/>
        <v>0.88156311311265512</v>
      </c>
      <c r="T50" s="17">
        <v>1.0538230552720001E-2</v>
      </c>
      <c r="U50" s="17">
        <v>0.111612530534534</v>
      </c>
      <c r="V50" s="17">
        <v>0.88908099354612202</v>
      </c>
      <c r="W50" s="18">
        <f t="shared" si="18"/>
        <v>6.3930539612817015E-5</v>
      </c>
      <c r="X50" s="19">
        <f t="shared" si="23"/>
        <v>6.5661196776822806E-4</v>
      </c>
      <c r="Y50" s="19">
        <f t="shared" si="23"/>
        <v>-3.4715894745183107E-3</v>
      </c>
      <c r="Z50" s="19">
        <f t="shared" si="23"/>
        <v>2.8674438759441756E-3</v>
      </c>
      <c r="AA50" s="18">
        <f t="shared" si="25"/>
        <v>1.1048983119312303E-6</v>
      </c>
      <c r="AB50" s="18">
        <f t="shared" si="26"/>
        <v>1.3259153549797973E-5</v>
      </c>
      <c r="AC50" s="18">
        <f t="shared" si="27"/>
        <v>2.152948054816859E-5</v>
      </c>
      <c r="AD50" s="18">
        <f t="shared" si="24"/>
        <v>4.4930022112006567E-6</v>
      </c>
    </row>
    <row r="51" spans="1:30">
      <c r="A51" s="6">
        <v>49</v>
      </c>
      <c r="B51" s="7">
        <f t="shared" si="0"/>
        <v>-357.89469695645334</v>
      </c>
      <c r="C51" s="7">
        <f t="shared" si="1"/>
        <v>3.7009056153916776E-156</v>
      </c>
      <c r="D51" s="7">
        <f t="shared" si="2"/>
        <v>-4.7908518076447066</v>
      </c>
      <c r="E51" s="7">
        <f t="shared" si="3"/>
        <v>-2.2995980672046148</v>
      </c>
      <c r="F51" s="7">
        <f t="shared" si="4"/>
        <v>-2.2995980672046148</v>
      </c>
      <c r="G51" s="7">
        <f t="shared" si="5"/>
        <v>-3.1727376757010486</v>
      </c>
      <c r="H51" s="7">
        <f t="shared" si="6"/>
        <v>-0.99649681001631096</v>
      </c>
      <c r="I51" s="7">
        <f t="shared" si="7"/>
        <v>-1.0363380955484107</v>
      </c>
      <c r="J51" s="7">
        <f t="shared" si="8"/>
        <v>13.579337145191579</v>
      </c>
      <c r="K51" s="7">
        <f t="shared" si="9"/>
        <v>-5.9215002246804547</v>
      </c>
      <c r="L51" s="7">
        <f t="shared" si="10"/>
        <v>-2.9757596419367776</v>
      </c>
      <c r="M51" s="7">
        <f t="shared" si="11"/>
        <v>-0.99480973544328677</v>
      </c>
      <c r="N51" s="7">
        <f t="shared" si="12"/>
        <v>5.8357525579157743</v>
      </c>
      <c r="O51" s="7">
        <f t="shared" si="13"/>
        <v>-11.17012556984098</v>
      </c>
      <c r="P51" s="7">
        <f t="shared" si="14"/>
        <v>9.1050864186796439</v>
      </c>
      <c r="Q51" s="7">
        <f t="shared" si="15"/>
        <v>8.5626547226569372E-3</v>
      </c>
      <c r="R51" s="7">
        <f t="shared" si="16"/>
        <v>0.10961350814598347</v>
      </c>
      <c r="S51" s="7">
        <f t="shared" si="17"/>
        <v>0.8839881267945735</v>
      </c>
      <c r="T51" s="17">
        <v>2.5859344138377399E-3</v>
      </c>
      <c r="U51" s="17">
        <v>0.10342211054485</v>
      </c>
      <c r="V51" s="17">
        <v>0.89472708248588406</v>
      </c>
      <c r="W51" s="18">
        <f t="shared" si="18"/>
        <v>1.8937975924510466E-4</v>
      </c>
      <c r="X51" s="19">
        <f t="shared" si="23"/>
        <v>5.7384891406009331E-4</v>
      </c>
      <c r="Y51" s="19">
        <f t="shared" si="23"/>
        <v>-2.9542432399587426E-3</v>
      </c>
      <c r="Z51" s="19">
        <f t="shared" si="23"/>
        <v>2.4250136819183865E-3</v>
      </c>
      <c r="AA51" s="18">
        <f t="shared" si="25"/>
        <v>9.7144725183334057E-7</v>
      </c>
      <c r="AB51" s="18">
        <f t="shared" si="26"/>
        <v>1.555821570468593E-5</v>
      </c>
      <c r="AC51" s="18">
        <f t="shared" si="27"/>
        <v>2.3867048064975211E-5</v>
      </c>
      <c r="AD51" s="18">
        <f t="shared" si="24"/>
        <v>4.6841497462945976E-6</v>
      </c>
    </row>
    <row r="52" spans="1:30">
      <c r="A52" s="6">
        <v>50</v>
      </c>
      <c r="B52" s="7">
        <f t="shared" si="0"/>
        <v>-365.00888719155449</v>
      </c>
      <c r="C52" s="7">
        <f t="shared" si="1"/>
        <v>3.0106096340995059E-159</v>
      </c>
      <c r="D52" s="7">
        <f t="shared" si="2"/>
        <v>-4.7908518076447066</v>
      </c>
      <c r="E52" s="7">
        <f t="shared" si="3"/>
        <v>-2.2995980672046148</v>
      </c>
      <c r="F52" s="7">
        <f t="shared" si="4"/>
        <v>-2.2995980672046148</v>
      </c>
      <c r="G52" s="7">
        <f t="shared" si="5"/>
        <v>-3.2722194996267122</v>
      </c>
      <c r="H52" s="7">
        <f t="shared" si="6"/>
        <v>-0.99712794901712909</v>
      </c>
      <c r="I52" s="7">
        <f t="shared" si="7"/>
        <v>-1.0386894223923218</v>
      </c>
      <c r="J52" s="7">
        <f t="shared" si="8"/>
        <v>13.585447074774812</v>
      </c>
      <c r="K52" s="7">
        <f t="shared" si="9"/>
        <v>-5.9253489224288023</v>
      </c>
      <c r="L52" s="7">
        <f t="shared" si="10"/>
        <v>-3.0702616401447917</v>
      </c>
      <c r="M52" s="7">
        <f t="shared" si="11"/>
        <v>-0.99570166516913883</v>
      </c>
      <c r="N52" s="7">
        <f t="shared" si="12"/>
        <v>5.8386035890250074</v>
      </c>
      <c r="O52" s="7">
        <f t="shared" si="13"/>
        <v>-11.178746303719644</v>
      </c>
      <c r="P52" s="7">
        <f t="shared" si="14"/>
        <v>9.1109841158301865</v>
      </c>
      <c r="Q52" s="7">
        <f t="shared" si="15"/>
        <v>9.0623589879790245E-3</v>
      </c>
      <c r="R52" s="7">
        <f t="shared" si="16"/>
        <v>0.10710270385055409</v>
      </c>
      <c r="S52" s="7">
        <f t="shared" si="17"/>
        <v>0.88603712619677033</v>
      </c>
      <c r="T52" s="17">
        <v>2.0336631835871899E-3</v>
      </c>
      <c r="U52" s="17">
        <v>9.4972241588527101E-2</v>
      </c>
      <c r="V52" s="17">
        <v>0.90450311421663898</v>
      </c>
      <c r="W52" s="18">
        <f t="shared" si="18"/>
        <v>5.3754339295106895E-4</v>
      </c>
      <c r="X52" s="19">
        <f t="shared" si="23"/>
        <v>4.9970426532208734E-4</v>
      </c>
      <c r="Y52" s="19">
        <f t="shared" si="23"/>
        <v>-2.5108042954293808E-3</v>
      </c>
      <c r="Z52" s="19">
        <f t="shared" si="23"/>
        <v>2.0489994021968272E-3</v>
      </c>
      <c r="AA52" s="18">
        <f t="shared" si="25"/>
        <v>8.5659376743076753E-7</v>
      </c>
      <c r="AB52" s="18">
        <f t="shared" si="26"/>
        <v>1.7693207677494605E-5</v>
      </c>
      <c r="AC52" s="18">
        <f t="shared" si="27"/>
        <v>2.594836344032452E-5</v>
      </c>
      <c r="AD52" s="18">
        <f t="shared" si="24"/>
        <v>4.8496365472107306E-6</v>
      </c>
    </row>
    <row r="53" spans="1:30">
      <c r="A53" s="6">
        <v>51</v>
      </c>
      <c r="B53" s="7">
        <f t="shared" si="0"/>
        <v>-372.12307742665558</v>
      </c>
      <c r="C53" s="7">
        <f t="shared" si="1"/>
        <v>2.4490682310940347E-162</v>
      </c>
      <c r="D53" s="7">
        <f t="shared" si="2"/>
        <v>-4.7908518076447066</v>
      </c>
      <c r="E53" s="7">
        <f t="shared" si="3"/>
        <v>-2.2995980672046148</v>
      </c>
      <c r="F53" s="7">
        <f t="shared" si="4"/>
        <v>-2.2995980672046148</v>
      </c>
      <c r="G53" s="7">
        <f t="shared" si="5"/>
        <v>-3.3717013235523758</v>
      </c>
      <c r="H53" s="7">
        <f t="shared" si="6"/>
        <v>-0.99764551533737378</v>
      </c>
      <c r="I53" s="7">
        <f t="shared" si="7"/>
        <v>-1.0406176308863584</v>
      </c>
      <c r="J53" s="7">
        <f t="shared" si="8"/>
        <v>13.590457530105969</v>
      </c>
      <c r="K53" s="7">
        <f t="shared" si="9"/>
        <v>-5.9285050517897897</v>
      </c>
      <c r="L53" s="7">
        <f t="shared" si="10"/>
        <v>-3.1647636383528059</v>
      </c>
      <c r="M53" s="7">
        <f t="shared" si="11"/>
        <v>-0.99644059322801026</v>
      </c>
      <c r="N53" s="7">
        <f t="shared" si="12"/>
        <v>5.8409655541241232</v>
      </c>
      <c r="O53" s="7">
        <f t="shared" si="13"/>
        <v>-11.185888236504676</v>
      </c>
      <c r="P53" s="7">
        <f t="shared" si="14"/>
        <v>9.1158701217350782</v>
      </c>
      <c r="Q53" s="7">
        <f t="shared" si="15"/>
        <v>9.4961155930581853E-3</v>
      </c>
      <c r="R53" s="7">
        <f t="shared" si="16"/>
        <v>0.10497122639667822</v>
      </c>
      <c r="S53" s="7">
        <f t="shared" si="17"/>
        <v>0.88776700274067366</v>
      </c>
      <c r="T53" s="17">
        <v>2.2949557971681501E-3</v>
      </c>
      <c r="U53" s="17">
        <v>8.7440881600336293E-2</v>
      </c>
      <c r="V53" s="17">
        <v>0.90922037148508505</v>
      </c>
      <c r="W53" s="18">
        <f t="shared" si="18"/>
        <v>8.1941672156826315E-4</v>
      </c>
      <c r="X53" s="19">
        <f t="shared" si="23"/>
        <v>4.3375660507916081E-4</v>
      </c>
      <c r="Y53" s="19">
        <f t="shared" si="23"/>
        <v>-2.1314774538758741E-3</v>
      </c>
      <c r="Z53" s="19">
        <f t="shared" si="23"/>
        <v>1.7298765439033303E-3</v>
      </c>
      <c r="AA53" s="18">
        <f t="shared" si="25"/>
        <v>7.587753511423658E-7</v>
      </c>
      <c r="AB53" s="18">
        <f t="shared" si="26"/>
        <v>1.9642636140731806E-5</v>
      </c>
      <c r="AC53" s="18">
        <f t="shared" si="27"/>
        <v>2.7782627119257402E-5</v>
      </c>
      <c r="AD53" s="18">
        <f t="shared" si="24"/>
        <v>4.9922963743112255E-6</v>
      </c>
    </row>
    <row r="54" spans="1:30">
      <c r="A54" s="6">
        <v>52</v>
      </c>
      <c r="B54" s="7">
        <f t="shared" si="0"/>
        <v>-379.23726766175673</v>
      </c>
      <c r="C54" s="7">
        <f t="shared" si="1"/>
        <v>1.9922659957699059E-165</v>
      </c>
      <c r="D54" s="7">
        <f t="shared" si="2"/>
        <v>-4.7908518076447066</v>
      </c>
      <c r="E54" s="7">
        <f t="shared" si="3"/>
        <v>-2.2995980672046148</v>
      </c>
      <c r="F54" s="7">
        <f t="shared" si="4"/>
        <v>-2.2995980672046148</v>
      </c>
      <c r="G54" s="7">
        <f t="shared" si="5"/>
        <v>-3.4711831474780395</v>
      </c>
      <c r="H54" s="7">
        <f t="shared" si="6"/>
        <v>-0.99806990224913439</v>
      </c>
      <c r="I54" s="7">
        <f t="shared" si="7"/>
        <v>-1.0421986967633421</v>
      </c>
      <c r="J54" s="7">
        <f t="shared" si="8"/>
        <v>13.59456593434583</v>
      </c>
      <c r="K54" s="7">
        <f t="shared" si="9"/>
        <v>-5.9310929713282805</v>
      </c>
      <c r="L54" s="7">
        <f t="shared" si="10"/>
        <v>-3.2592656365608192</v>
      </c>
      <c r="M54" s="7">
        <f t="shared" si="11"/>
        <v>-0.99705267953897303</v>
      </c>
      <c r="N54" s="7">
        <f t="shared" si="12"/>
        <v>5.8429220727415778</v>
      </c>
      <c r="O54" s="7">
        <f t="shared" si="13"/>
        <v>-11.191804210649995</v>
      </c>
      <c r="P54" s="7">
        <f t="shared" si="14"/>
        <v>9.1199174133404846</v>
      </c>
      <c r="Q54" s="7">
        <f t="shared" si="15"/>
        <v>9.8715683335290905E-3</v>
      </c>
      <c r="R54" s="7">
        <f t="shared" si="16"/>
        <v>0.10316365649122083</v>
      </c>
      <c r="S54" s="7">
        <f t="shared" si="17"/>
        <v>0.88922637480758837</v>
      </c>
      <c r="T54" s="17">
        <v>2.3936274802814103E-3</v>
      </c>
      <c r="U54" s="17">
        <v>8.3053244128702103E-2</v>
      </c>
      <c r="V54" s="17">
        <v>0.906309636239233</v>
      </c>
      <c r="W54" s="18">
        <f t="shared" si="18"/>
        <v>7.5218610593713359E-4</v>
      </c>
      <c r="X54" s="19">
        <f t="shared" si="23"/>
        <v>3.7545274047090516E-4</v>
      </c>
      <c r="Y54" s="19">
        <f t="shared" si="23"/>
        <v>-1.8075699054573846E-3</v>
      </c>
      <c r="Z54" s="19">
        <f t="shared" si="23"/>
        <v>1.4593720669147103E-3</v>
      </c>
      <c r="AA54" s="18">
        <f t="shared" si="25"/>
        <v>6.7607132745401679E-7</v>
      </c>
      <c r="AB54" s="18">
        <f t="shared" si="26"/>
        <v>2.139890595390453E-5</v>
      </c>
      <c r="AC54" s="18">
        <f t="shared" si="27"/>
        <v>2.9385894618912998E-5</v>
      </c>
      <c r="AD54" s="18">
        <f t="shared" si="24"/>
        <v>5.1148328969927146E-6</v>
      </c>
    </row>
    <row r="55" spans="1:30">
      <c r="A55" s="6">
        <v>53</v>
      </c>
      <c r="B55" s="7">
        <f t="shared" si="0"/>
        <v>-386.35145789685782</v>
      </c>
      <c r="C55" s="7">
        <f t="shared" si="1"/>
        <v>1.6206668918032606E-168</v>
      </c>
      <c r="D55" s="7">
        <f t="shared" si="2"/>
        <v>-4.7908518076447066</v>
      </c>
      <c r="E55" s="7">
        <f t="shared" si="3"/>
        <v>-2.2995980672046148</v>
      </c>
      <c r="F55" s="7">
        <f t="shared" si="4"/>
        <v>-2.2995980672046148</v>
      </c>
      <c r="G55" s="7">
        <f t="shared" si="5"/>
        <v>-3.5706649714037031</v>
      </c>
      <c r="H55" s="7">
        <f t="shared" si="6"/>
        <v>-0.99841785561671448</v>
      </c>
      <c r="I55" s="7">
        <f t="shared" si="7"/>
        <v>-1.0434950072314955</v>
      </c>
      <c r="J55" s="7">
        <f t="shared" si="8"/>
        <v>13.597934400834841</v>
      </c>
      <c r="K55" s="7">
        <f t="shared" si="9"/>
        <v>-5.9332147976464125</v>
      </c>
      <c r="L55" s="7">
        <f t="shared" si="10"/>
        <v>-3.3537676347688334</v>
      </c>
      <c r="M55" s="7">
        <f t="shared" si="11"/>
        <v>-0.99755963830462191</v>
      </c>
      <c r="N55" s="7">
        <f t="shared" si="12"/>
        <v>5.8445425537840521</v>
      </c>
      <c r="O55" s="7">
        <f t="shared" si="13"/>
        <v>-11.196704099598017</v>
      </c>
      <c r="P55" s="7">
        <f t="shared" si="14"/>
        <v>9.1232695712302263</v>
      </c>
      <c r="Q55" s="7">
        <f t="shared" si="15"/>
        <v>1.0195738907849972E-2</v>
      </c>
      <c r="R55" s="7">
        <f t="shared" si="16"/>
        <v>0.10163223403220911</v>
      </c>
      <c r="S55" s="7">
        <f t="shared" si="17"/>
        <v>0.89045670637919905</v>
      </c>
      <c r="T55" s="17">
        <v>2.3043154567460099E-3</v>
      </c>
      <c r="U55" s="17">
        <v>7.8073186837302994E-2</v>
      </c>
      <c r="V55" s="17">
        <v>0.92630169320256595</v>
      </c>
      <c r="W55" s="18">
        <f t="shared" si="18"/>
        <v>1.9021663491837939E-3</v>
      </c>
      <c r="X55" s="19">
        <f t="shared" si="23"/>
        <v>3.2417057432088114E-4</v>
      </c>
      <c r="Y55" s="19">
        <f t="shared" si="23"/>
        <v>-1.531422459011722E-3</v>
      </c>
      <c r="Z55" s="19">
        <f t="shared" si="23"/>
        <v>1.2303315716106766E-3</v>
      </c>
      <c r="AA55" s="18">
        <f t="shared" si="25"/>
        <v>6.064906745311501E-7</v>
      </c>
      <c r="AB55" s="18">
        <f t="shared" si="26"/>
        <v>2.2964092159560849E-5</v>
      </c>
      <c r="AC55" s="18">
        <f t="shared" si="27"/>
        <v>3.0777883284244378E-5</v>
      </c>
      <c r="AD55" s="18">
        <f t="shared" si="24"/>
        <v>5.2197595918457997E-6</v>
      </c>
    </row>
    <row r="56" spans="1:30">
      <c r="A56" s="6">
        <v>54</v>
      </c>
      <c r="B56" s="7">
        <f t="shared" si="0"/>
        <v>-393.46564813195897</v>
      </c>
      <c r="C56" s="7">
        <f t="shared" si="1"/>
        <v>1.3183787605490227E-171</v>
      </c>
      <c r="D56" s="7">
        <f t="shared" si="2"/>
        <v>-4.7908518076447066</v>
      </c>
      <c r="E56" s="7">
        <f t="shared" si="3"/>
        <v>-2.2995980672046148</v>
      </c>
      <c r="F56" s="7">
        <f t="shared" si="4"/>
        <v>-2.2995980672046148</v>
      </c>
      <c r="G56" s="7">
        <f t="shared" si="5"/>
        <v>-3.6701467953293667</v>
      </c>
      <c r="H56" s="7">
        <f t="shared" si="6"/>
        <v>-0.99870312150508422</v>
      </c>
      <c r="I56" s="7">
        <f t="shared" si="7"/>
        <v>-1.0445577736587111</v>
      </c>
      <c r="J56" s="7">
        <f t="shared" si="8"/>
        <v>13.600696002460124</v>
      </c>
      <c r="K56" s="7">
        <f t="shared" si="9"/>
        <v>-5.9349543545123735</v>
      </c>
      <c r="L56" s="7">
        <f t="shared" si="10"/>
        <v>-3.4482696329768476</v>
      </c>
      <c r="M56" s="7">
        <f t="shared" si="11"/>
        <v>-0.99797948500803257</v>
      </c>
      <c r="N56" s="7">
        <f t="shared" si="12"/>
        <v>5.8458845832935964</v>
      </c>
      <c r="O56" s="7">
        <f t="shared" si="13"/>
        <v>-11.200762027700458</v>
      </c>
      <c r="P56" s="7">
        <f t="shared" si="14"/>
        <v>9.1260457189855941</v>
      </c>
      <c r="Q56" s="7">
        <f t="shared" si="15"/>
        <v>1.0475001990178257E-2</v>
      </c>
      <c r="R56" s="7">
        <f t="shared" si="16"/>
        <v>0.10033590755505095</v>
      </c>
      <c r="S56" s="7">
        <f t="shared" si="17"/>
        <v>0.89149329726860671</v>
      </c>
      <c r="T56" s="17">
        <v>3.0385585864702198E-3</v>
      </c>
      <c r="U56" s="17">
        <v>7.1018266657233403E-2</v>
      </c>
      <c r="V56" s="17">
        <v>0.92736038017037692</v>
      </c>
      <c r="W56" s="18">
        <f t="shared" si="18"/>
        <v>2.2012723941923938E-3</v>
      </c>
      <c r="X56" s="19">
        <f t="shared" si="23"/>
        <v>2.792630823282849E-4</v>
      </c>
      <c r="Y56" s="19">
        <f t="shared" si="23"/>
        <v>-1.2963264771581606E-3</v>
      </c>
      <c r="Z56" s="19">
        <f t="shared" si="23"/>
        <v>1.0365908894076625E-3</v>
      </c>
      <c r="AA56" s="18">
        <f t="shared" si="25"/>
        <v>5.4813586429198207E-7</v>
      </c>
      <c r="AB56" s="18">
        <f t="shared" si="26"/>
        <v>2.4346652376729054E-5</v>
      </c>
      <c r="AC56" s="18">
        <f t="shared" si="27"/>
        <v>3.1979784938177559E-5</v>
      </c>
      <c r="AD56" s="18">
        <f t="shared" si="24"/>
        <v>5.3093690409278745E-6</v>
      </c>
    </row>
    <row r="57" spans="1:30">
      <c r="A57" s="6">
        <v>55</v>
      </c>
      <c r="B57" s="7">
        <f t="shared" si="0"/>
        <v>-400.57983836706012</v>
      </c>
      <c r="C57" s="7">
        <f t="shared" si="1"/>
        <v>1.0724736619582744E-174</v>
      </c>
      <c r="D57" s="7">
        <f t="shared" si="2"/>
        <v>-4.7908518076447066</v>
      </c>
      <c r="E57" s="7">
        <f t="shared" si="3"/>
        <v>-2.2995980672046148</v>
      </c>
      <c r="F57" s="7">
        <f t="shared" si="4"/>
        <v>-2.2995980672046148</v>
      </c>
      <c r="G57" s="7">
        <f t="shared" si="5"/>
        <v>-3.7696286192550303</v>
      </c>
      <c r="H57" s="7">
        <f t="shared" si="6"/>
        <v>-0.99893698036562029</v>
      </c>
      <c r="I57" s="7">
        <f t="shared" si="7"/>
        <v>-1.0454290216971813</v>
      </c>
      <c r="J57" s="7">
        <f t="shared" si="8"/>
        <v>13.602959943000066</v>
      </c>
      <c r="K57" s="7">
        <f t="shared" si="9"/>
        <v>-5.9363804303353058</v>
      </c>
      <c r="L57" s="7">
        <f t="shared" si="10"/>
        <v>-3.5427716311848618</v>
      </c>
      <c r="M57" s="7">
        <f t="shared" si="11"/>
        <v>-0.99832716059114224</v>
      </c>
      <c r="N57" s="7">
        <f t="shared" si="12"/>
        <v>5.8469959196182373</v>
      </c>
      <c r="O57" s="7">
        <f t="shared" si="13"/>
        <v>-11.204122403065496</v>
      </c>
      <c r="P57" s="7">
        <f t="shared" si="14"/>
        <v>9.1283446504332026</v>
      </c>
      <c r="Q57" s="7">
        <f t="shared" si="15"/>
        <v>1.0715090276349315E-2</v>
      </c>
      <c r="R57" s="7">
        <f t="shared" si="16"/>
        <v>9.923947272995548E-2</v>
      </c>
      <c r="S57" s="7">
        <f t="shared" si="17"/>
        <v>0.89236615289328114</v>
      </c>
      <c r="T57" s="17">
        <v>7.9515125832206497E-3</v>
      </c>
      <c r="U57" s="17">
        <v>6.6968684958737701E-2</v>
      </c>
      <c r="V57" s="17">
        <v>0.93389441761834491</v>
      </c>
      <c r="W57" s="18">
        <f t="shared" si="18"/>
        <v>2.7736378761159131E-3</v>
      </c>
      <c r="X57" s="19">
        <f t="shared" si="23"/>
        <v>2.4008828617105848E-4</v>
      </c>
      <c r="Y57" s="19">
        <f t="shared" si="23"/>
        <v>-1.0964348250954714E-3</v>
      </c>
      <c r="Z57" s="19">
        <f t="shared" si="23"/>
        <v>8.7285562467442901E-4</v>
      </c>
      <c r="AA57" s="18">
        <f t="shared" si="25"/>
        <v>4.9928556047678358E-7</v>
      </c>
      <c r="AB57" s="18">
        <f t="shared" si="26"/>
        <v>2.5558950671214976E-5</v>
      </c>
      <c r="AC57" s="18">
        <f t="shared" si="27"/>
        <v>3.3012820455968947E-5</v>
      </c>
      <c r="AD57" s="18">
        <f t="shared" si="24"/>
        <v>5.3857222865909534E-6</v>
      </c>
    </row>
    <row r="58" spans="1:30">
      <c r="A58" s="6">
        <v>56</v>
      </c>
      <c r="B58" s="7">
        <f t="shared" si="0"/>
        <v>-407.69402860216121</v>
      </c>
      <c r="C58" s="7">
        <f t="shared" si="1"/>
        <v>8.7243498606976173E-178</v>
      </c>
      <c r="D58" s="7">
        <f t="shared" si="2"/>
        <v>-4.7908518076447066</v>
      </c>
      <c r="E58" s="7">
        <f t="shared" si="3"/>
        <v>-2.2995980672046148</v>
      </c>
      <c r="F58" s="7">
        <f t="shared" si="4"/>
        <v>-2.2995980672046148</v>
      </c>
      <c r="G58" s="7">
        <f t="shared" si="5"/>
        <v>-3.869110443180694</v>
      </c>
      <c r="H58" s="7">
        <f t="shared" si="6"/>
        <v>-0.99912868714685943</v>
      </c>
      <c r="I58" s="7">
        <f t="shared" si="7"/>
        <v>-1.0461432309289083</v>
      </c>
      <c r="J58" s="7">
        <f t="shared" si="8"/>
        <v>13.604815817747912</v>
      </c>
      <c r="K58" s="7">
        <f t="shared" si="9"/>
        <v>-5.937549461969132</v>
      </c>
      <c r="L58" s="7">
        <f t="shared" si="10"/>
        <v>-3.6372736293928751</v>
      </c>
      <c r="M58" s="7">
        <f t="shared" si="11"/>
        <v>-0.99861505214797985</v>
      </c>
      <c r="N58" s="7">
        <f t="shared" si="12"/>
        <v>5.8479161577949004</v>
      </c>
      <c r="O58" s="7">
        <f t="shared" si="13"/>
        <v>-11.206904950193904</v>
      </c>
      <c r="P58" s="7">
        <f t="shared" si="14"/>
        <v>9.1302482726191379</v>
      </c>
      <c r="Q58" s="7">
        <f t="shared" si="15"/>
        <v>1.0921119221285025E-2</v>
      </c>
      <c r="R58" s="7">
        <f t="shared" si="16"/>
        <v>9.8312800349393825E-2</v>
      </c>
      <c r="S58" s="7">
        <f t="shared" si="17"/>
        <v>0.89310074344539103</v>
      </c>
      <c r="T58" s="17">
        <v>-1.1013052498209E-4</v>
      </c>
      <c r="U58" s="17">
        <v>6.18422691296922E-2</v>
      </c>
      <c r="V58" s="17">
        <v>0.94275156262420401</v>
      </c>
      <c r="W58" s="18">
        <f t="shared" si="18"/>
        <v>3.9169919635389317E-3</v>
      </c>
      <c r="X58" s="19">
        <f t="shared" si="23"/>
        <v>2.0602894493571E-4</v>
      </c>
      <c r="Y58" s="19">
        <f t="shared" si="23"/>
        <v>-9.2667238056165502E-4</v>
      </c>
      <c r="Z58" s="19">
        <f t="shared" si="23"/>
        <v>7.3459055210989277E-4</v>
      </c>
      <c r="AA58" s="18">
        <f t="shared" si="25"/>
        <v>4.5842678427719586E-7</v>
      </c>
      <c r="AB58" s="18">
        <f t="shared" si="26"/>
        <v>2.661544857054653E-5</v>
      </c>
      <c r="AC58" s="18">
        <f t="shared" si="27"/>
        <v>3.3897329771975607E-5</v>
      </c>
      <c r="AD58" s="18">
        <f t="shared" si="24"/>
        <v>5.4506513986045192E-6</v>
      </c>
    </row>
    <row r="59" spans="1:30">
      <c r="A59" s="6">
        <v>57</v>
      </c>
      <c r="B59" s="7">
        <f t="shared" si="0"/>
        <v>-414.80821883726236</v>
      </c>
      <c r="C59" s="7">
        <f t="shared" si="1"/>
        <v>7.0970768972423963E-181</v>
      </c>
      <c r="D59" s="7">
        <f t="shared" si="2"/>
        <v>-4.7908518076447066</v>
      </c>
      <c r="E59" s="7">
        <f t="shared" si="3"/>
        <v>-2.2995980672046148</v>
      </c>
      <c r="F59" s="7">
        <f t="shared" si="4"/>
        <v>-2.2995980672046148</v>
      </c>
      <c r="G59" s="7">
        <f t="shared" si="5"/>
        <v>-3.9685922671063576</v>
      </c>
      <c r="H59" s="7">
        <f t="shared" si="6"/>
        <v>-0.99928583355078737</v>
      </c>
      <c r="I59" s="7">
        <f t="shared" si="7"/>
        <v>-1.0467286844621251</v>
      </c>
      <c r="J59" s="7">
        <f t="shared" si="8"/>
        <v>13.606337120441953</v>
      </c>
      <c r="K59" s="7">
        <f t="shared" si="9"/>
        <v>-5.9385077437583647</v>
      </c>
      <c r="L59" s="7">
        <f t="shared" si="10"/>
        <v>-3.7317756276008893</v>
      </c>
      <c r="M59" s="7">
        <f t="shared" si="11"/>
        <v>-0.99885342670193056</v>
      </c>
      <c r="N59" s="7">
        <f t="shared" si="12"/>
        <v>5.8486781161076067</v>
      </c>
      <c r="O59" s="7">
        <f t="shared" si="13"/>
        <v>-11.209208902549669</v>
      </c>
      <c r="P59" s="7">
        <f t="shared" si="14"/>
        <v>9.1318244740695995</v>
      </c>
      <c r="Q59" s="7">
        <f t="shared" si="15"/>
        <v>1.1097624000774964E-2</v>
      </c>
      <c r="R59" s="7">
        <f t="shared" si="16"/>
        <v>9.7530150687669348E-2</v>
      </c>
      <c r="S59" s="7">
        <f t="shared" si="17"/>
        <v>0.89371866310662007</v>
      </c>
      <c r="T59" s="17">
        <v>5.6947636442931599E-3</v>
      </c>
      <c r="U59" s="17">
        <v>6.0470398956274998E-2</v>
      </c>
      <c r="V59" s="17">
        <v>0.93680268831874902</v>
      </c>
      <c r="W59" s="18">
        <f t="shared" si="18"/>
        <v>3.2588493269035922E-3</v>
      </c>
      <c r="X59" s="19">
        <f t="shared" si="23"/>
        <v>1.7650477948993881E-4</v>
      </c>
      <c r="Y59" s="19">
        <f t="shared" si="23"/>
        <v>-7.8264966172447714E-4</v>
      </c>
      <c r="Z59" s="19">
        <f t="shared" si="23"/>
        <v>6.179196612290383E-4</v>
      </c>
      <c r="AA59" s="18">
        <f t="shared" si="25"/>
        <v>4.242574191667681E-7</v>
      </c>
      <c r="AB59" s="18">
        <f t="shared" si="26"/>
        <v>2.7531425035459161E-5</v>
      </c>
      <c r="AC59" s="18">
        <f t="shared" si="27"/>
        <v>3.465223997225405E-5</v>
      </c>
      <c r="AD59" s="18">
        <f t="shared" si="24"/>
        <v>5.5057703261066E-6</v>
      </c>
    </row>
    <row r="60" spans="1:30">
      <c r="A60" s="6">
        <v>58</v>
      </c>
      <c r="B60" s="7">
        <f t="shared" si="0"/>
        <v>-421.92240907236345</v>
      </c>
      <c r="C60" s="7">
        <f t="shared" si="1"/>
        <v>5.7733242349988763E-184</v>
      </c>
      <c r="D60" s="7">
        <f t="shared" si="2"/>
        <v>-4.7908518076447066</v>
      </c>
      <c r="E60" s="7">
        <f t="shared" si="3"/>
        <v>-2.2995980672046148</v>
      </c>
      <c r="F60" s="7">
        <f t="shared" si="4"/>
        <v>-2.2995980672046148</v>
      </c>
      <c r="G60" s="7">
        <f t="shared" si="5"/>
        <v>-4.0680740910320212</v>
      </c>
      <c r="H60" s="7">
        <f t="shared" si="6"/>
        <v>-0.99941464597413432</v>
      </c>
      <c r="I60" s="7">
        <f t="shared" si="7"/>
        <v>-1.0472085789203227</v>
      </c>
      <c r="J60" s="7">
        <f t="shared" si="8"/>
        <v>13.607584127575208</v>
      </c>
      <c r="K60" s="7">
        <f t="shared" si="9"/>
        <v>-5.9392932443898454</v>
      </c>
      <c r="L60" s="7">
        <f t="shared" si="10"/>
        <v>-3.8262776258089035</v>
      </c>
      <c r="M60" s="7">
        <f t="shared" si="11"/>
        <v>-0.99905079217308157</v>
      </c>
      <c r="N60" s="7">
        <f t="shared" si="12"/>
        <v>5.849308989910587</v>
      </c>
      <c r="O60" s="7">
        <f t="shared" si="13"/>
        <v>-11.211116491403718</v>
      </c>
      <c r="P60" s="7">
        <f t="shared" si="14"/>
        <v>9.1331295116113314</v>
      </c>
      <c r="Q60" s="7">
        <f t="shared" si="15"/>
        <v>1.1248603345557662E-2</v>
      </c>
      <c r="R60" s="7">
        <f t="shared" si="16"/>
        <v>9.6869568966875264E-2</v>
      </c>
      <c r="S60" s="7">
        <f t="shared" si="17"/>
        <v>0.89423820001687027</v>
      </c>
      <c r="T60" s="17">
        <v>-2.2807198247528698E-3</v>
      </c>
      <c r="U60" s="17">
        <v>5.4975808919005206E-2</v>
      </c>
      <c r="V60" s="17">
        <v>0.94398061818187207</v>
      </c>
      <c r="W60" s="18">
        <f t="shared" si="18"/>
        <v>4.4124378812971151E-3</v>
      </c>
      <c r="X60" s="19">
        <f t="shared" si="23"/>
        <v>1.5097934478269792E-4</v>
      </c>
      <c r="Y60" s="19">
        <f t="shared" si="23"/>
        <v>-6.605817207940845E-4</v>
      </c>
      <c r="Z60" s="19">
        <f t="shared" si="23"/>
        <v>5.1953691025019566E-4</v>
      </c>
      <c r="AA60" s="18">
        <f t="shared" si="25"/>
        <v>3.9567270398191612E-7</v>
      </c>
      <c r="AB60" s="18">
        <f t="shared" si="26"/>
        <v>2.8322103651241667E-5</v>
      </c>
      <c r="AC60" s="18">
        <f t="shared" si="27"/>
        <v>3.5294794127224189E-5</v>
      </c>
      <c r="AD60" s="18">
        <f t="shared" si="24"/>
        <v>5.5524905543057476E-6</v>
      </c>
    </row>
    <row r="61" spans="1:30">
      <c r="A61" s="6">
        <v>59</v>
      </c>
      <c r="B61" s="7">
        <f t="shared" si="0"/>
        <v>-429.0365993074646</v>
      </c>
      <c r="C61" s="7">
        <f t="shared" si="1"/>
        <v>4.6964790159416882E-187</v>
      </c>
      <c r="D61" s="7">
        <f t="shared" si="2"/>
        <v>-4.7908518076447066</v>
      </c>
      <c r="E61" s="7">
        <f t="shared" si="3"/>
        <v>-2.2995980672046148</v>
      </c>
      <c r="F61" s="7">
        <f t="shared" si="4"/>
        <v>-2.2995980672046148</v>
      </c>
      <c r="G61" s="7">
        <f t="shared" si="5"/>
        <v>-4.1675559149576848</v>
      </c>
      <c r="H61" s="7">
        <f t="shared" si="6"/>
        <v>-0.99952023039694615</v>
      </c>
      <c r="I61" s="7">
        <f t="shared" si="7"/>
        <v>-1.047601936781799</v>
      </c>
      <c r="J61" s="7">
        <f t="shared" si="8"/>
        <v>13.608606269112382</v>
      </c>
      <c r="K61" s="7">
        <f t="shared" si="9"/>
        <v>-5.9399371002279562</v>
      </c>
      <c r="L61" s="7">
        <f t="shared" si="10"/>
        <v>-3.9207796240169168</v>
      </c>
      <c r="M61" s="7">
        <f t="shared" si="11"/>
        <v>-0.99921419748158469</v>
      </c>
      <c r="N61" s="7">
        <f t="shared" si="12"/>
        <v>5.849831310901191</v>
      </c>
      <c r="O61" s="7">
        <f t="shared" si="13"/>
        <v>-11.212695846411334</v>
      </c>
      <c r="P61" s="7">
        <f t="shared" si="14"/>
        <v>9.134209994741795</v>
      </c>
      <c r="Q61" s="7">
        <f t="shared" si="15"/>
        <v>1.1377566474685352E-2</v>
      </c>
      <c r="R61" s="7">
        <f t="shared" si="16"/>
        <v>9.6312355496433355E-2</v>
      </c>
      <c r="S61" s="7">
        <f t="shared" si="17"/>
        <v>0.89467482730922399</v>
      </c>
      <c r="T61" s="17">
        <v>-1.0788247514761E-4</v>
      </c>
      <c r="U61" s="17">
        <v>5.3596926243307502E-2</v>
      </c>
      <c r="V61" s="17">
        <v>0.94100736181572697</v>
      </c>
      <c r="W61" s="18">
        <f t="shared" si="18"/>
        <v>4.1032271876543088E-3</v>
      </c>
      <c r="X61" s="19">
        <f t="shared" si="23"/>
        <v>1.2896312912769048E-4</v>
      </c>
      <c r="Y61" s="19">
        <f t="shared" si="23"/>
        <v>-5.572134704419085E-4</v>
      </c>
      <c r="Z61" s="19">
        <f t="shared" si="23"/>
        <v>4.3662729235371955E-4</v>
      </c>
      <c r="AA61" s="18">
        <f t="shared" si="25"/>
        <v>3.7174427049023223E-7</v>
      </c>
      <c r="AB61" s="18">
        <f t="shared" si="26"/>
        <v>2.9002085331374878E-5</v>
      </c>
      <c r="AC61" s="18">
        <f t="shared" si="27"/>
        <v>3.5840454994723033E-5</v>
      </c>
      <c r="AD61" s="18">
        <f t="shared" si="24"/>
        <v>5.5920391588812835E-6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8E003-6994-44B4-B777-E3ED3FA69123}">
  <dimension ref="A1:AW61"/>
  <sheetViews>
    <sheetView zoomScale="64" zoomScaleNormal="70" workbookViewId="0">
      <selection activeCell="AN1" sqref="AN1:AO3"/>
    </sheetView>
  </sheetViews>
  <sheetFormatPr defaultRowHeight="14.5"/>
  <cols>
    <col min="3" max="3" width="12.1796875" bestFit="1" customWidth="1"/>
    <col min="4" max="4" width="14.26953125" bestFit="1" customWidth="1"/>
    <col min="5" max="5" width="13.36328125" bestFit="1" customWidth="1"/>
    <col min="6" max="6" width="14.26953125" bestFit="1" customWidth="1"/>
    <col min="7" max="7" width="13.7265625" bestFit="1" customWidth="1"/>
    <col min="8" max="8" width="13.7265625" customWidth="1"/>
    <col min="9" max="9" width="14.26953125" bestFit="1" customWidth="1"/>
    <col min="10" max="10" width="13.7265625" bestFit="1" customWidth="1"/>
    <col min="11" max="11" width="14.26953125" bestFit="1" customWidth="1"/>
    <col min="12" max="21" width="14.26953125" customWidth="1"/>
    <col min="22" max="27" width="9" bestFit="1" customWidth="1"/>
    <col min="28" max="28" width="15.7265625" bestFit="1" customWidth="1"/>
    <col min="29" max="31" width="14.6328125" bestFit="1" customWidth="1"/>
    <col min="32" max="34" width="14" bestFit="1" customWidth="1"/>
    <col min="35" max="35" width="15.7265625" bestFit="1" customWidth="1"/>
    <col min="37" max="37" width="9.81640625" bestFit="1" customWidth="1"/>
    <col min="38" max="38" width="9" bestFit="1" customWidth="1"/>
    <col min="39" max="39" width="0" hidden="1" customWidth="1"/>
    <col min="40" max="40" width="10.453125" bestFit="1" customWidth="1"/>
    <col min="41" max="41" width="12" bestFit="1" customWidth="1"/>
  </cols>
  <sheetData>
    <row r="1" spans="1:41">
      <c r="A1" s="5" t="s">
        <v>0</v>
      </c>
      <c r="B1" s="5" t="s">
        <v>5</v>
      </c>
      <c r="C1" s="5" t="s">
        <v>6</v>
      </c>
      <c r="D1" s="5" t="s">
        <v>7</v>
      </c>
      <c r="E1" s="5" t="s">
        <v>8</v>
      </c>
      <c r="F1" s="5" t="s">
        <v>51</v>
      </c>
      <c r="G1" s="5" t="s">
        <v>52</v>
      </c>
      <c r="H1" s="5" t="s">
        <v>53</v>
      </c>
      <c r="I1" s="5" t="s">
        <v>54</v>
      </c>
      <c r="J1" s="5" t="s">
        <v>55</v>
      </c>
      <c r="K1" s="5" t="s">
        <v>56</v>
      </c>
      <c r="L1" s="5" t="s">
        <v>79</v>
      </c>
      <c r="M1" s="5" t="s">
        <v>80</v>
      </c>
      <c r="N1" s="5" t="s">
        <v>76</v>
      </c>
      <c r="O1" s="5" t="s">
        <v>77</v>
      </c>
      <c r="P1" s="5" t="s">
        <v>78</v>
      </c>
      <c r="Q1" s="5" t="s">
        <v>97</v>
      </c>
      <c r="R1" s="5" t="s">
        <v>98</v>
      </c>
      <c r="S1" s="5" t="s">
        <v>99</v>
      </c>
      <c r="T1" s="5" t="s">
        <v>100</v>
      </c>
      <c r="U1" s="5" t="s">
        <v>101</v>
      </c>
      <c r="V1" s="5" t="s">
        <v>48</v>
      </c>
      <c r="W1" s="5" t="s">
        <v>49</v>
      </c>
      <c r="X1" s="5" t="s">
        <v>50</v>
      </c>
      <c r="Y1" s="5" t="s">
        <v>27</v>
      </c>
      <c r="Z1" s="5" t="s">
        <v>28</v>
      </c>
      <c r="AA1" s="5" t="s">
        <v>29</v>
      </c>
      <c r="AB1" s="5" t="s">
        <v>13</v>
      </c>
      <c r="AC1" s="5" t="s">
        <v>57</v>
      </c>
      <c r="AD1" s="5" t="s">
        <v>58</v>
      </c>
      <c r="AE1" s="5" t="s">
        <v>59</v>
      </c>
      <c r="AF1" s="5" t="s">
        <v>37</v>
      </c>
      <c r="AG1" s="5" t="s">
        <v>38</v>
      </c>
      <c r="AH1" s="5" t="s">
        <v>39</v>
      </c>
      <c r="AI1" s="5" t="s">
        <v>40</v>
      </c>
      <c r="AK1" s="15" t="s">
        <v>14</v>
      </c>
      <c r="AL1" s="15" t="s">
        <v>15</v>
      </c>
      <c r="AN1" s="15" t="s">
        <v>13</v>
      </c>
      <c r="AO1" s="22">
        <f>AVERAGE(AB2:AB61)</f>
        <v>8.7545604325015556E-4</v>
      </c>
    </row>
    <row r="2" spans="1:41">
      <c r="A2" s="6">
        <v>0</v>
      </c>
      <c r="B2" s="7">
        <f>$AL$2*A2+$AL$3</f>
        <v>-9.0484639568574021</v>
      </c>
      <c r="C2" s="7">
        <f>1/(1+EXP(-B2))</f>
        <v>1.1755767174419515E-4</v>
      </c>
      <c r="D2" s="7">
        <f>$AL$4*C2+$AL$5</f>
        <v>-6.4699240822492534</v>
      </c>
      <c r="E2" s="7">
        <f>$AL$6*C2+$AL$7</f>
        <v>1.4526126545102573</v>
      </c>
      <c r="F2" s="7">
        <f>$AL$6*C2+$AL$7</f>
        <v>1.4526126545102573</v>
      </c>
      <c r="G2" s="7">
        <f>$AL$10*A2+$AL$11</f>
        <v>-2.6669356097915586</v>
      </c>
      <c r="H2" s="7">
        <f>TANH(G2)</f>
        <v>-0.99039563684189191</v>
      </c>
      <c r="I2" s="7">
        <f>$AL$12*H2+$AL$13</f>
        <v>-10.563347279444647</v>
      </c>
      <c r="J2" s="7">
        <f>$AL$14*H2+$AL$15</f>
        <v>-3.4292029831593522</v>
      </c>
      <c r="K2" s="7">
        <f>$AL$16*H2+$AL$17</f>
        <v>-2.7937320093979436</v>
      </c>
      <c r="L2" s="7">
        <f>$AL$18*A2+$AL$19</f>
        <v>-2.672790290664389</v>
      </c>
      <c r="M2" s="7">
        <f>TANH(L2)</f>
        <v>-0.99050691125592216</v>
      </c>
      <c r="N2" s="7">
        <f>$AL$20*M2+$AL$21</f>
        <v>11.719918776917099</v>
      </c>
      <c r="O2" s="7">
        <f>$AL$22*M2+$AL$23</f>
        <v>8.4718069236094848</v>
      </c>
      <c r="P2" s="7">
        <f>$AL$24*M2+$AL$25</f>
        <v>2.857693460652369</v>
      </c>
      <c r="Q2" s="7">
        <f>$AL$26*A2+$AL$27</f>
        <v>-2.1010322620714414</v>
      </c>
      <c r="R2" s="7">
        <f>TANH(Q2)</f>
        <v>-0.97051197787970334</v>
      </c>
      <c r="S2" s="7">
        <f>$AL$28*R2+$AL$29</f>
        <v>6.3338303258776509</v>
      </c>
      <c r="T2" s="7">
        <f>$AL$30*R2+$AL$31</f>
        <v>-6.4897967859031498</v>
      </c>
      <c r="U2" s="7">
        <f>$AL$32*R2+$AL$33</f>
        <v>-1.5500809045719255</v>
      </c>
      <c r="V2" s="7">
        <f>SUM(D2,I2,N2,S2)</f>
        <v>1.0204777411008514</v>
      </c>
      <c r="W2" s="7">
        <f>SUM(E2,J2,O2,T2)</f>
        <v>5.4198090572397106E-3</v>
      </c>
      <c r="X2" s="7">
        <f>SUM(F2,K2,P2,U2)</f>
        <v>-3.3506798807242832E-2</v>
      </c>
      <c r="Y2" s="17">
        <v>0.99916902781949102</v>
      </c>
      <c r="Z2" s="17">
        <v>-5.1644142064485399E-4</v>
      </c>
      <c r="AA2" s="17">
        <v>1.29646532345248E-3</v>
      </c>
      <c r="AB2" s="18">
        <f>SUM((V2-Y2)^2, (W2-Z2)^2, (X2-AA2)^2)</f>
        <v>1.7005675255943532E-3</v>
      </c>
      <c r="AC2" s="19"/>
      <c r="AD2" s="19"/>
      <c r="AE2" s="19"/>
      <c r="AF2" s="18"/>
      <c r="AG2" s="18"/>
      <c r="AH2" s="18"/>
      <c r="AI2" s="18">
        <f>(1 - SUM(V2:X2))^2</f>
        <v>5.7900665004616814E-5</v>
      </c>
      <c r="AK2" s="22" t="s">
        <v>16</v>
      </c>
      <c r="AL2" s="22">
        <v>-5.9475457587055294</v>
      </c>
      <c r="AM2">
        <v>-7.114190235101125</v>
      </c>
      <c r="AN2" s="15" t="s">
        <v>60</v>
      </c>
      <c r="AO2" s="22">
        <f>AVERAGE(AF3:AI61)</f>
        <v>2.2789733088323605E-5</v>
      </c>
    </row>
    <row r="3" spans="1:41">
      <c r="A3" s="6">
        <v>1</v>
      </c>
      <c r="B3" s="7">
        <f t="shared" ref="B3:B61" si="0">$AL$2*A3+$AL$3</f>
        <v>-14.996009715562931</v>
      </c>
      <c r="C3" s="7">
        <f t="shared" ref="C3:C61" si="1">1/(1+EXP(-B3))</f>
        <v>3.0712530203202957E-7</v>
      </c>
      <c r="D3" s="7">
        <f t="shared" ref="D3:D61" si="2">$AL$4*C3+$AL$5</f>
        <v>-6.4693249402102335</v>
      </c>
      <c r="E3" s="7">
        <f t="shared" ref="E3:E61" si="3">$AL$6*C3+$AL$7</f>
        <v>1.4515079923678489</v>
      </c>
      <c r="F3" s="7">
        <f t="shared" ref="F3:F61" si="4">$AL$6*C3+$AL$7</f>
        <v>1.4515079923678489</v>
      </c>
      <c r="G3" s="7">
        <f t="shared" ref="G3:G61" si="5">$AL$10*A3+$AL$11</f>
        <v>-2.496529480774448</v>
      </c>
      <c r="H3" s="7">
        <f t="shared" ref="H3:H61" si="6">TANH(G3)</f>
        <v>-0.98652169260195388</v>
      </c>
      <c r="I3" s="7">
        <f t="shared" ref="I3:I61" si="7">$AL$12*H3+$AL$13</f>
        <v>-10.530202229641603</v>
      </c>
      <c r="J3" s="7">
        <f t="shared" ref="J3:J61" si="8">$AL$14*H3+$AL$15</f>
        <v>-3.4156309369723084</v>
      </c>
      <c r="K3" s="7">
        <f t="shared" ref="K3:K61" si="9">$AL$16*H3+$AL$17</f>
        <v>-2.7717912718812312</v>
      </c>
      <c r="L3" s="7">
        <f t="shared" ref="L3:L61" si="10">$AL$18*A3+$AL$19</f>
        <v>-2.5020011240271058</v>
      </c>
      <c r="M3" s="7">
        <f t="shared" ref="M3:M61" si="11">TANH(L3)</f>
        <v>-0.98666740756837035</v>
      </c>
      <c r="N3" s="7">
        <f t="shared" ref="N3:N61" si="12">$AL$20*M3+$AL$21</f>
        <v>11.685128117588677</v>
      </c>
      <c r="O3" s="7">
        <f t="shared" ref="O3:O61" si="13">$AL$22*M3+$AL$23</f>
        <v>8.4601838967835388</v>
      </c>
      <c r="P3" s="7">
        <f t="shared" ref="P3:P61" si="14">$AL$24*M3+$AL$25</f>
        <v>2.8361369284803049</v>
      </c>
      <c r="Q3" s="7">
        <f t="shared" ref="Q3:Q61" si="15">$AL$26*A3+$AL$27</f>
        <v>-2.0224374578247279</v>
      </c>
      <c r="R3" s="7">
        <f t="shared" ref="R3:R61" si="16">TANH(Q3)</f>
        <v>-0.9655789871958006</v>
      </c>
      <c r="S3" s="7">
        <f t="shared" ref="S3:S61" si="17">$AL$28*R3+$AL$29</f>
        <v>6.3338000437112685</v>
      </c>
      <c r="T3" s="7">
        <f t="shared" ref="T3:T61" si="18">$AL$30*R3+$AL$31</f>
        <v>-6.4919986736933355</v>
      </c>
      <c r="U3" s="7">
        <f t="shared" ref="U3:U61" si="19">$AL$32*R3+$AL$33</f>
        <v>-1.5479291776809894</v>
      </c>
      <c r="V3" s="7">
        <f t="shared" ref="V3:V61" si="20">SUM(D3,I3,N3,S3)</f>
        <v>1.0194009914481077</v>
      </c>
      <c r="W3" s="7">
        <f t="shared" ref="W3:W61" si="21">SUM(E3,J3,O3,T3)</f>
        <v>4.0622784857440308E-3</v>
      </c>
      <c r="X3" s="7">
        <f t="shared" ref="X3:X61" si="22">SUM(F3,K3,P3,U3)</f>
        <v>-3.2075528714066825E-2</v>
      </c>
      <c r="Y3" s="17">
        <v>0.98960193539692398</v>
      </c>
      <c r="Z3" s="17">
        <v>2.1639113228485896E-3</v>
      </c>
      <c r="AA3" s="17">
        <v>2.6945909567850398E-3</v>
      </c>
      <c r="AB3" s="18">
        <f t="shared" ref="AB3:AB61" si="23">SUM((V3-Y3)^2, (W3-Z3)^2, (X3-AA3)^2)</f>
        <v>2.1005487613521079E-3</v>
      </c>
      <c r="AC3" s="19">
        <f>V3-V2</f>
        <v>-1.0767496527437359E-3</v>
      </c>
      <c r="AD3" s="19">
        <f t="shared" ref="AD3:AE18" si="24">W3-W2</f>
        <v>-1.3575305714956798E-3</v>
      </c>
      <c r="AE3" s="19">
        <f t="shared" si="24"/>
        <v>1.431270093176007E-3</v>
      </c>
      <c r="AF3" s="18">
        <f t="shared" ref="AF3:AF34" si="25">(AC3+$AL$35*V3*W3)^2</f>
        <v>1.1700779040480915E-6</v>
      </c>
      <c r="AG3" s="18">
        <f t="shared" ref="AG3:AG34" si="26">(AD3-$AL$35*V3*W3+$AL$34*W3)^2</f>
        <v>1.0383525521453032E-5</v>
      </c>
      <c r="AH3" s="18">
        <f t="shared" ref="AH3:AH34" si="27">(AE3-$AL$34*W3)^2</f>
        <v>1.2942163584655402E-6</v>
      </c>
      <c r="AI3" s="18">
        <f>(1 - SUM(V3:X3))^2</f>
        <v>7.4171001297392063E-5</v>
      </c>
      <c r="AK3" s="22" t="s">
        <v>17</v>
      </c>
      <c r="AL3" s="22">
        <v>-9.0484639568574021</v>
      </c>
      <c r="AM3">
        <v>-9.2993754364982397</v>
      </c>
      <c r="AN3" s="15" t="s">
        <v>61</v>
      </c>
      <c r="AO3" s="22">
        <f>SUM(AO1:AO2)</f>
        <v>8.9824577633847917E-4</v>
      </c>
    </row>
    <row r="4" spans="1:41">
      <c r="A4" s="6">
        <v>2</v>
      </c>
      <c r="B4" s="7">
        <f t="shared" si="0"/>
        <v>-20.943555474268461</v>
      </c>
      <c r="C4" s="7">
        <f t="shared" si="1"/>
        <v>8.0228639158159102E-10</v>
      </c>
      <c r="D4" s="7">
        <f t="shared" si="2"/>
        <v>-6.4693233749211858</v>
      </c>
      <c r="E4" s="7">
        <f t="shared" si="3"/>
        <v>1.4515051063818214</v>
      </c>
      <c r="F4" s="7">
        <f t="shared" si="4"/>
        <v>1.4515051063818214</v>
      </c>
      <c r="G4" s="7">
        <f t="shared" si="5"/>
        <v>-2.326123351757337</v>
      </c>
      <c r="H4" s="7">
        <f t="shared" si="6"/>
        <v>-0.9811000206047561</v>
      </c>
      <c r="I4" s="7">
        <f t="shared" si="7"/>
        <v>-10.483814987793803</v>
      </c>
      <c r="J4" s="7">
        <f t="shared" si="8"/>
        <v>-3.3966365534191398</v>
      </c>
      <c r="K4" s="7">
        <f t="shared" si="9"/>
        <v>-2.741084716798206</v>
      </c>
      <c r="L4" s="7">
        <f t="shared" si="10"/>
        <v>-2.3312119573898227</v>
      </c>
      <c r="M4" s="7">
        <f t="shared" si="11"/>
        <v>-0.98128960387335817</v>
      </c>
      <c r="N4" s="7">
        <f t="shared" si="12"/>
        <v>11.636398554730098</v>
      </c>
      <c r="O4" s="7">
        <f t="shared" si="13"/>
        <v>8.4439040956169347</v>
      </c>
      <c r="P4" s="7">
        <f t="shared" si="14"/>
        <v>2.8059437556641349</v>
      </c>
      <c r="Q4" s="7">
        <f t="shared" si="15"/>
        <v>-1.9438426535780149</v>
      </c>
      <c r="R4" s="7">
        <f t="shared" si="16"/>
        <v>-0.95983758622784454</v>
      </c>
      <c r="S4" s="7">
        <f t="shared" si="17"/>
        <v>6.3337647989539763</v>
      </c>
      <c r="T4" s="7">
        <f t="shared" si="18"/>
        <v>-6.4945614031813834</v>
      </c>
      <c r="U4" s="7">
        <f t="shared" si="19"/>
        <v>-1.5454248293766819</v>
      </c>
      <c r="V4" s="7">
        <f t="shared" si="20"/>
        <v>1.0170249909690865</v>
      </c>
      <c r="W4" s="7">
        <f t="shared" si="21"/>
        <v>4.2112453982330322E-3</v>
      </c>
      <c r="X4" s="7">
        <f t="shared" si="22"/>
        <v>-2.9060684128931591E-2</v>
      </c>
      <c r="Y4" s="17">
        <v>1.0027006748148801</v>
      </c>
      <c r="Z4" s="17">
        <v>3.31005964809079E-3</v>
      </c>
      <c r="AA4" s="17">
        <v>-4.7185297244242705E-3</v>
      </c>
      <c r="AB4" s="18">
        <f t="shared" si="23"/>
        <v>7.9853865009479235E-4</v>
      </c>
      <c r="AC4" s="19">
        <f t="shared" ref="AC4:AE61" si="28">V4-V3</f>
        <v>-2.3760004790212008E-3</v>
      </c>
      <c r="AD4" s="19">
        <f t="shared" si="24"/>
        <v>1.489669124890014E-4</v>
      </c>
      <c r="AE4" s="19">
        <f t="shared" si="24"/>
        <v>3.0148445851352346E-3</v>
      </c>
      <c r="AF4" s="18">
        <f t="shared" si="25"/>
        <v>2.0624612442303575E-8</v>
      </c>
      <c r="AG4" s="18">
        <f t="shared" si="26"/>
        <v>3.1649095994215803E-6</v>
      </c>
      <c r="AH4" s="18">
        <f t="shared" si="27"/>
        <v>7.346501341275896E-6</v>
      </c>
      <c r="AI4" s="18">
        <f t="shared" ref="AI4:AI61" si="29">(1 - SUM(V4:X4))^2</f>
        <v>6.1221982774196023E-5</v>
      </c>
      <c r="AK4" s="22" t="s">
        <v>18</v>
      </c>
      <c r="AL4" s="22">
        <v>-5.1099296097121556</v>
      </c>
      <c r="AM4">
        <v>-4.194205175203602</v>
      </c>
    </row>
    <row r="5" spans="1:41">
      <c r="A5" s="6">
        <v>3</v>
      </c>
      <c r="B5" s="7">
        <f t="shared" si="0"/>
        <v>-26.891101232973988</v>
      </c>
      <c r="C5" s="7">
        <f t="shared" si="1"/>
        <v>2.0957676010555732E-12</v>
      </c>
      <c r="D5" s="7">
        <f t="shared" si="2"/>
        <v>-6.4693233708322682</v>
      </c>
      <c r="E5" s="7">
        <f t="shared" si="3"/>
        <v>1.4515050988429203</v>
      </c>
      <c r="F5" s="7">
        <f t="shared" si="4"/>
        <v>1.4515050988429203</v>
      </c>
      <c r="G5" s="7">
        <f t="shared" si="5"/>
        <v>-2.1557172227402264</v>
      </c>
      <c r="H5" s="7">
        <f t="shared" si="6"/>
        <v>-0.97352653540213663</v>
      </c>
      <c r="I5" s="7">
        <f t="shared" si="7"/>
        <v>-10.419017063849637</v>
      </c>
      <c r="J5" s="7">
        <f t="shared" si="8"/>
        <v>-3.3701034686351186</v>
      </c>
      <c r="K5" s="7">
        <f t="shared" si="9"/>
        <v>-2.6981910041824464</v>
      </c>
      <c r="L5" s="7">
        <f t="shared" si="10"/>
        <v>-2.1604227907525395</v>
      </c>
      <c r="M5" s="7">
        <f t="shared" si="11"/>
        <v>-0.9737712600192745</v>
      </c>
      <c r="N5" s="7">
        <f t="shared" si="12"/>
        <v>11.568273046584499</v>
      </c>
      <c r="O5" s="7">
        <f t="shared" si="13"/>
        <v>8.4211444059763156</v>
      </c>
      <c r="P5" s="7">
        <f t="shared" si="14"/>
        <v>2.7637327215409897</v>
      </c>
      <c r="Q5" s="7">
        <f t="shared" si="15"/>
        <v>-1.8652478493313014</v>
      </c>
      <c r="R5" s="7">
        <f t="shared" si="16"/>
        <v>-0.95316134412242282</v>
      </c>
      <c r="S5" s="7">
        <f t="shared" si="17"/>
        <v>6.3337238154842721</v>
      </c>
      <c r="T5" s="7">
        <f t="shared" si="18"/>
        <v>-6.497541407993519</v>
      </c>
      <c r="U5" s="7">
        <f t="shared" si="19"/>
        <v>-1.5425127116393602</v>
      </c>
      <c r="V5" s="7">
        <f t="shared" si="20"/>
        <v>1.0136564273868673</v>
      </c>
      <c r="W5" s="7">
        <f t="shared" si="21"/>
        <v>5.0046281905986589E-3</v>
      </c>
      <c r="X5" s="7">
        <f t="shared" si="22"/>
        <v>-2.5465895437896569E-2</v>
      </c>
      <c r="Y5" s="17">
        <v>0.99110329365628103</v>
      </c>
      <c r="Z5" s="17">
        <v>1.5165637719900501E-3</v>
      </c>
      <c r="AA5" s="17">
        <v>2.4789689316632598E-3</v>
      </c>
      <c r="AB5" s="18">
        <f t="shared" si="23"/>
        <v>1.301725879091168E-3</v>
      </c>
      <c r="AC5" s="19">
        <f t="shared" si="28"/>
        <v>-3.3685635822191529E-3</v>
      </c>
      <c r="AD5" s="19">
        <f t="shared" si="24"/>
        <v>7.933827923656267E-4</v>
      </c>
      <c r="AE5" s="19">
        <f t="shared" si="24"/>
        <v>3.5947886910350224E-3</v>
      </c>
      <c r="AF5" s="18">
        <f t="shared" si="25"/>
        <v>5.247400486160453E-7</v>
      </c>
      <c r="AG5" s="18">
        <f t="shared" si="26"/>
        <v>2.217245119203268E-6</v>
      </c>
      <c r="AH5" s="18">
        <f t="shared" si="27"/>
        <v>1.0452541246075013E-5</v>
      </c>
      <c r="AI5" s="18">
        <f t="shared" si="29"/>
        <v>4.6305845526104702E-5</v>
      </c>
      <c r="AK5" s="22" t="s">
        <v>19</v>
      </c>
      <c r="AL5" s="22">
        <v>-6.4693233708215585</v>
      </c>
      <c r="AM5">
        <v>-4.7908518076447066</v>
      </c>
    </row>
    <row r="6" spans="1:41">
      <c r="A6" s="6">
        <v>4</v>
      </c>
      <c r="B6" s="7">
        <f t="shared" si="0"/>
        <v>-32.838646991679518</v>
      </c>
      <c r="C6" s="7">
        <f t="shared" si="1"/>
        <v>5.474655784040038E-15</v>
      </c>
      <c r="D6" s="7">
        <f t="shared" si="2"/>
        <v>-6.469323370821586</v>
      </c>
      <c r="E6" s="7">
        <f t="shared" si="3"/>
        <v>1.4515050988232268</v>
      </c>
      <c r="F6" s="7">
        <f t="shared" si="4"/>
        <v>1.4515050988232268</v>
      </c>
      <c r="G6" s="7">
        <f t="shared" si="5"/>
        <v>-1.9853110937231158</v>
      </c>
      <c r="H6" s="7">
        <f t="shared" si="6"/>
        <v>-0.96297496689512341</v>
      </c>
      <c r="I6" s="7">
        <f t="shared" si="7"/>
        <v>-10.32873897980814</v>
      </c>
      <c r="J6" s="7">
        <f t="shared" si="8"/>
        <v>-3.3331369130387398</v>
      </c>
      <c r="K6" s="7">
        <f t="shared" si="9"/>
        <v>-2.6384304137704144</v>
      </c>
      <c r="L6" s="7">
        <f t="shared" si="10"/>
        <v>-1.9896336241152563</v>
      </c>
      <c r="M6" s="7">
        <f t="shared" si="11"/>
        <v>-0.9632878208034743</v>
      </c>
      <c r="N6" s="7">
        <f t="shared" si="12"/>
        <v>11.473280101655282</v>
      </c>
      <c r="O6" s="7">
        <f t="shared" si="13"/>
        <v>8.3894087169005491</v>
      </c>
      <c r="P6" s="7">
        <f t="shared" si="14"/>
        <v>2.7048744385129124</v>
      </c>
      <c r="Q6" s="7">
        <f t="shared" si="15"/>
        <v>-1.7866530450845881</v>
      </c>
      <c r="R6" s="7">
        <f t="shared" si="16"/>
        <v>-0.94540621783872147</v>
      </c>
      <c r="S6" s="7">
        <f t="shared" si="17"/>
        <v>6.3336762090646603</v>
      </c>
      <c r="T6" s="7">
        <f t="shared" si="18"/>
        <v>-6.5010029831250407</v>
      </c>
      <c r="U6" s="7">
        <f t="shared" si="19"/>
        <v>-1.5391299941690644</v>
      </c>
      <c r="V6" s="7">
        <f t="shared" si="20"/>
        <v>1.0088939600902149</v>
      </c>
      <c r="W6" s="7">
        <f t="shared" si="21"/>
        <v>6.7739195599951785E-3</v>
      </c>
      <c r="X6" s="7">
        <f t="shared" si="22"/>
        <v>-2.1180870603339619E-2</v>
      </c>
      <c r="Y6" s="17">
        <v>0.99855053119660397</v>
      </c>
      <c r="Z6" s="17">
        <v>2.0051112150917699E-3</v>
      </c>
      <c r="AA6" s="17">
        <v>3.86363487767975E-3</v>
      </c>
      <c r="AB6" s="18">
        <f t="shared" si="23"/>
        <v>7.5695530909641537E-4</v>
      </c>
      <c r="AC6" s="19">
        <f t="shared" si="28"/>
        <v>-4.7624672966524173E-3</v>
      </c>
      <c r="AD6" s="19">
        <f t="shared" si="24"/>
        <v>1.7692913693965195E-3</v>
      </c>
      <c r="AE6" s="19">
        <f t="shared" si="24"/>
        <v>4.2850248345569497E-3</v>
      </c>
      <c r="AF6" s="18">
        <f t="shared" si="25"/>
        <v>1.4407456117293714E-6</v>
      </c>
      <c r="AG6" s="18">
        <f t="shared" si="26"/>
        <v>1.6983976891273888E-6</v>
      </c>
      <c r="AH6" s="18">
        <f t="shared" si="27"/>
        <v>1.4404950461031863E-5</v>
      </c>
      <c r="AI6" s="18">
        <f t="shared" si="29"/>
        <v>3.0393069249287879E-5</v>
      </c>
      <c r="AK6" s="22" t="s">
        <v>20</v>
      </c>
      <c r="AL6" s="22">
        <v>9.421381613376699</v>
      </c>
      <c r="AM6">
        <v>8.4883201092733476</v>
      </c>
    </row>
    <row r="7" spans="1:41">
      <c r="A7" s="6">
        <v>5</v>
      </c>
      <c r="B7" s="7">
        <f t="shared" si="0"/>
        <v>-38.786192750385048</v>
      </c>
      <c r="C7" s="7">
        <f t="shared" si="1"/>
        <v>1.4301135268321098E-17</v>
      </c>
      <c r="D7" s="7">
        <f t="shared" si="2"/>
        <v>-6.4693233708215585</v>
      </c>
      <c r="E7" s="7">
        <f t="shared" si="3"/>
        <v>1.4515050988231755</v>
      </c>
      <c r="F7" s="7">
        <f t="shared" si="4"/>
        <v>1.4515050988231755</v>
      </c>
      <c r="G7" s="7">
        <f t="shared" si="5"/>
        <v>-1.8149049647060049</v>
      </c>
      <c r="H7" s="7">
        <f t="shared" si="6"/>
        <v>-0.9483279562214002</v>
      </c>
      <c r="I7" s="7">
        <f t="shared" si="7"/>
        <v>-10.203420733551178</v>
      </c>
      <c r="J7" s="7">
        <f t="shared" si="8"/>
        <v>-3.2818223114199312</v>
      </c>
      <c r="K7" s="7">
        <f t="shared" si="9"/>
        <v>-2.5554745949221318</v>
      </c>
      <c r="L7" s="7">
        <f t="shared" si="10"/>
        <v>-1.8188444574779732</v>
      </c>
      <c r="M7" s="7">
        <f t="shared" si="11"/>
        <v>-0.94872308285128593</v>
      </c>
      <c r="N7" s="7">
        <f t="shared" si="12"/>
        <v>11.34130553474832</v>
      </c>
      <c r="O7" s="7">
        <f t="shared" si="13"/>
        <v>8.3453180339094146</v>
      </c>
      <c r="P7" s="7">
        <f t="shared" si="14"/>
        <v>2.6231020877630113</v>
      </c>
      <c r="Q7" s="7">
        <f t="shared" si="15"/>
        <v>-1.7080582408378748</v>
      </c>
      <c r="R7" s="7">
        <f t="shared" si="16"/>
        <v>-0.93640887234988845</v>
      </c>
      <c r="S7" s="7">
        <f t="shared" si="17"/>
        <v>6.3336209770298657</v>
      </c>
      <c r="T7" s="7">
        <f t="shared" si="18"/>
        <v>-6.5050190347345831</v>
      </c>
      <c r="U7" s="7">
        <f t="shared" si="19"/>
        <v>-1.5352054316722126</v>
      </c>
      <c r="V7" s="7">
        <f t="shared" si="20"/>
        <v>1.0021824074054502</v>
      </c>
      <c r="W7" s="7">
        <f t="shared" si="21"/>
        <v>9.981786578076246E-3</v>
      </c>
      <c r="X7" s="7">
        <f t="shared" si="22"/>
        <v>-1.6072840008157563E-2</v>
      </c>
      <c r="Y7" s="17">
        <v>0.99334815329542803</v>
      </c>
      <c r="Z7" s="17">
        <v>5.7859344004262394E-3</v>
      </c>
      <c r="AA7" s="17">
        <v>-4.6798608314981898E-3</v>
      </c>
      <c r="AB7" s="18">
        <f t="shared" si="23"/>
        <v>2.2544919569692751E-4</v>
      </c>
      <c r="AC7" s="19">
        <f t="shared" si="28"/>
        <v>-6.7115526847647544E-3</v>
      </c>
      <c r="AD7" s="19">
        <f t="shared" si="24"/>
        <v>3.2078670180810676E-3</v>
      </c>
      <c r="AE7" s="19">
        <f t="shared" si="24"/>
        <v>5.1080305951820559E-3</v>
      </c>
      <c r="AF7" s="18">
        <f t="shared" si="25"/>
        <v>2.2422510161899102E-6</v>
      </c>
      <c r="AG7" s="18">
        <f t="shared" si="26"/>
        <v>1.6506008814986276E-6</v>
      </c>
      <c r="AH7" s="18">
        <f t="shared" si="27"/>
        <v>1.9241529947999371E-5</v>
      </c>
      <c r="AI7" s="18">
        <f t="shared" si="29"/>
        <v>1.5277513745864863E-5</v>
      </c>
      <c r="AK7" s="22" t="s">
        <v>21</v>
      </c>
      <c r="AL7" s="22">
        <v>1.4515050988231752</v>
      </c>
      <c r="AM7">
        <v>-2.2995980672046148</v>
      </c>
    </row>
    <row r="8" spans="1:41">
      <c r="A8" s="6">
        <v>6</v>
      </c>
      <c r="B8" s="7">
        <f t="shared" si="0"/>
        <v>-44.733738509090578</v>
      </c>
      <c r="C8" s="7">
        <f t="shared" si="1"/>
        <v>3.7358050995470706E-20</v>
      </c>
      <c r="D8" s="7">
        <f t="shared" si="2"/>
        <v>-6.4693233708215585</v>
      </c>
      <c r="E8" s="7">
        <f t="shared" si="3"/>
        <v>1.4515050988231752</v>
      </c>
      <c r="F8" s="7">
        <f t="shared" si="4"/>
        <v>1.4515050988231752</v>
      </c>
      <c r="G8" s="7">
        <f t="shared" si="5"/>
        <v>-1.6444988356888941</v>
      </c>
      <c r="H8" s="7">
        <f t="shared" si="6"/>
        <v>-0.92809886287968957</v>
      </c>
      <c r="I8" s="7">
        <f t="shared" si="7"/>
        <v>-10.030342789018819</v>
      </c>
      <c r="J8" s="7">
        <f t="shared" si="8"/>
        <v>-3.2109513406079944</v>
      </c>
      <c r="K8" s="7">
        <f t="shared" si="9"/>
        <v>-2.4409037080632525</v>
      </c>
      <c r="L8" s="7">
        <f t="shared" si="10"/>
        <v>-1.64805529084069</v>
      </c>
      <c r="M8" s="7">
        <f t="shared" si="11"/>
        <v>-0.92859027904126135</v>
      </c>
      <c r="N8" s="7">
        <f t="shared" si="12"/>
        <v>11.158877394113521</v>
      </c>
      <c r="O8" s="7">
        <f t="shared" si="13"/>
        <v>8.2843715841054806</v>
      </c>
      <c r="P8" s="7">
        <f t="shared" si="14"/>
        <v>2.5100683551866618</v>
      </c>
      <c r="Q8" s="7">
        <f t="shared" si="15"/>
        <v>-1.6294634365911613</v>
      </c>
      <c r="R8" s="7">
        <f t="shared" si="16"/>
        <v>-0.92598513145985828</v>
      </c>
      <c r="S8" s="7">
        <f t="shared" si="17"/>
        <v>6.3335569887768601</v>
      </c>
      <c r="T8" s="7">
        <f t="shared" si="18"/>
        <v>-6.5096717716369064</v>
      </c>
      <c r="U8" s="7">
        <f t="shared" si="19"/>
        <v>-1.530658688121608</v>
      </c>
      <c r="V8" s="7">
        <f t="shared" si="20"/>
        <v>0.99276822305000412</v>
      </c>
      <c r="W8" s="7">
        <f t="shared" si="21"/>
        <v>1.525357068375488E-2</v>
      </c>
      <c r="X8" s="7">
        <f t="shared" si="22"/>
        <v>-9.9889421750234408E-3</v>
      </c>
      <c r="Y8" s="17">
        <v>0.98283073740154103</v>
      </c>
      <c r="Z8" s="17">
        <v>1.2651330839959601E-2</v>
      </c>
      <c r="AA8" s="17">
        <v>3.0346095032803499E-3</v>
      </c>
      <c r="AB8" s="18">
        <f t="shared" si="23"/>
        <v>2.7513817153549492E-4</v>
      </c>
      <c r="AC8" s="19">
        <f t="shared" si="28"/>
        <v>-9.4141843554460536E-3</v>
      </c>
      <c r="AD8" s="19">
        <f t="shared" si="24"/>
        <v>5.2717841056786341E-3</v>
      </c>
      <c r="AE8" s="19">
        <f t="shared" si="24"/>
        <v>6.083897833134122E-3</v>
      </c>
      <c r="AF8" s="18">
        <f t="shared" si="25"/>
        <v>2.3137396200070157E-6</v>
      </c>
      <c r="AG8" s="18">
        <f t="shared" si="26"/>
        <v>2.3065341575743756E-6</v>
      </c>
      <c r="AH8" s="18">
        <f t="shared" si="27"/>
        <v>2.4813584357582706E-5</v>
      </c>
      <c r="AI8" s="18">
        <f t="shared" si="29"/>
        <v>3.8696729899691299E-6</v>
      </c>
      <c r="AK8" s="22" t="s">
        <v>22</v>
      </c>
      <c r="AL8" s="22">
        <v>-9.1323662079555756</v>
      </c>
      <c r="AM8">
        <v>-2.6430284756436144</v>
      </c>
    </row>
    <row r="9" spans="1:41">
      <c r="A9" s="6">
        <v>7</v>
      </c>
      <c r="B9" s="7">
        <f t="shared" si="0"/>
        <v>-50.681284267796109</v>
      </c>
      <c r="C9" s="7">
        <f t="shared" si="1"/>
        <v>9.7588334631844311E-23</v>
      </c>
      <c r="D9" s="7">
        <f t="shared" si="2"/>
        <v>-6.4693233708215585</v>
      </c>
      <c r="E9" s="7">
        <f t="shared" si="3"/>
        <v>1.4515050988231752</v>
      </c>
      <c r="F9" s="7">
        <f t="shared" si="4"/>
        <v>1.4515050988231752</v>
      </c>
      <c r="G9" s="7">
        <f t="shared" si="5"/>
        <v>-1.4740927066717835</v>
      </c>
      <c r="H9" s="7">
        <f t="shared" si="6"/>
        <v>-0.90035531181269435</v>
      </c>
      <c r="I9" s="7">
        <f t="shared" si="7"/>
        <v>-9.7929719532827857</v>
      </c>
      <c r="J9" s="7">
        <f t="shared" si="8"/>
        <v>-3.1137540829417625</v>
      </c>
      <c r="K9" s="7">
        <f t="shared" si="9"/>
        <v>-2.2837734206763103</v>
      </c>
      <c r="L9" s="7">
        <f t="shared" si="10"/>
        <v>-1.4772661242034069</v>
      </c>
      <c r="M9" s="7">
        <f t="shared" si="11"/>
        <v>-0.90095451708539787</v>
      </c>
      <c r="N9" s="7">
        <f t="shared" si="12"/>
        <v>10.9084631589078</v>
      </c>
      <c r="O9" s="7">
        <f t="shared" si="13"/>
        <v>8.2007120206025661</v>
      </c>
      <c r="P9" s="7">
        <f t="shared" si="14"/>
        <v>2.3549099700983733</v>
      </c>
      <c r="Q9" s="7">
        <f t="shared" si="15"/>
        <v>-1.5508686323444481</v>
      </c>
      <c r="R9" s="7">
        <f t="shared" si="16"/>
        <v>-0.91392869734208915</v>
      </c>
      <c r="S9" s="7">
        <f t="shared" si="17"/>
        <v>6.3334829779044854</v>
      </c>
      <c r="T9" s="7">
        <f t="shared" si="18"/>
        <v>-6.5150532768490939</v>
      </c>
      <c r="U9" s="7">
        <f t="shared" si="19"/>
        <v>-1.5253997782305642</v>
      </c>
      <c r="V9" s="7">
        <f t="shared" si="20"/>
        <v>0.97965081270794219</v>
      </c>
      <c r="W9" s="7">
        <f t="shared" si="21"/>
        <v>2.3409759634884786E-2</v>
      </c>
      <c r="X9" s="7">
        <f t="shared" si="22"/>
        <v>-2.7581299853258745E-3</v>
      </c>
      <c r="Y9" s="17">
        <v>0.97539398785926001</v>
      </c>
      <c r="Z9" s="17">
        <v>2.03539996715329E-2</v>
      </c>
      <c r="AA9" s="17">
        <v>7.4668309922445502E-3</v>
      </c>
      <c r="AB9" s="18">
        <f t="shared" si="23"/>
        <v>1.3200805373882028E-4</v>
      </c>
      <c r="AC9" s="19">
        <f t="shared" si="28"/>
        <v>-1.311741034206193E-2</v>
      </c>
      <c r="AD9" s="19">
        <f t="shared" si="24"/>
        <v>8.1561889511299057E-3</v>
      </c>
      <c r="AE9" s="19">
        <f t="shared" si="24"/>
        <v>7.2308121896975663E-3</v>
      </c>
      <c r="AF9" s="18">
        <f t="shared" si="25"/>
        <v>1.3546468838139449E-6</v>
      </c>
      <c r="AG9" s="18">
        <f t="shared" si="26"/>
        <v>4.431867423376224E-6</v>
      </c>
      <c r="AH9" s="18">
        <f t="shared" si="27"/>
        <v>3.0677019080809447E-5</v>
      </c>
      <c r="AI9" s="18">
        <f t="shared" si="29"/>
        <v>9.1471379610822071E-8</v>
      </c>
      <c r="AK9" s="22" t="s">
        <v>23</v>
      </c>
      <c r="AL9" s="22">
        <v>6.5488543065957963</v>
      </c>
      <c r="AM9">
        <v>1.1276780865749707</v>
      </c>
    </row>
    <row r="10" spans="1:41">
      <c r="A10" s="6">
        <v>8</v>
      </c>
      <c r="B10" s="7">
        <f t="shared" si="0"/>
        <v>-56.628830026501639</v>
      </c>
      <c r="C10" s="7">
        <f t="shared" si="1"/>
        <v>2.5492451566521639E-25</v>
      </c>
      <c r="D10" s="7">
        <f t="shared" si="2"/>
        <v>-6.4693233708215585</v>
      </c>
      <c r="E10" s="7">
        <f t="shared" si="3"/>
        <v>1.4515050988231752</v>
      </c>
      <c r="F10" s="7">
        <f t="shared" si="4"/>
        <v>1.4515050988231752</v>
      </c>
      <c r="G10" s="7">
        <f t="shared" si="5"/>
        <v>-1.3036865776546727</v>
      </c>
      <c r="H10" s="7">
        <f t="shared" si="6"/>
        <v>-0.86266919711629397</v>
      </c>
      <c r="I10" s="7">
        <f t="shared" si="7"/>
        <v>-9.4705336136655269</v>
      </c>
      <c r="J10" s="7">
        <f t="shared" si="8"/>
        <v>-2.9817238683618119</v>
      </c>
      <c r="K10" s="7">
        <f t="shared" si="9"/>
        <v>-2.0703317448633238</v>
      </c>
      <c r="L10" s="7">
        <f t="shared" si="10"/>
        <v>-1.3064769575661237</v>
      </c>
      <c r="M10" s="7">
        <f t="shared" si="11"/>
        <v>-0.8633812655562465</v>
      </c>
      <c r="N10" s="7">
        <f t="shared" si="12"/>
        <v>10.568002958791322</v>
      </c>
      <c r="O10" s="7">
        <f t="shared" si="13"/>
        <v>8.0869694783367052</v>
      </c>
      <c r="P10" s="7">
        <f t="shared" si="14"/>
        <v>2.1439584848782509</v>
      </c>
      <c r="Q10" s="7">
        <f t="shared" si="15"/>
        <v>-1.4722738280977348</v>
      </c>
      <c r="R10" s="7">
        <f t="shared" si="16"/>
        <v>-0.90001032381286494</v>
      </c>
      <c r="S10" s="7">
        <f t="shared" si="17"/>
        <v>6.3333975371384286</v>
      </c>
      <c r="T10" s="7">
        <f t="shared" si="18"/>
        <v>-6.5212658766079468</v>
      </c>
      <c r="U10" s="7">
        <f t="shared" si="19"/>
        <v>-1.5193287068420349</v>
      </c>
      <c r="V10" s="7">
        <f t="shared" si="20"/>
        <v>0.96154351144266403</v>
      </c>
      <c r="W10" s="7">
        <f t="shared" si="21"/>
        <v>3.5484832190121551E-2</v>
      </c>
      <c r="X10" s="7">
        <f t="shared" si="22"/>
        <v>5.8031319960674121E-3</v>
      </c>
      <c r="Y10" s="17">
        <v>0.96249140793574095</v>
      </c>
      <c r="Z10" s="17">
        <v>3.3533967396357001E-2</v>
      </c>
      <c r="AA10" s="17">
        <v>9.1761695406187595E-3</v>
      </c>
      <c r="AB10" s="18">
        <f t="shared" si="23"/>
        <v>1.6081763482090501E-5</v>
      </c>
      <c r="AC10" s="19">
        <f t="shared" si="28"/>
        <v>-1.8107301265278153E-2</v>
      </c>
      <c r="AD10" s="19">
        <f t="shared" si="24"/>
        <v>1.2075072555236765E-2</v>
      </c>
      <c r="AE10" s="19">
        <f t="shared" si="24"/>
        <v>8.5612619813932866E-3</v>
      </c>
      <c r="AF10" s="18">
        <f t="shared" si="25"/>
        <v>1.0426685653438174E-7</v>
      </c>
      <c r="AG10" s="18">
        <f t="shared" si="26"/>
        <v>9.8870865904570222E-6</v>
      </c>
      <c r="AH10" s="18">
        <f t="shared" si="27"/>
        <v>3.5955743919248221E-5</v>
      </c>
      <c r="AI10" s="18">
        <f t="shared" si="29"/>
        <v>8.0172542367884766E-6</v>
      </c>
      <c r="AK10" s="22" t="s">
        <v>62</v>
      </c>
      <c r="AL10" s="22">
        <v>0.17040612901711075</v>
      </c>
      <c r="AM10">
        <v>-9.9481823925663598E-2</v>
      </c>
    </row>
    <row r="11" spans="1:41">
      <c r="A11" s="6">
        <v>9</v>
      </c>
      <c r="B11" s="7">
        <f t="shared" si="0"/>
        <v>-62.576375785207169</v>
      </c>
      <c r="C11" s="7">
        <f t="shared" si="1"/>
        <v>6.6592496871997267E-28</v>
      </c>
      <c r="D11" s="7">
        <f t="shared" si="2"/>
        <v>-6.4693233708215585</v>
      </c>
      <c r="E11" s="7">
        <f t="shared" si="3"/>
        <v>1.4515050988231752</v>
      </c>
      <c r="F11" s="7">
        <f t="shared" si="4"/>
        <v>1.4515050988231752</v>
      </c>
      <c r="G11" s="7">
        <f t="shared" si="5"/>
        <v>-1.1332804486375618</v>
      </c>
      <c r="H11" s="7">
        <f t="shared" si="6"/>
        <v>-0.81213900518521287</v>
      </c>
      <c r="I11" s="7">
        <f t="shared" si="7"/>
        <v>-9.0382027321709835</v>
      </c>
      <c r="J11" s="7">
        <f t="shared" si="8"/>
        <v>-2.804695481721998</v>
      </c>
      <c r="K11" s="7">
        <f t="shared" si="9"/>
        <v>-1.7841454682516891</v>
      </c>
      <c r="L11" s="7">
        <f t="shared" si="10"/>
        <v>-1.1356877909288405</v>
      </c>
      <c r="M11" s="7">
        <f t="shared" si="11"/>
        <v>-0.81295693657527446</v>
      </c>
      <c r="N11" s="7">
        <f t="shared" si="12"/>
        <v>10.11109607857944</v>
      </c>
      <c r="O11" s="7">
        <f t="shared" si="13"/>
        <v>7.9343238824159998</v>
      </c>
      <c r="P11" s="7">
        <f t="shared" si="14"/>
        <v>1.860855834539052</v>
      </c>
      <c r="Q11" s="7">
        <f t="shared" si="15"/>
        <v>-1.3936790238510215</v>
      </c>
      <c r="R11" s="7">
        <f t="shared" si="16"/>
        <v>-0.8839776828590693</v>
      </c>
      <c r="S11" s="7">
        <f t="shared" si="17"/>
        <v>6.3332991175118725</v>
      </c>
      <c r="T11" s="7">
        <f t="shared" si="18"/>
        <v>-6.5284221999466041</v>
      </c>
      <c r="U11" s="7">
        <f t="shared" si="19"/>
        <v>-1.5123354107092086</v>
      </c>
      <c r="V11" s="7">
        <f t="shared" si="20"/>
        <v>0.93686909309876931</v>
      </c>
      <c r="W11" s="7">
        <f t="shared" si="21"/>
        <v>5.2711299570573189E-2</v>
      </c>
      <c r="X11" s="7">
        <f t="shared" si="22"/>
        <v>1.5880054401329557E-2</v>
      </c>
      <c r="Y11" s="17">
        <v>0.94450237023887595</v>
      </c>
      <c r="Z11" s="17">
        <v>4.7496166004264602E-2</v>
      </c>
      <c r="AA11" s="17">
        <v>7.5225339506602403E-3</v>
      </c>
      <c r="AB11" s="18">
        <f t="shared" si="23"/>
        <v>1.5531268609546905E-4</v>
      </c>
      <c r="AC11" s="19">
        <f t="shared" si="28"/>
        <v>-2.4674418343894722E-2</v>
      </c>
      <c r="AD11" s="19">
        <f t="shared" si="24"/>
        <v>1.7226467380451638E-2</v>
      </c>
      <c r="AE11" s="19">
        <f t="shared" si="24"/>
        <v>1.0076922405262145E-2</v>
      </c>
      <c r="AF11" s="18">
        <f t="shared" si="25"/>
        <v>1.1356603009460862E-6</v>
      </c>
      <c r="AG11" s="18">
        <f t="shared" si="26"/>
        <v>2.2122839370630282E-5</v>
      </c>
      <c r="AH11" s="18">
        <f t="shared" si="27"/>
        <v>3.9272657622194838E-5</v>
      </c>
      <c r="AI11" s="18">
        <f t="shared" si="29"/>
        <v>2.9816482211611066E-5</v>
      </c>
      <c r="AK11" s="22" t="s">
        <v>63</v>
      </c>
      <c r="AL11" s="22">
        <v>-2.6669356097915586</v>
      </c>
      <c r="AM11">
        <v>1.7018716966564671</v>
      </c>
    </row>
    <row r="12" spans="1:41">
      <c r="A12" s="6">
        <v>10</v>
      </c>
      <c r="B12" s="7">
        <f t="shared" si="0"/>
        <v>-68.523921543912692</v>
      </c>
      <c r="C12" s="7">
        <f t="shared" si="1"/>
        <v>1.7395583269326493E-30</v>
      </c>
      <c r="D12" s="7">
        <f t="shared" si="2"/>
        <v>-6.4693233708215585</v>
      </c>
      <c r="E12" s="7">
        <f t="shared" si="3"/>
        <v>1.4515050988231752</v>
      </c>
      <c r="F12" s="7">
        <f t="shared" si="4"/>
        <v>1.4515050988231752</v>
      </c>
      <c r="G12" s="7">
        <f t="shared" si="5"/>
        <v>-0.96287431962045122</v>
      </c>
      <c r="H12" s="7">
        <f t="shared" si="6"/>
        <v>-0.7455562227832857</v>
      </c>
      <c r="I12" s="7">
        <f t="shared" si="7"/>
        <v>-8.468527615016356</v>
      </c>
      <c r="J12" s="7">
        <f t="shared" si="8"/>
        <v>-2.5714281598270117</v>
      </c>
      <c r="K12" s="7">
        <f t="shared" si="9"/>
        <v>-1.4070426342066553</v>
      </c>
      <c r="L12" s="7">
        <f t="shared" si="10"/>
        <v>-0.96489862429155737</v>
      </c>
      <c r="M12" s="7">
        <f t="shared" si="11"/>
        <v>-0.74645395333034092</v>
      </c>
      <c r="N12" s="7">
        <f t="shared" si="12"/>
        <v>9.5084966744169819</v>
      </c>
      <c r="O12" s="7">
        <f t="shared" si="13"/>
        <v>7.7330046440031648</v>
      </c>
      <c r="P12" s="7">
        <f t="shared" si="14"/>
        <v>1.4874810927708744</v>
      </c>
      <c r="Q12" s="7">
        <f t="shared" si="15"/>
        <v>-1.3150842196043082</v>
      </c>
      <c r="R12" s="7">
        <f t="shared" si="16"/>
        <v>-0.86555622368725915</v>
      </c>
      <c r="S12" s="7">
        <f t="shared" si="17"/>
        <v>6.3331860336389463</v>
      </c>
      <c r="T12" s="7">
        <f t="shared" si="18"/>
        <v>-6.5366447952497273</v>
      </c>
      <c r="U12" s="7">
        <f t="shared" si="19"/>
        <v>-1.5043001332051156</v>
      </c>
      <c r="V12" s="7">
        <f t="shared" si="20"/>
        <v>0.90383172221801278</v>
      </c>
      <c r="W12" s="7">
        <f t="shared" si="21"/>
        <v>7.6436787749600832E-2</v>
      </c>
      <c r="X12" s="7">
        <f t="shared" si="22"/>
        <v>2.764342418227872E-2</v>
      </c>
      <c r="Y12" s="17">
        <v>0.91819898168117797</v>
      </c>
      <c r="Z12" s="17">
        <v>6.7597221336325009E-2</v>
      </c>
      <c r="AA12" s="17">
        <v>3.2927993138720797E-3</v>
      </c>
      <c r="AB12" s="18">
        <f t="shared" si="23"/>
        <v>8.7750901033848772E-4</v>
      </c>
      <c r="AC12" s="19">
        <f t="shared" si="28"/>
        <v>-3.3037370880756534E-2</v>
      </c>
      <c r="AD12" s="19">
        <f t="shared" si="24"/>
        <v>2.3725488179027643E-2</v>
      </c>
      <c r="AE12" s="19">
        <f t="shared" si="24"/>
        <v>1.1763369780949162E-2</v>
      </c>
      <c r="AF12" s="18">
        <f t="shared" si="25"/>
        <v>8.8337364187701634E-6</v>
      </c>
      <c r="AG12" s="18">
        <f t="shared" si="26"/>
        <v>4.5683546401241889E-5</v>
      </c>
      <c r="AH12" s="18">
        <f t="shared" si="27"/>
        <v>3.8916228490806887E-5</v>
      </c>
      <c r="AI12" s="18">
        <f t="shared" si="29"/>
        <v>6.2598701992232464E-5</v>
      </c>
      <c r="AK12" s="22" t="s">
        <v>64</v>
      </c>
      <c r="AL12" s="22">
        <v>8.5558923283767729</v>
      </c>
      <c r="AM12">
        <v>3.7255293063222767</v>
      </c>
    </row>
    <row r="13" spans="1:41">
      <c r="A13" s="6">
        <v>11</v>
      </c>
      <c r="B13" s="7">
        <f t="shared" si="0"/>
        <v>-74.471467302618223</v>
      </c>
      <c r="C13" s="7">
        <f t="shared" si="1"/>
        <v>4.5441503396656424E-33</v>
      </c>
      <c r="D13" s="7">
        <f t="shared" si="2"/>
        <v>-6.4693233708215585</v>
      </c>
      <c r="E13" s="7">
        <f t="shared" si="3"/>
        <v>1.4515050988231752</v>
      </c>
      <c r="F13" s="7">
        <f t="shared" si="4"/>
        <v>1.4515050988231752</v>
      </c>
      <c r="G13" s="7">
        <f t="shared" si="5"/>
        <v>-0.79246819060334039</v>
      </c>
      <c r="H13" s="7">
        <f t="shared" si="6"/>
        <v>-0.65980498849583258</v>
      </c>
      <c r="I13" s="7">
        <f t="shared" si="7"/>
        <v>-7.7348492874274957</v>
      </c>
      <c r="J13" s="7">
        <f t="shared" si="8"/>
        <v>-2.271005737545591</v>
      </c>
      <c r="K13" s="7">
        <f t="shared" si="9"/>
        <v>-0.92137603533345613</v>
      </c>
      <c r="L13" s="7">
        <f t="shared" si="10"/>
        <v>-0.79410945765427421</v>
      </c>
      <c r="M13" s="7">
        <f t="shared" si="11"/>
        <v>-0.66073073870289167</v>
      </c>
      <c r="N13" s="7">
        <f t="shared" si="12"/>
        <v>8.7317381661988271</v>
      </c>
      <c r="O13" s="7">
        <f t="shared" si="13"/>
        <v>7.4735015143535204</v>
      </c>
      <c r="P13" s="7">
        <f t="shared" si="14"/>
        <v>1.0061961704512385</v>
      </c>
      <c r="Q13" s="7">
        <f t="shared" si="15"/>
        <v>-1.2364894153575947</v>
      </c>
      <c r="R13" s="7">
        <f t="shared" si="16"/>
        <v>-0.84445138359082828</v>
      </c>
      <c r="S13" s="7">
        <f t="shared" si="17"/>
        <v>6.3330564772865774</v>
      </c>
      <c r="T13" s="7">
        <f t="shared" si="18"/>
        <v>-6.5460651434117034</v>
      </c>
      <c r="U13" s="7">
        <f t="shared" si="19"/>
        <v>-1.4950943886833223</v>
      </c>
      <c r="V13" s="7">
        <f t="shared" si="20"/>
        <v>0.86062198523635125</v>
      </c>
      <c r="W13" s="7">
        <f t="shared" si="21"/>
        <v>0.107935732219401</v>
      </c>
      <c r="X13" s="7">
        <f t="shared" si="22"/>
        <v>4.1230845257635318E-2</v>
      </c>
      <c r="Y13" s="17">
        <v>0.89021613947898592</v>
      </c>
      <c r="Z13" s="17">
        <v>9.5969397639399309E-2</v>
      </c>
      <c r="AA13" s="17">
        <v>1.96514990734073E-2</v>
      </c>
      <c r="AB13" s="18">
        <f t="shared" si="23"/>
        <v>1.4846753103561524E-3</v>
      </c>
      <c r="AC13" s="19">
        <f t="shared" si="28"/>
        <v>-4.3209736981661528E-2</v>
      </c>
      <c r="AD13" s="19">
        <f t="shared" si="24"/>
        <v>3.1498944469800172E-2</v>
      </c>
      <c r="AE13" s="19">
        <f t="shared" si="24"/>
        <v>1.3587421075356598E-2</v>
      </c>
      <c r="AF13" s="18">
        <f t="shared" si="25"/>
        <v>2.7124019127076184E-5</v>
      </c>
      <c r="AG13" s="18">
        <f t="shared" si="26"/>
        <v>8.3118657749209332E-5</v>
      </c>
      <c r="AH13" s="18">
        <f t="shared" si="27"/>
        <v>3.3472004586098605E-5</v>
      </c>
      <c r="AI13" s="18">
        <f t="shared" si="29"/>
        <v>9.5815959993921464E-5</v>
      </c>
      <c r="AK13" s="22" t="s">
        <v>65</v>
      </c>
      <c r="AL13" s="22">
        <v>-2.089628848131277</v>
      </c>
      <c r="AM13">
        <v>2.6761399738240179</v>
      </c>
    </row>
    <row r="14" spans="1:41">
      <c r="A14" s="6">
        <v>12</v>
      </c>
      <c r="B14" s="7">
        <f t="shared" si="0"/>
        <v>-80.419013061323753</v>
      </c>
      <c r="C14" s="7">
        <f t="shared" si="1"/>
        <v>1.1870428251689691E-35</v>
      </c>
      <c r="D14" s="7">
        <f t="shared" si="2"/>
        <v>-6.4693233708215585</v>
      </c>
      <c r="E14" s="7">
        <f t="shared" si="3"/>
        <v>1.4515050988231752</v>
      </c>
      <c r="F14" s="7">
        <f t="shared" si="4"/>
        <v>1.4515050988231752</v>
      </c>
      <c r="G14" s="7">
        <f t="shared" si="5"/>
        <v>-0.62206206158622956</v>
      </c>
      <c r="H14" s="7">
        <f t="shared" si="6"/>
        <v>-0.55256212337596144</v>
      </c>
      <c r="I14" s="7">
        <f t="shared" si="7"/>
        <v>-6.8172908804752463</v>
      </c>
      <c r="J14" s="7">
        <f t="shared" si="8"/>
        <v>-1.8952891478145271</v>
      </c>
      <c r="K14" s="7">
        <f t="shared" si="9"/>
        <v>-0.31398795527866152</v>
      </c>
      <c r="L14" s="7">
        <f t="shared" si="10"/>
        <v>-0.62332029101699105</v>
      </c>
      <c r="M14" s="7">
        <f t="shared" si="11"/>
        <v>-0.55343557630234441</v>
      </c>
      <c r="N14" s="7">
        <f t="shared" si="12"/>
        <v>7.7595110904005402</v>
      </c>
      <c r="O14" s="7">
        <f t="shared" si="13"/>
        <v>7.148695327835485</v>
      </c>
      <c r="P14" s="7">
        <f t="shared" si="14"/>
        <v>0.40379757719217624</v>
      </c>
      <c r="Q14" s="7">
        <f t="shared" si="15"/>
        <v>-1.1578946111108814</v>
      </c>
      <c r="R14" s="7">
        <f t="shared" si="16"/>
        <v>-0.82035256166012116</v>
      </c>
      <c r="S14" s="7">
        <f t="shared" si="17"/>
        <v>6.3329085417679263</v>
      </c>
      <c r="T14" s="7">
        <f t="shared" si="18"/>
        <v>-6.5568218841329529</v>
      </c>
      <c r="U14" s="7">
        <f t="shared" si="19"/>
        <v>-1.4845826957751256</v>
      </c>
      <c r="V14" s="7">
        <f t="shared" si="20"/>
        <v>0.80580538087166254</v>
      </c>
      <c r="W14" s="7">
        <f t="shared" si="21"/>
        <v>0.14808939471117988</v>
      </c>
      <c r="X14" s="7">
        <f t="shared" si="22"/>
        <v>5.6732024961564376E-2</v>
      </c>
      <c r="Y14" s="17">
        <v>0.83105634839519704</v>
      </c>
      <c r="Z14" s="17">
        <v>0.139820372745182</v>
      </c>
      <c r="AA14" s="17">
        <v>2.4532806481925299E-2</v>
      </c>
      <c r="AB14" s="18">
        <f t="shared" si="23"/>
        <v>1.7427777558482807E-3</v>
      </c>
      <c r="AC14" s="19">
        <f t="shared" si="28"/>
        <v>-5.4816604364688715E-2</v>
      </c>
      <c r="AD14" s="19">
        <f t="shared" si="24"/>
        <v>4.0153662491778874E-2</v>
      </c>
      <c r="AE14" s="19">
        <f t="shared" si="24"/>
        <v>1.5501179703929058E-2</v>
      </c>
      <c r="AF14" s="18">
        <f t="shared" si="25"/>
        <v>5.4495911721660197E-5</v>
      </c>
      <c r="AG14" s="18">
        <f t="shared" si="26"/>
        <v>1.286120803985558E-4</v>
      </c>
      <c r="AH14" s="18">
        <f t="shared" si="27"/>
        <v>2.3009576369339872E-5</v>
      </c>
      <c r="AI14" s="18">
        <f t="shared" si="29"/>
        <v>1.1292888981060443E-4</v>
      </c>
      <c r="AK14" s="22" t="s">
        <v>66</v>
      </c>
      <c r="AL14" s="22">
        <v>3.5034180531367323</v>
      </c>
      <c r="AM14">
        <v>-9.680798643903433</v>
      </c>
    </row>
    <row r="15" spans="1:41">
      <c r="A15" s="6">
        <v>13</v>
      </c>
      <c r="B15" s="7">
        <f t="shared" si="0"/>
        <v>-86.366558820029283</v>
      </c>
      <c r="C15" s="7">
        <f t="shared" si="1"/>
        <v>3.1008451821794415E-38</v>
      </c>
      <c r="D15" s="7">
        <f t="shared" si="2"/>
        <v>-6.4693233708215585</v>
      </c>
      <c r="E15" s="7">
        <f t="shared" si="3"/>
        <v>1.4515050988231752</v>
      </c>
      <c r="F15" s="7">
        <f t="shared" si="4"/>
        <v>1.4515050988231752</v>
      </c>
      <c r="G15" s="7">
        <f t="shared" si="5"/>
        <v>-0.45165593256911896</v>
      </c>
      <c r="H15" s="7">
        <f t="shared" si="6"/>
        <v>-0.42325923231027202</v>
      </c>
      <c r="I15" s="7">
        <f t="shared" si="7"/>
        <v>-5.710989266769376</v>
      </c>
      <c r="J15" s="7">
        <f t="shared" si="8"/>
        <v>-1.4422870649322184</v>
      </c>
      <c r="K15" s="7">
        <f t="shared" si="9"/>
        <v>0.41834080768508697</v>
      </c>
      <c r="L15" s="7">
        <f t="shared" si="10"/>
        <v>-0.45253112437970788</v>
      </c>
      <c r="M15" s="7">
        <f t="shared" si="11"/>
        <v>-0.42397736872299574</v>
      </c>
      <c r="N15" s="7">
        <f t="shared" si="12"/>
        <v>6.5864593723454901</v>
      </c>
      <c r="O15" s="7">
        <f t="shared" si="13"/>
        <v>6.756796701871953</v>
      </c>
      <c r="P15" s="7">
        <f t="shared" si="14"/>
        <v>-0.32303334777077053</v>
      </c>
      <c r="Q15" s="7">
        <f t="shared" si="15"/>
        <v>-1.0792998068641682</v>
      </c>
      <c r="R15" s="7">
        <f t="shared" si="16"/>
        <v>-0.79293929657845641</v>
      </c>
      <c r="S15" s="7">
        <f t="shared" si="17"/>
        <v>6.3327402598660374</v>
      </c>
      <c r="T15" s="7">
        <f t="shared" si="18"/>
        <v>-6.5690580584013141</v>
      </c>
      <c r="U15" s="7">
        <f t="shared" si="19"/>
        <v>-1.4726252720895188</v>
      </c>
      <c r="V15" s="7">
        <f t="shared" si="20"/>
        <v>0.73888699462059382</v>
      </c>
      <c r="W15" s="7">
        <f t="shared" si="21"/>
        <v>0.19695667736159628</v>
      </c>
      <c r="X15" s="7">
        <f t="shared" si="22"/>
        <v>7.4187286647972916E-2</v>
      </c>
      <c r="Y15" s="17">
        <v>0.77338802087821101</v>
      </c>
      <c r="Z15" s="17">
        <v>0.19576330278256401</v>
      </c>
      <c r="AA15" s="17">
        <v>3.84479753657469E-2</v>
      </c>
      <c r="AB15" s="18">
        <f t="shared" si="23"/>
        <v>2.4690433266425192E-3</v>
      </c>
      <c r="AC15" s="19">
        <f t="shared" si="28"/>
        <v>-6.6918386251068718E-2</v>
      </c>
      <c r="AD15" s="19">
        <f t="shared" si="24"/>
        <v>4.8867282650416399E-2</v>
      </c>
      <c r="AE15" s="19">
        <f t="shared" si="24"/>
        <v>1.7455261686408541E-2</v>
      </c>
      <c r="AF15" s="18">
        <f t="shared" si="25"/>
        <v>7.9838023837447021E-5</v>
      </c>
      <c r="AG15" s="18">
        <f t="shared" si="26"/>
        <v>1.6255462406454706E-4</v>
      </c>
      <c r="AH15" s="18">
        <f t="shared" si="27"/>
        <v>1.0359621836392383E-5</v>
      </c>
      <c r="AI15" s="18">
        <f t="shared" si="29"/>
        <v>1.006201310400418E-4</v>
      </c>
      <c r="AK15" s="22" t="s">
        <v>67</v>
      </c>
      <c r="AL15" s="22">
        <v>4.0566970700382635E-2</v>
      </c>
      <c r="AM15">
        <v>3.9324521781315784</v>
      </c>
    </row>
    <row r="16" spans="1:41">
      <c r="A16" s="6">
        <v>14</v>
      </c>
      <c r="B16" s="7">
        <f t="shared" si="0"/>
        <v>-92.314104578734813</v>
      </c>
      <c r="C16" s="7">
        <f t="shared" si="1"/>
        <v>8.1001633976236509E-41</v>
      </c>
      <c r="D16" s="7">
        <f t="shared" si="2"/>
        <v>-6.4693233708215585</v>
      </c>
      <c r="E16" s="7">
        <f t="shared" si="3"/>
        <v>1.4515050988231752</v>
      </c>
      <c r="F16" s="7">
        <f t="shared" si="4"/>
        <v>1.4515050988231752</v>
      </c>
      <c r="G16" s="7">
        <f t="shared" si="5"/>
        <v>-0.28124980355200835</v>
      </c>
      <c r="H16" s="7">
        <f t="shared" si="6"/>
        <v>-0.27406140726792538</v>
      </c>
      <c r="I16" s="7">
        <f t="shared" si="7"/>
        <v>-4.4344687400790619</v>
      </c>
      <c r="J16" s="7">
        <f t="shared" si="8"/>
        <v>-0.91958471119012564</v>
      </c>
      <c r="K16" s="7">
        <f t="shared" si="9"/>
        <v>1.2633478895038182</v>
      </c>
      <c r="L16" s="7">
        <f t="shared" si="10"/>
        <v>-0.28174195774242472</v>
      </c>
      <c r="M16" s="7">
        <f t="shared" si="11"/>
        <v>-0.27451653450239394</v>
      </c>
      <c r="N16" s="7">
        <f t="shared" si="12"/>
        <v>5.232159080052659</v>
      </c>
      <c r="O16" s="7">
        <f t="shared" si="13"/>
        <v>6.3043457011849888</v>
      </c>
      <c r="P16" s="7">
        <f t="shared" si="14"/>
        <v>-1.1621671378451426</v>
      </c>
      <c r="Q16" s="7">
        <f t="shared" si="15"/>
        <v>-1.0007050026174547</v>
      </c>
      <c r="R16" s="7">
        <f t="shared" si="16"/>
        <v>-0.76189008002754832</v>
      </c>
      <c r="S16" s="7">
        <f t="shared" si="17"/>
        <v>6.332549657936724</v>
      </c>
      <c r="T16" s="7">
        <f t="shared" si="18"/>
        <v>-6.5829171745438524</v>
      </c>
      <c r="U16" s="7">
        <f t="shared" si="19"/>
        <v>-1.4590818785426596</v>
      </c>
      <c r="V16" s="7">
        <f t="shared" si="20"/>
        <v>0.66091662708876164</v>
      </c>
      <c r="W16" s="7">
        <f t="shared" si="21"/>
        <v>0.25334891427418604</v>
      </c>
      <c r="X16" s="7">
        <f t="shared" si="22"/>
        <v>9.3603971939191011E-2</v>
      </c>
      <c r="Y16" s="17">
        <v>0.68790871012265198</v>
      </c>
      <c r="Z16" s="17">
        <v>0.25894601239861498</v>
      </c>
      <c r="AA16" s="17">
        <v>6.3388110834698502E-2</v>
      </c>
      <c r="AB16" s="18">
        <f t="shared" si="23"/>
        <v>1.6728983162088997E-3</v>
      </c>
      <c r="AC16" s="19">
        <f t="shared" si="28"/>
        <v>-7.7970367531832174E-2</v>
      </c>
      <c r="AD16" s="19">
        <f t="shared" si="24"/>
        <v>5.6392236912589766E-2</v>
      </c>
      <c r="AE16" s="19">
        <f t="shared" si="24"/>
        <v>1.9416685291218094E-2</v>
      </c>
      <c r="AF16" s="18">
        <f t="shared" si="25"/>
        <v>8.6588626450863777E-5</v>
      </c>
      <c r="AG16" s="18">
        <f t="shared" si="26"/>
        <v>1.5802010796966346E-4</v>
      </c>
      <c r="AH16" s="18">
        <f t="shared" si="27"/>
        <v>1.2185038132343211E-6</v>
      </c>
      <c r="AI16" s="18">
        <f t="shared" si="29"/>
        <v>6.192923961253791E-5</v>
      </c>
      <c r="AK16" s="22" t="s">
        <v>68</v>
      </c>
      <c r="AL16" s="22">
        <v>5.6636689011980828</v>
      </c>
      <c r="AM16">
        <v>6.0980192055291091</v>
      </c>
    </row>
    <row r="17" spans="1:49">
      <c r="A17" s="6">
        <v>15</v>
      </c>
      <c r="B17" s="7">
        <f t="shared" si="0"/>
        <v>-98.261650337440344</v>
      </c>
      <c r="C17" s="7">
        <f t="shared" si="1"/>
        <v>2.1159601080788499E-43</v>
      </c>
      <c r="D17" s="7">
        <f t="shared" si="2"/>
        <v>-6.4693233708215585</v>
      </c>
      <c r="E17" s="7">
        <f t="shared" si="3"/>
        <v>1.4515050988231752</v>
      </c>
      <c r="F17" s="7">
        <f t="shared" si="4"/>
        <v>1.4515050988231752</v>
      </c>
      <c r="G17" s="7">
        <f t="shared" si="5"/>
        <v>-0.1108436745348973</v>
      </c>
      <c r="H17" s="7">
        <f t="shared" si="6"/>
        <v>-0.11039194083776692</v>
      </c>
      <c r="I17" s="7">
        <f t="shared" si="7"/>
        <v>-3.0341304078597497</v>
      </c>
      <c r="J17" s="7">
        <f t="shared" si="8"/>
        <v>-0.34618214775145206</v>
      </c>
      <c r="K17" s="7">
        <f t="shared" si="9"/>
        <v>2.1903175565999904</v>
      </c>
      <c r="L17" s="7">
        <f t="shared" si="10"/>
        <v>-0.11095279110514156</v>
      </c>
      <c r="M17" s="7">
        <f t="shared" si="11"/>
        <v>-0.11049972637318807</v>
      </c>
      <c r="N17" s="7">
        <f t="shared" si="12"/>
        <v>3.7459636339435898</v>
      </c>
      <c r="O17" s="7">
        <f t="shared" si="13"/>
        <v>5.8078305482051196</v>
      </c>
      <c r="P17" s="7">
        <f t="shared" si="14"/>
        <v>-2.0830240737713726</v>
      </c>
      <c r="Q17" s="7">
        <f t="shared" si="15"/>
        <v>-0.92211019837074137</v>
      </c>
      <c r="R17" s="7">
        <f t="shared" si="16"/>
        <v>-0.72689416431498299</v>
      </c>
      <c r="S17" s="7">
        <f t="shared" si="17"/>
        <v>6.3323348283920886</v>
      </c>
      <c r="T17" s="7">
        <f t="shared" si="18"/>
        <v>-6.5985379377788833</v>
      </c>
      <c r="U17" s="7">
        <f t="shared" si="19"/>
        <v>-1.4438169697405043</v>
      </c>
      <c r="V17" s="7">
        <f t="shared" si="20"/>
        <v>0.57484468365437014</v>
      </c>
      <c r="W17" s="7">
        <f t="shared" si="21"/>
        <v>0.31461556149795999</v>
      </c>
      <c r="X17" s="7">
        <f t="shared" si="22"/>
        <v>0.11498161191128897</v>
      </c>
      <c r="Y17" s="17">
        <v>0.59497831839092707</v>
      </c>
      <c r="Z17" s="17">
        <v>0.33076845698165103</v>
      </c>
      <c r="AA17" s="17">
        <v>7.3720662375898097E-2</v>
      </c>
      <c r="AB17" s="18">
        <f t="shared" si="23"/>
        <v>2.3687452367742107E-3</v>
      </c>
      <c r="AC17" s="19">
        <f t="shared" si="28"/>
        <v>-8.6071943434391507E-2</v>
      </c>
      <c r="AD17" s="19">
        <f t="shared" si="24"/>
        <v>6.1266647223773951E-2</v>
      </c>
      <c r="AE17" s="19">
        <f t="shared" si="24"/>
        <v>2.1377639972097962E-2</v>
      </c>
      <c r="AF17" s="18">
        <f t="shared" si="25"/>
        <v>6.7153586785903056E-5</v>
      </c>
      <c r="AG17" s="18">
        <f t="shared" si="26"/>
        <v>1.0524010389246843E-4</v>
      </c>
      <c r="AH17" s="18">
        <f t="shared" si="27"/>
        <v>1.8597472390396148E-6</v>
      </c>
      <c r="AI17" s="18">
        <f t="shared" si="29"/>
        <v>1.9730094173622926E-5</v>
      </c>
      <c r="AK17" s="22" t="s">
        <v>69</v>
      </c>
      <c r="AL17" s="22">
        <v>2.8155409588657494</v>
      </c>
      <c r="AM17">
        <v>0.15515646104750119</v>
      </c>
    </row>
    <row r="18" spans="1:49">
      <c r="A18" s="6">
        <v>16</v>
      </c>
      <c r="B18" s="7">
        <f t="shared" si="0"/>
        <v>-104.20919609614587</v>
      </c>
      <c r="C18" s="7">
        <f t="shared" si="1"/>
        <v>5.5274035339763175E-46</v>
      </c>
      <c r="D18" s="7">
        <f t="shared" si="2"/>
        <v>-6.4693233708215585</v>
      </c>
      <c r="E18" s="7">
        <f t="shared" si="3"/>
        <v>1.4515050988231752</v>
      </c>
      <c r="F18" s="7">
        <f t="shared" si="4"/>
        <v>1.4515050988231752</v>
      </c>
      <c r="G18" s="7">
        <f t="shared" si="5"/>
        <v>5.9562454482213312E-2</v>
      </c>
      <c r="H18" s="7">
        <f t="shared" si="6"/>
        <v>5.9492117998252048E-2</v>
      </c>
      <c r="I18" s="7">
        <f t="shared" si="7"/>
        <v>-1.5806206921511468</v>
      </c>
      <c r="J18" s="7">
        <f t="shared" si="8"/>
        <v>0.24899273091479956</v>
      </c>
      <c r="K18" s="7">
        <f t="shared" si="9"/>
        <v>3.1524846174388563</v>
      </c>
      <c r="L18" s="7">
        <f t="shared" si="10"/>
        <v>5.9836375532141606E-2</v>
      </c>
      <c r="M18" s="7">
        <f t="shared" si="11"/>
        <v>5.9765065101281004E-2</v>
      </c>
      <c r="N18" s="7">
        <f t="shared" si="12"/>
        <v>2.2031537194699102</v>
      </c>
      <c r="O18" s="7">
        <f t="shared" si="13"/>
        <v>5.2924013678040769</v>
      </c>
      <c r="P18" s="7">
        <f t="shared" si="14"/>
        <v>-3.0389597242797373</v>
      </c>
      <c r="Q18" s="7">
        <f t="shared" si="15"/>
        <v>-0.8435153941240281</v>
      </c>
      <c r="R18" s="7">
        <f t="shared" si="16"/>
        <v>-0.68766656085277189</v>
      </c>
      <c r="S18" s="7">
        <f t="shared" si="17"/>
        <v>6.3320940217717361</v>
      </c>
      <c r="T18" s="7">
        <f t="shared" si="18"/>
        <v>-6.6160475555009564</v>
      </c>
      <c r="U18" s="7">
        <f t="shared" si="19"/>
        <v>-1.4267062361824516</v>
      </c>
      <c r="V18" s="7">
        <f t="shared" si="20"/>
        <v>0.48530367826893972</v>
      </c>
      <c r="W18" s="7">
        <f t="shared" si="21"/>
        <v>0.37685164204109523</v>
      </c>
      <c r="X18" s="7">
        <f t="shared" si="22"/>
        <v>0.13832375579984246</v>
      </c>
      <c r="Y18" s="17">
        <v>0.48898600704502004</v>
      </c>
      <c r="Z18" s="17">
        <v>0.40789980280525601</v>
      </c>
      <c r="AA18" s="17">
        <v>9.9755417736937704E-2</v>
      </c>
      <c r="AB18" s="18">
        <f t="shared" si="23"/>
        <v>2.4650645329868303E-3</v>
      </c>
      <c r="AC18" s="19">
        <f t="shared" si="28"/>
        <v>-8.9541005385430417E-2</v>
      </c>
      <c r="AD18" s="19">
        <f t="shared" si="24"/>
        <v>6.223608054313523E-2</v>
      </c>
      <c r="AE18" s="19">
        <f t="shared" si="24"/>
        <v>2.334214388855349E-2</v>
      </c>
      <c r="AF18" s="18">
        <f t="shared" si="25"/>
        <v>3.3466375797683141E-5</v>
      </c>
      <c r="AG18" s="18">
        <f t="shared" si="26"/>
        <v>3.4222032530012496E-5</v>
      </c>
      <c r="AH18" s="18">
        <f t="shared" si="27"/>
        <v>1.5193109439959677E-5</v>
      </c>
      <c r="AI18" s="18">
        <f t="shared" si="29"/>
        <v>2.2951391905526998E-7</v>
      </c>
      <c r="AK18" s="22" t="s">
        <v>81</v>
      </c>
      <c r="AL18" s="22">
        <v>0.17078916663728316</v>
      </c>
      <c r="AM18">
        <v>-9.4501998208013943E-2</v>
      </c>
    </row>
    <row r="19" spans="1:49">
      <c r="A19" s="6">
        <v>17</v>
      </c>
      <c r="B19" s="7">
        <f t="shared" si="0"/>
        <v>-110.1567418548514</v>
      </c>
      <c r="C19" s="7">
        <f t="shared" si="1"/>
        <v>1.4438925247580979E-48</v>
      </c>
      <c r="D19" s="7">
        <f t="shared" si="2"/>
        <v>-6.4693233708215585</v>
      </c>
      <c r="E19" s="7">
        <f t="shared" si="3"/>
        <v>1.4515050988231752</v>
      </c>
      <c r="F19" s="7">
        <f t="shared" si="4"/>
        <v>1.4515050988231752</v>
      </c>
      <c r="G19" s="7">
        <f t="shared" si="5"/>
        <v>0.22996858349932392</v>
      </c>
      <c r="H19" s="7">
        <f t="shared" si="6"/>
        <v>0.22599854059813482</v>
      </c>
      <c r="I19" s="7">
        <f t="shared" si="7"/>
        <v>-0.15600966840334873</v>
      </c>
      <c r="J19" s="7">
        <f t="shared" si="8"/>
        <v>0.83233433781444288</v>
      </c>
      <c r="K19" s="7">
        <f t="shared" si="9"/>
        <v>4.0955218649675578</v>
      </c>
      <c r="L19" s="7">
        <f t="shared" si="10"/>
        <v>0.23062554216942477</v>
      </c>
      <c r="M19" s="7">
        <f t="shared" si="11"/>
        <v>0.22662185224674961</v>
      </c>
      <c r="N19" s="7">
        <f t="shared" si="12"/>
        <v>0.69122454564624025</v>
      </c>
      <c r="O19" s="7">
        <f t="shared" si="13"/>
        <v>4.7872889702381016</v>
      </c>
      <c r="P19" s="7">
        <f t="shared" si="14"/>
        <v>-3.9757614551622886</v>
      </c>
      <c r="Q19" s="7">
        <f t="shared" si="15"/>
        <v>-0.76492058987731482</v>
      </c>
      <c r="R19" s="7">
        <f t="shared" si="16"/>
        <v>-0.6439661514563283</v>
      </c>
      <c r="S19" s="7">
        <f t="shared" si="17"/>
        <v>6.3318257579226591</v>
      </c>
      <c r="T19" s="7">
        <f t="shared" si="18"/>
        <v>-6.6355536531285333</v>
      </c>
      <c r="U19" s="7">
        <f t="shared" si="19"/>
        <v>-1.407644504249715</v>
      </c>
      <c r="V19" s="7">
        <f t="shared" si="20"/>
        <v>0.39771726434399213</v>
      </c>
      <c r="W19" s="7">
        <f t="shared" si="21"/>
        <v>0.43557475374718635</v>
      </c>
      <c r="X19" s="7">
        <f t="shared" si="22"/>
        <v>0.16362100437872962</v>
      </c>
      <c r="Y19" s="17">
        <v>0.39651123517081099</v>
      </c>
      <c r="Z19" s="17">
        <v>0.47372642816447597</v>
      </c>
      <c r="AA19" s="17">
        <v>0.13353312106332502</v>
      </c>
      <c r="AB19" s="18">
        <f t="shared" si="23"/>
        <v>2.3622854896108375E-3</v>
      </c>
      <c r="AC19" s="19">
        <f t="shared" si="28"/>
        <v>-8.7586413924947593E-2</v>
      </c>
      <c r="AD19" s="19">
        <f t="shared" si="28"/>
        <v>5.8723111706091125E-2</v>
      </c>
      <c r="AE19" s="19">
        <f t="shared" si="28"/>
        <v>2.5297248578887155E-2</v>
      </c>
      <c r="AF19" s="18">
        <f t="shared" si="25"/>
        <v>7.3374519780825609E-6</v>
      </c>
      <c r="AG19" s="18">
        <f t="shared" si="26"/>
        <v>7.641068361972885E-9</v>
      </c>
      <c r="AH19" s="18">
        <f t="shared" si="27"/>
        <v>3.8284086874568108E-5</v>
      </c>
      <c r="AI19" s="18">
        <f t="shared" si="29"/>
        <v>9.5294302712923212E-6</v>
      </c>
      <c r="AK19" s="22" t="s">
        <v>82</v>
      </c>
      <c r="AL19" s="22">
        <v>-2.672790290664389</v>
      </c>
      <c r="AM19">
        <v>1.6548382702559052</v>
      </c>
    </row>
    <row r="20" spans="1:49">
      <c r="A20" s="6">
        <v>18</v>
      </c>
      <c r="B20" s="7">
        <f t="shared" si="0"/>
        <v>-116.10428761355693</v>
      </c>
      <c r="C20" s="7">
        <f t="shared" si="1"/>
        <v>3.771799200541682E-51</v>
      </c>
      <c r="D20" s="7">
        <f t="shared" si="2"/>
        <v>-6.4693233708215585</v>
      </c>
      <c r="E20" s="7">
        <f t="shared" si="3"/>
        <v>1.4515050988231752</v>
      </c>
      <c r="F20" s="7">
        <f t="shared" si="4"/>
        <v>1.4515050988231752</v>
      </c>
      <c r="G20" s="7">
        <f t="shared" si="5"/>
        <v>0.40037471251643497</v>
      </c>
      <c r="H20" s="7">
        <f t="shared" si="6"/>
        <v>0.38026953516242495</v>
      </c>
      <c r="I20" s="7">
        <f t="shared" si="7"/>
        <v>1.1639163504803163</v>
      </c>
      <c r="J20" s="7">
        <f t="shared" si="8"/>
        <v>1.3728101252463356</v>
      </c>
      <c r="K20" s="7">
        <f t="shared" si="9"/>
        <v>4.9692616992382259</v>
      </c>
      <c r="L20" s="7">
        <f t="shared" si="10"/>
        <v>0.40141470880670793</v>
      </c>
      <c r="M20" s="7">
        <f t="shared" si="11"/>
        <v>0.38115879087051668</v>
      </c>
      <c r="N20" s="7">
        <f t="shared" si="12"/>
        <v>-0.7090715402119403</v>
      </c>
      <c r="O20" s="7">
        <f t="shared" si="13"/>
        <v>4.3194714788662676</v>
      </c>
      <c r="P20" s="7">
        <f t="shared" si="14"/>
        <v>-4.8433945557674338</v>
      </c>
      <c r="Q20" s="7">
        <f t="shared" si="15"/>
        <v>-0.68632578563060154</v>
      </c>
      <c r="R20" s="7">
        <f t="shared" si="16"/>
        <v>-0.59561643401533693</v>
      </c>
      <c r="S20" s="7">
        <f t="shared" si="17"/>
        <v>6.3315289533507659</v>
      </c>
      <c r="T20" s="7">
        <f t="shared" si="18"/>
        <v>-6.6571350140744681</v>
      </c>
      <c r="U20" s="7">
        <f t="shared" si="19"/>
        <v>-1.3865547852834039</v>
      </c>
      <c r="V20" s="7">
        <f t="shared" si="20"/>
        <v>0.31705039279758296</v>
      </c>
      <c r="W20" s="7">
        <f t="shared" si="21"/>
        <v>0.48665168886131038</v>
      </c>
      <c r="X20" s="7">
        <f t="shared" si="22"/>
        <v>0.19081745701056363</v>
      </c>
      <c r="Y20" s="17">
        <v>0.31251275507811599</v>
      </c>
      <c r="Z20" s="17">
        <v>0.52750319456345507</v>
      </c>
      <c r="AA20" s="17">
        <v>0.171732007304878</v>
      </c>
      <c r="AB20" s="18">
        <f t="shared" si="23"/>
        <v>2.0536900646737446E-3</v>
      </c>
      <c r="AC20" s="19">
        <f t="shared" si="28"/>
        <v>-8.0666871546409169E-2</v>
      </c>
      <c r="AD20" s="19">
        <f t="shared" si="28"/>
        <v>5.1076935114124034E-2</v>
      </c>
      <c r="AE20" s="19">
        <f t="shared" si="28"/>
        <v>2.7196452631834012E-2</v>
      </c>
      <c r="AF20" s="18">
        <f t="shared" si="25"/>
        <v>6.00419074625156E-8</v>
      </c>
      <c r="AG20" s="18">
        <f t="shared" si="26"/>
        <v>3.40093753662716E-5</v>
      </c>
      <c r="AH20" s="18">
        <f t="shared" si="27"/>
        <v>6.3683672932330905E-5</v>
      </c>
      <c r="AI20" s="18">
        <f t="shared" si="29"/>
        <v>3.0035456395577472E-5</v>
      </c>
      <c r="AK20" s="22" t="s">
        <v>83</v>
      </c>
      <c r="AL20" s="22">
        <v>-9.0612386807229122</v>
      </c>
      <c r="AM20">
        <v>-3.1964750434895328</v>
      </c>
    </row>
    <row r="21" spans="1:49">
      <c r="A21" s="6">
        <v>19</v>
      </c>
      <c r="B21" s="7">
        <f t="shared" si="0"/>
        <v>-122.05183337226246</v>
      </c>
      <c r="C21" s="7">
        <f t="shared" si="1"/>
        <v>9.8528588279728782E-54</v>
      </c>
      <c r="D21" s="7">
        <f t="shared" si="2"/>
        <v>-6.4693233708215585</v>
      </c>
      <c r="E21" s="7">
        <f t="shared" si="3"/>
        <v>1.4515050988231752</v>
      </c>
      <c r="F21" s="7">
        <f t="shared" si="4"/>
        <v>1.4515050988231752</v>
      </c>
      <c r="G21" s="7">
        <f t="shared" si="5"/>
        <v>0.57078084153354558</v>
      </c>
      <c r="H21" s="7">
        <f t="shared" si="6"/>
        <v>0.51593250099964605</v>
      </c>
      <c r="I21" s="7">
        <f t="shared" si="7"/>
        <v>2.3246340791318363</v>
      </c>
      <c r="J21" s="7">
        <f t="shared" si="8"/>
        <v>1.8480942089025278</v>
      </c>
      <c r="K21" s="7">
        <f t="shared" si="9"/>
        <v>5.7376118198947932</v>
      </c>
      <c r="L21" s="7">
        <f t="shared" si="10"/>
        <v>0.57220387544399109</v>
      </c>
      <c r="M21" s="7">
        <f t="shared" si="11"/>
        <v>0.51697597590121003</v>
      </c>
      <c r="N21" s="7">
        <f t="shared" si="12"/>
        <v>-1.9397434707189598</v>
      </c>
      <c r="O21" s="7">
        <f t="shared" si="13"/>
        <v>3.9083228217744468</v>
      </c>
      <c r="P21" s="7">
        <f t="shared" si="14"/>
        <v>-5.6059273612770149</v>
      </c>
      <c r="Q21" s="7">
        <f t="shared" si="15"/>
        <v>-0.60773098138388804</v>
      </c>
      <c r="R21" s="7">
        <f t="shared" si="16"/>
        <v>-0.54252790666181383</v>
      </c>
      <c r="S21" s="7">
        <f t="shared" si="17"/>
        <v>6.3312030586306403</v>
      </c>
      <c r="T21" s="7">
        <f t="shared" si="18"/>
        <v>-6.6808315883575098</v>
      </c>
      <c r="U21" s="7">
        <f t="shared" si="19"/>
        <v>-1.3633980393605849</v>
      </c>
      <c r="V21" s="7">
        <f t="shared" si="20"/>
        <v>0.24677029622195779</v>
      </c>
      <c r="W21" s="7">
        <f t="shared" si="21"/>
        <v>0.52709054114264031</v>
      </c>
      <c r="X21" s="7">
        <f t="shared" si="22"/>
        <v>0.2197915180803689</v>
      </c>
      <c r="Y21" s="17">
        <v>0.23552071001902899</v>
      </c>
      <c r="Z21" s="17">
        <v>0.55793614971574401</v>
      </c>
      <c r="AA21" s="17">
        <v>0.208737490794312</v>
      </c>
      <c r="AB21" s="18">
        <f t="shared" si="23"/>
        <v>1.2001962772231446E-3</v>
      </c>
      <c r="AC21" s="19">
        <f t="shared" si="28"/>
        <v>-7.0280096575625173E-2</v>
      </c>
      <c r="AD21" s="19">
        <f t="shared" si="28"/>
        <v>4.0438852281329929E-2</v>
      </c>
      <c r="AE21" s="19">
        <f t="shared" si="28"/>
        <v>2.8974061069805268E-2</v>
      </c>
      <c r="AF21" s="18">
        <f t="shared" si="25"/>
        <v>6.1695779847999912E-6</v>
      </c>
      <c r="AG21" s="18">
        <f t="shared" si="26"/>
        <v>1.1539743084693394E-4</v>
      </c>
      <c r="AH21" s="18">
        <f t="shared" si="27"/>
        <v>8.3277293109416332E-5</v>
      </c>
      <c r="AI21" s="18">
        <f t="shared" si="29"/>
        <v>4.0292591397040158E-5</v>
      </c>
      <c r="AK21" s="22" t="s">
        <v>84</v>
      </c>
      <c r="AL21" s="22">
        <v>2.7446992391215606</v>
      </c>
      <c r="AM21">
        <v>2.6558680655508837</v>
      </c>
    </row>
    <row r="22" spans="1:49">
      <c r="A22" s="6">
        <v>20</v>
      </c>
      <c r="B22" s="7">
        <f t="shared" si="0"/>
        <v>-127.99937913096799</v>
      </c>
      <c r="C22" s="7">
        <f t="shared" si="1"/>
        <v>2.5738068736538579E-56</v>
      </c>
      <c r="D22" s="7">
        <f t="shared" si="2"/>
        <v>-6.4693233708215585</v>
      </c>
      <c r="E22" s="7">
        <f t="shared" si="3"/>
        <v>1.4515050988231752</v>
      </c>
      <c r="F22" s="7">
        <f t="shared" si="4"/>
        <v>1.4515050988231752</v>
      </c>
      <c r="G22" s="7">
        <f t="shared" si="5"/>
        <v>0.74118697055065619</v>
      </c>
      <c r="H22" s="7">
        <f t="shared" si="6"/>
        <v>0.62986176548790196</v>
      </c>
      <c r="I22" s="7">
        <f t="shared" si="7"/>
        <v>3.2994005991445134</v>
      </c>
      <c r="J22" s="7">
        <f t="shared" si="8"/>
        <v>2.2472360508912734</v>
      </c>
      <c r="K22" s="7">
        <f t="shared" si="9"/>
        <v>6.3828694521132991</v>
      </c>
      <c r="L22" s="7">
        <f t="shared" si="10"/>
        <v>0.74299304208127426</v>
      </c>
      <c r="M22" s="7">
        <f t="shared" si="11"/>
        <v>0.63095008254085627</v>
      </c>
      <c r="N22" s="7">
        <f t="shared" si="12"/>
        <v>-2.9724900544029609</v>
      </c>
      <c r="O22" s="7">
        <f t="shared" si="13"/>
        <v>3.5632979938961435</v>
      </c>
      <c r="P22" s="7">
        <f t="shared" si="14"/>
        <v>-6.2458242585049843</v>
      </c>
      <c r="Q22" s="7">
        <f t="shared" si="15"/>
        <v>-0.52913617713717476</v>
      </c>
      <c r="R22" s="7">
        <f t="shared" si="16"/>
        <v>-0.48472050311085602</v>
      </c>
      <c r="S22" s="7">
        <f t="shared" si="17"/>
        <v>6.3308481961294447</v>
      </c>
      <c r="T22" s="7">
        <f t="shared" si="18"/>
        <v>-6.7066344783723917</v>
      </c>
      <c r="U22" s="7">
        <f t="shared" si="19"/>
        <v>-1.3381829613914169</v>
      </c>
      <c r="V22" s="7">
        <f t="shared" si="20"/>
        <v>0.18843537004943833</v>
      </c>
      <c r="W22" s="7">
        <f t="shared" si="21"/>
        <v>0.55540466523820076</v>
      </c>
      <c r="X22" s="7">
        <f t="shared" si="22"/>
        <v>0.25036733104007336</v>
      </c>
      <c r="Y22" s="17">
        <v>0.188024971201353</v>
      </c>
      <c r="Z22" s="17">
        <v>0.5772776209197521</v>
      </c>
      <c r="AA22" s="17">
        <v>0.245867937524964</v>
      </c>
      <c r="AB22" s="18">
        <f t="shared" si="23"/>
        <v>4.9883915946542703E-4</v>
      </c>
      <c r="AC22" s="19">
        <f t="shared" si="28"/>
        <v>-5.8334926172519452E-2</v>
      </c>
      <c r="AD22" s="19">
        <f t="shared" si="28"/>
        <v>2.8314124095560445E-2</v>
      </c>
      <c r="AE22" s="19">
        <f t="shared" si="28"/>
        <v>3.0575812959704463E-2</v>
      </c>
      <c r="AF22" s="18">
        <f t="shared" si="25"/>
        <v>1.4321243085237353E-5</v>
      </c>
      <c r="AG22" s="18">
        <f t="shared" si="26"/>
        <v>1.9348450501492301E-4</v>
      </c>
      <c r="AH22" s="18">
        <f t="shared" si="27"/>
        <v>9.15948160085524E-5</v>
      </c>
      <c r="AI22" s="18">
        <f t="shared" si="29"/>
        <v>3.355460486131955E-5</v>
      </c>
      <c r="AK22" s="22" t="s">
        <v>85</v>
      </c>
      <c r="AL22" s="22">
        <v>-3.0272211649719134</v>
      </c>
      <c r="AM22">
        <v>9.6652613191338439</v>
      </c>
    </row>
    <row r="23" spans="1:49">
      <c r="A23" s="6">
        <v>21</v>
      </c>
      <c r="B23" s="7">
        <f t="shared" si="0"/>
        <v>-133.94692488967351</v>
      </c>
      <c r="C23" s="7">
        <f t="shared" si="1"/>
        <v>6.7234108785367212E-59</v>
      </c>
      <c r="D23" s="7">
        <f t="shared" si="2"/>
        <v>-6.4693233708215585</v>
      </c>
      <c r="E23" s="7">
        <f t="shared" si="3"/>
        <v>1.4515050988231752</v>
      </c>
      <c r="F23" s="7">
        <f t="shared" si="4"/>
        <v>1.4515050988231752</v>
      </c>
      <c r="G23" s="7">
        <f t="shared" si="5"/>
        <v>0.91159309956776724</v>
      </c>
      <c r="H23" s="7">
        <f t="shared" si="6"/>
        <v>0.72189601324380992</v>
      </c>
      <c r="I23" s="7">
        <f t="shared" si="7"/>
        <v>4.0868357134672131</v>
      </c>
      <c r="J23" s="7">
        <f t="shared" si="8"/>
        <v>2.56967049598618</v>
      </c>
      <c r="K23" s="7">
        <f t="shared" si="9"/>
        <v>6.9041209589735946</v>
      </c>
      <c r="L23" s="7">
        <f t="shared" si="10"/>
        <v>0.91378220871855742</v>
      </c>
      <c r="M23" s="7">
        <f t="shared" si="11"/>
        <v>0.72294264782803663</v>
      </c>
      <c r="N23" s="7">
        <f t="shared" si="12"/>
        <v>-3.8060566453220872</v>
      </c>
      <c r="O23" s="7">
        <f t="shared" si="13"/>
        <v>3.2848161532387308</v>
      </c>
      <c r="P23" s="7">
        <f t="shared" si="14"/>
        <v>-6.7623078601832578</v>
      </c>
      <c r="Q23" s="7">
        <f t="shared" si="15"/>
        <v>-0.45054137289046148</v>
      </c>
      <c r="R23" s="7">
        <f t="shared" si="16"/>
        <v>-0.42234391276908789</v>
      </c>
      <c r="S23" s="7">
        <f t="shared" si="17"/>
        <v>6.3304652847460403</v>
      </c>
      <c r="T23" s="7">
        <f t="shared" si="18"/>
        <v>-6.7344768688141841</v>
      </c>
      <c r="U23" s="7">
        <f t="shared" si="19"/>
        <v>-1.3109748445706697</v>
      </c>
      <c r="V23" s="7">
        <f t="shared" si="20"/>
        <v>0.14192098206960768</v>
      </c>
      <c r="W23" s="7">
        <f t="shared" si="21"/>
        <v>0.57151487923390221</v>
      </c>
      <c r="X23" s="7">
        <f t="shared" si="22"/>
        <v>0.28234335304284164</v>
      </c>
      <c r="Y23" s="17">
        <v>0.137907399961987</v>
      </c>
      <c r="Z23" s="17">
        <v>0.57947852857229998</v>
      </c>
      <c r="AA23" s="17">
        <v>0.28965693379235602</v>
      </c>
      <c r="AB23" s="18">
        <f t="shared" si="23"/>
        <v>1.3301701549924344E-4</v>
      </c>
      <c r="AC23" s="19">
        <f t="shared" si="28"/>
        <v>-4.6514387979830651E-2</v>
      </c>
      <c r="AD23" s="19">
        <f t="shared" si="28"/>
        <v>1.611021399570145E-2</v>
      </c>
      <c r="AE23" s="19">
        <f t="shared" si="28"/>
        <v>3.1976022002768278E-2</v>
      </c>
      <c r="AF23" s="18">
        <f t="shared" si="25"/>
        <v>1.7957563755765826E-5</v>
      </c>
      <c r="AG23" s="18">
        <f t="shared" si="26"/>
        <v>2.2934947922637411E-4</v>
      </c>
      <c r="AH23" s="18">
        <f t="shared" si="27"/>
        <v>8.7138567055341923E-5</v>
      </c>
      <c r="AI23" s="18">
        <f t="shared" si="29"/>
        <v>1.7815031534044769E-5</v>
      </c>
      <c r="AK23" s="22" t="s">
        <v>86</v>
      </c>
      <c r="AL23" s="22">
        <v>5.4733234378045994</v>
      </c>
      <c r="AM23">
        <v>-1.5550295139632071</v>
      </c>
    </row>
    <row r="24" spans="1:49">
      <c r="A24" s="6">
        <v>22</v>
      </c>
      <c r="B24" s="7">
        <f t="shared" si="0"/>
        <v>-139.89447064837904</v>
      </c>
      <c r="C24" s="7">
        <f t="shared" si="1"/>
        <v>1.7563187939370088E-61</v>
      </c>
      <c r="D24" s="7">
        <f t="shared" si="2"/>
        <v>-6.4693233708215585</v>
      </c>
      <c r="E24" s="7">
        <f t="shared" si="3"/>
        <v>1.4515050988231752</v>
      </c>
      <c r="F24" s="7">
        <f t="shared" si="4"/>
        <v>1.4515050988231752</v>
      </c>
      <c r="G24" s="7">
        <f t="shared" si="5"/>
        <v>1.0819992285848778</v>
      </c>
      <c r="H24" s="7">
        <f t="shared" si="6"/>
        <v>0.79393930660009604</v>
      </c>
      <c r="I24" s="7">
        <f t="shared" si="7"/>
        <v>4.7032303744052602</v>
      </c>
      <c r="J24" s="7">
        <f t="shared" si="8"/>
        <v>2.8220682705380185</v>
      </c>
      <c r="K24" s="7">
        <f t="shared" si="9"/>
        <v>7.3121503190954833</v>
      </c>
      <c r="L24" s="7">
        <f t="shared" si="10"/>
        <v>1.0845713753558406</v>
      </c>
      <c r="M24" s="7">
        <f t="shared" si="11"/>
        <v>0.79488818751699963</v>
      </c>
      <c r="N24" s="7">
        <f t="shared" si="12"/>
        <v>-4.4579723524572037</v>
      </c>
      <c r="O24" s="7">
        <f t="shared" si="13"/>
        <v>3.067021092766975</v>
      </c>
      <c r="P24" s="7">
        <f t="shared" si="14"/>
        <v>-7.1662393229839916</v>
      </c>
      <c r="Q24" s="7">
        <f t="shared" si="15"/>
        <v>-0.37194656864374798</v>
      </c>
      <c r="R24" s="7">
        <f t="shared" si="16"/>
        <v>-0.35569318176706483</v>
      </c>
      <c r="S24" s="7">
        <f t="shared" si="17"/>
        <v>6.3300561356810929</v>
      </c>
      <c r="T24" s="7">
        <f t="shared" si="18"/>
        <v>-6.7642270630075743</v>
      </c>
      <c r="U24" s="7">
        <f t="shared" si="19"/>
        <v>-1.2819023854100264</v>
      </c>
      <c r="V24" s="7">
        <f t="shared" si="20"/>
        <v>0.10599078680759089</v>
      </c>
      <c r="W24" s="7">
        <f t="shared" si="21"/>
        <v>0.57636739912059465</v>
      </c>
      <c r="X24" s="7">
        <f t="shared" si="22"/>
        <v>0.31551370952463986</v>
      </c>
      <c r="Y24" s="17">
        <v>9.9076317792327895E-2</v>
      </c>
      <c r="Z24" s="17">
        <v>0.57261055388682602</v>
      </c>
      <c r="AA24" s="17">
        <v>0.33141838551950203</v>
      </c>
      <c r="AB24" s="18">
        <f t="shared" si="23"/>
        <v>3.1488248637506701E-4</v>
      </c>
      <c r="AC24" s="19">
        <f t="shared" si="28"/>
        <v>-3.5930195262016795E-2</v>
      </c>
      <c r="AD24" s="19">
        <f t="shared" si="28"/>
        <v>4.8525198866924413E-3</v>
      </c>
      <c r="AE24" s="19">
        <f t="shared" si="28"/>
        <v>3.3170356481798224E-2</v>
      </c>
      <c r="AF24" s="18">
        <f t="shared" si="25"/>
        <v>1.671655093161748E-5</v>
      </c>
      <c r="AG24" s="18">
        <f t="shared" si="26"/>
        <v>2.1528206316139619E-4</v>
      </c>
      <c r="AH24" s="18">
        <f t="shared" si="27"/>
        <v>7.210089221700437E-5</v>
      </c>
      <c r="AI24" s="18">
        <f t="shared" si="29"/>
        <v>4.5288289637052217E-6</v>
      </c>
      <c r="AK24" s="22" t="s">
        <v>87</v>
      </c>
      <c r="AL24" s="22">
        <v>-5.6144059040632941</v>
      </c>
      <c r="AM24">
        <v>-6.6122890398226595</v>
      </c>
      <c r="AW24" s="4"/>
    </row>
    <row r="25" spans="1:49">
      <c r="A25" s="6">
        <v>23</v>
      </c>
      <c r="B25" s="7">
        <f t="shared" si="0"/>
        <v>-145.84201640708457</v>
      </c>
      <c r="C25" s="7">
        <f t="shared" si="1"/>
        <v>4.5879327645787017E-64</v>
      </c>
      <c r="D25" s="7">
        <f t="shared" si="2"/>
        <v>-6.4693233708215585</v>
      </c>
      <c r="E25" s="7">
        <f t="shared" si="3"/>
        <v>1.4515050988231752</v>
      </c>
      <c r="F25" s="7">
        <f t="shared" si="4"/>
        <v>1.4515050988231752</v>
      </c>
      <c r="G25" s="7">
        <f t="shared" si="5"/>
        <v>1.2524053576019885</v>
      </c>
      <c r="H25" s="7">
        <f t="shared" si="6"/>
        <v>0.84895676323152347</v>
      </c>
      <c r="I25" s="7">
        <f t="shared" si="7"/>
        <v>5.1739538095248907</v>
      </c>
      <c r="J25" s="7">
        <f t="shared" si="8"/>
        <v>3.0148174213382286</v>
      </c>
      <c r="K25" s="7">
        <f t="shared" si="9"/>
        <v>7.6237509772419134</v>
      </c>
      <c r="L25" s="7">
        <f t="shared" si="10"/>
        <v>1.2553605419931237</v>
      </c>
      <c r="M25" s="7">
        <f t="shared" si="11"/>
        <v>0.84977999696590489</v>
      </c>
      <c r="N25" s="7">
        <f t="shared" si="12"/>
        <v>-4.9553601394904954</v>
      </c>
      <c r="O25" s="7">
        <f t="shared" si="13"/>
        <v>2.9008514454196437</v>
      </c>
      <c r="P25" s="7">
        <f t="shared" si="14"/>
        <v>-7.4744242220386425</v>
      </c>
      <c r="Q25" s="7">
        <f t="shared" si="15"/>
        <v>-0.2933517643970347</v>
      </c>
      <c r="R25" s="7">
        <f t="shared" si="16"/>
        <v>-0.28521685037593092</v>
      </c>
      <c r="S25" s="7">
        <f t="shared" si="17"/>
        <v>6.3296235023902643</v>
      </c>
      <c r="T25" s="7">
        <f t="shared" si="18"/>
        <v>-6.7956848506927585</v>
      </c>
      <c r="U25" s="7">
        <f t="shared" si="19"/>
        <v>-1.2511612332072317</v>
      </c>
      <c r="V25" s="7">
        <f t="shared" si="20"/>
        <v>7.889380160310111E-2</v>
      </c>
      <c r="W25" s="7">
        <f t="shared" si="21"/>
        <v>0.5714891148882888</v>
      </c>
      <c r="X25" s="7">
        <f t="shared" si="22"/>
        <v>0.34967062081921374</v>
      </c>
      <c r="Y25" s="17">
        <v>7.6771548896384309E-2</v>
      </c>
      <c r="Z25" s="17">
        <v>0.554625055849157</v>
      </c>
      <c r="AA25" s="17">
        <v>0.37486334043008496</v>
      </c>
      <c r="AB25" s="18">
        <f t="shared" si="23"/>
        <v>9.2357356521846482E-4</v>
      </c>
      <c r="AC25" s="19">
        <f t="shared" si="28"/>
        <v>-2.7096985204489776E-2</v>
      </c>
      <c r="AD25" s="19">
        <f t="shared" si="28"/>
        <v>-4.8782842323058517E-3</v>
      </c>
      <c r="AE25" s="19">
        <f t="shared" si="28"/>
        <v>3.4156911294573877E-2</v>
      </c>
      <c r="AF25" s="18">
        <f t="shared" si="25"/>
        <v>1.2934237661981546E-5</v>
      </c>
      <c r="AG25" s="18">
        <f t="shared" si="26"/>
        <v>1.6718785917866795E-4</v>
      </c>
      <c r="AH25" s="18">
        <f t="shared" si="27"/>
        <v>5.1151854317444179E-5</v>
      </c>
      <c r="AI25" s="18">
        <f t="shared" si="29"/>
        <v>2.8662436266712991E-9</v>
      </c>
      <c r="AK25" s="22" t="s">
        <v>88</v>
      </c>
      <c r="AL25" s="22">
        <v>-2.703414389918378</v>
      </c>
      <c r="AM25">
        <v>2.5271169082991181</v>
      </c>
      <c r="AW25" s="4"/>
    </row>
    <row r="26" spans="1:49">
      <c r="A26" s="6">
        <v>24</v>
      </c>
      <c r="B26" s="7">
        <f t="shared" si="0"/>
        <v>-151.7895621657901</v>
      </c>
      <c r="C26" s="7">
        <f t="shared" si="1"/>
        <v>1.1984798616833399E-66</v>
      </c>
      <c r="D26" s="7">
        <f t="shared" si="2"/>
        <v>-6.4693233708215585</v>
      </c>
      <c r="E26" s="7">
        <f t="shared" si="3"/>
        <v>1.4515050988231752</v>
      </c>
      <c r="F26" s="7">
        <f t="shared" si="4"/>
        <v>1.4515050988231752</v>
      </c>
      <c r="G26" s="7">
        <f t="shared" si="5"/>
        <v>1.4228114866190995</v>
      </c>
      <c r="H26" s="7">
        <f t="shared" si="6"/>
        <v>0.8901839744037362</v>
      </c>
      <c r="I26" s="7">
        <f t="shared" si="7"/>
        <v>5.5266893893135958</v>
      </c>
      <c r="J26" s="7">
        <f t="shared" si="8"/>
        <v>3.159253577239439</v>
      </c>
      <c r="K26" s="7">
        <f t="shared" si="9"/>
        <v>7.857248251041101</v>
      </c>
      <c r="L26" s="7">
        <f t="shared" si="10"/>
        <v>1.4261497086304069</v>
      </c>
      <c r="M26" s="7">
        <f t="shared" si="11"/>
        <v>0.89087484189448085</v>
      </c>
      <c r="N26" s="7">
        <f t="shared" si="12"/>
        <v>-5.327730337935618</v>
      </c>
      <c r="O26" s="7">
        <f t="shared" si="13"/>
        <v>2.77644826108062</v>
      </c>
      <c r="P26" s="7">
        <f t="shared" si="14"/>
        <v>-7.7051473620322053</v>
      </c>
      <c r="Q26" s="7">
        <f t="shared" si="15"/>
        <v>-0.21475696015032142</v>
      </c>
      <c r="R26" s="7">
        <f t="shared" si="16"/>
        <v>-0.21151518223289226</v>
      </c>
      <c r="S26" s="7">
        <f t="shared" si="17"/>
        <v>6.3291710697139472</v>
      </c>
      <c r="T26" s="7">
        <f t="shared" si="18"/>
        <v>-6.8285822984276638</v>
      </c>
      <c r="U26" s="7">
        <f t="shared" si="19"/>
        <v>-1.2190132176499118</v>
      </c>
      <c r="V26" s="7">
        <f t="shared" si="20"/>
        <v>5.8806750270366415E-2</v>
      </c>
      <c r="W26" s="7">
        <f t="shared" si="21"/>
        <v>0.55862463871557111</v>
      </c>
      <c r="X26" s="7">
        <f t="shared" si="22"/>
        <v>0.38459277018215854</v>
      </c>
      <c r="Y26" s="17">
        <v>5.50331848909218E-2</v>
      </c>
      <c r="Z26" s="17">
        <v>0.53385373128166391</v>
      </c>
      <c r="AA26" s="17">
        <v>0.41205954274061996</v>
      </c>
      <c r="AB26" s="18">
        <f t="shared" si="23"/>
        <v>1.3822612455503909E-3</v>
      </c>
      <c r="AC26" s="19">
        <f t="shared" si="28"/>
        <v>-2.0087051332734696E-2</v>
      </c>
      <c r="AD26" s="19">
        <f t="shared" si="28"/>
        <v>-1.2864476172717687E-2</v>
      </c>
      <c r="AE26" s="19">
        <f t="shared" si="28"/>
        <v>3.4922149362944799E-2</v>
      </c>
      <c r="AF26" s="18">
        <f t="shared" si="25"/>
        <v>8.7867995027131234E-6</v>
      </c>
      <c r="AG26" s="18">
        <f t="shared" si="26"/>
        <v>1.0798964374268517E-4</v>
      </c>
      <c r="AH26" s="18">
        <f t="shared" si="27"/>
        <v>2.9778096963029255E-5</v>
      </c>
      <c r="AI26" s="18">
        <f t="shared" si="29"/>
        <v>4.0972203377873433E-6</v>
      </c>
      <c r="AK26" s="22" t="s">
        <v>89</v>
      </c>
      <c r="AL26" s="22">
        <v>7.8594804246713335E-2</v>
      </c>
    </row>
    <row r="27" spans="1:49">
      <c r="A27" s="6">
        <v>25</v>
      </c>
      <c r="B27" s="7">
        <f t="shared" si="0"/>
        <v>-157.73710792449563</v>
      </c>
      <c r="C27" s="7">
        <f t="shared" si="1"/>
        <v>3.1307215091510057E-69</v>
      </c>
      <c r="D27" s="7">
        <f t="shared" si="2"/>
        <v>-6.4693233708215585</v>
      </c>
      <c r="E27" s="7">
        <f t="shared" si="3"/>
        <v>1.4515050988231752</v>
      </c>
      <c r="F27" s="7">
        <f t="shared" si="4"/>
        <v>1.4515050988231752</v>
      </c>
      <c r="G27" s="7">
        <f t="shared" si="5"/>
        <v>1.5932176156362101</v>
      </c>
      <c r="H27" s="7">
        <f t="shared" si="6"/>
        <v>0.92064121566596913</v>
      </c>
      <c r="I27" s="7">
        <f t="shared" si="7"/>
        <v>5.7872782661726543</v>
      </c>
      <c r="J27" s="7">
        <f t="shared" si="8"/>
        <v>3.2659580261262868</v>
      </c>
      <c r="K27" s="7">
        <f t="shared" si="9"/>
        <v>8.029747981194296</v>
      </c>
      <c r="L27" s="7">
        <f t="shared" si="10"/>
        <v>1.5969388752676896</v>
      </c>
      <c r="M27" s="7">
        <f t="shared" si="11"/>
        <v>0.92120646999677835</v>
      </c>
      <c r="N27" s="7">
        <f t="shared" si="12"/>
        <v>-5.602572459745458</v>
      </c>
      <c r="O27" s="7">
        <f t="shared" si="13"/>
        <v>2.6846277145212882</v>
      </c>
      <c r="P27" s="7">
        <f t="shared" si="14"/>
        <v>-7.8754414339295966</v>
      </c>
      <c r="Q27" s="7">
        <f t="shared" si="15"/>
        <v>-0.13616215590360814</v>
      </c>
      <c r="R27" s="7">
        <f t="shared" si="16"/>
        <v>-0.13532686179619438</v>
      </c>
      <c r="S27" s="7">
        <f t="shared" si="17"/>
        <v>6.3287033722168911</v>
      </c>
      <c r="T27" s="7">
        <f t="shared" si="18"/>
        <v>-6.8625896873067331</v>
      </c>
      <c r="U27" s="7">
        <f t="shared" si="19"/>
        <v>-1.1857805463631306</v>
      </c>
      <c r="V27" s="7">
        <f t="shared" si="20"/>
        <v>4.40858078225288E-2</v>
      </c>
      <c r="W27" s="7">
        <f t="shared" si="21"/>
        <v>0.53950115216401695</v>
      </c>
      <c r="X27" s="7">
        <f t="shared" si="22"/>
        <v>0.4200310997247434</v>
      </c>
      <c r="Y27" s="17">
        <v>4.1882891498532304E-2</v>
      </c>
      <c r="Z27" s="17">
        <v>0.51004856673586696</v>
      </c>
      <c r="AA27" s="17">
        <v>0.44388223355148898</v>
      </c>
      <c r="AB27" s="18">
        <f t="shared" si="23"/>
        <v>1.441184213554331E-3</v>
      </c>
      <c r="AC27" s="19">
        <f t="shared" si="28"/>
        <v>-1.4720942447837615E-2</v>
      </c>
      <c r="AD27" s="19">
        <f t="shared" si="28"/>
        <v>-1.9123486551554159E-2</v>
      </c>
      <c r="AE27" s="19">
        <f t="shared" si="28"/>
        <v>3.5438329542584857E-2</v>
      </c>
      <c r="AF27" s="18">
        <f t="shared" si="25"/>
        <v>5.4004382060157886E-6</v>
      </c>
      <c r="AG27" s="18">
        <f t="shared" si="26"/>
        <v>5.5894048422529804E-5</v>
      </c>
      <c r="AH27" s="18">
        <f t="shared" si="27"/>
        <v>1.2662547887626449E-5</v>
      </c>
      <c r="AI27" s="18">
        <f t="shared" si="29"/>
        <v>1.3090356074453695E-5</v>
      </c>
      <c r="AK27" s="22" t="s">
        <v>90</v>
      </c>
      <c r="AL27" s="22">
        <v>-2.1010322620714414</v>
      </c>
    </row>
    <row r="28" spans="1:49">
      <c r="A28" s="6">
        <v>26</v>
      </c>
      <c r="B28" s="7">
        <f t="shared" si="0"/>
        <v>-163.68465368320116</v>
      </c>
      <c r="C28" s="7">
        <f t="shared" si="1"/>
        <v>8.1782076455536309E-72</v>
      </c>
      <c r="D28" s="7">
        <f t="shared" si="2"/>
        <v>-6.4693233708215585</v>
      </c>
      <c r="E28" s="7">
        <f t="shared" si="3"/>
        <v>1.4515050988231752</v>
      </c>
      <c r="F28" s="7">
        <f t="shared" si="4"/>
        <v>1.4515050988231752</v>
      </c>
      <c r="G28" s="7">
        <f t="shared" si="5"/>
        <v>1.7636237446533207</v>
      </c>
      <c r="H28" s="7">
        <f t="shared" si="6"/>
        <v>0.94290635786610966</v>
      </c>
      <c r="I28" s="7">
        <f t="shared" si="7"/>
        <v>5.9777764255130545</v>
      </c>
      <c r="J28" s="7">
        <f t="shared" si="8"/>
        <v>3.3439621272659159</v>
      </c>
      <c r="K28" s="7">
        <f t="shared" si="9"/>
        <v>8.1558503746539852</v>
      </c>
      <c r="L28" s="7">
        <f t="shared" si="10"/>
        <v>1.7677280419049732</v>
      </c>
      <c r="M28" s="7">
        <f t="shared" si="11"/>
        <v>0.94335988004825277</v>
      </c>
      <c r="N28" s="7">
        <f t="shared" si="12"/>
        <v>-5.803309795813794</v>
      </c>
      <c r="O28" s="7">
        <f t="shared" si="13"/>
        <v>2.6175644427371632</v>
      </c>
      <c r="P28" s="7">
        <f t="shared" si="14"/>
        <v>-7.9998196701177289</v>
      </c>
      <c r="Q28" s="7">
        <f t="shared" si="15"/>
        <v>-5.7567351656894861E-2</v>
      </c>
      <c r="R28" s="7">
        <f t="shared" si="16"/>
        <v>-5.7503843108479447E-2</v>
      </c>
      <c r="S28" s="7">
        <f t="shared" si="17"/>
        <v>6.3282256397922243</v>
      </c>
      <c r="T28" s="7">
        <f t="shared" si="18"/>
        <v>-6.8973267394570703</v>
      </c>
      <c r="U28" s="7">
        <f t="shared" si="19"/>
        <v>-1.1518348341624962</v>
      </c>
      <c r="V28" s="7">
        <f t="shared" si="20"/>
        <v>3.3368898669926317E-2</v>
      </c>
      <c r="W28" s="7">
        <f t="shared" si="21"/>
        <v>0.51570492936918377</v>
      </c>
      <c r="X28" s="7">
        <f t="shared" si="22"/>
        <v>0.4557009691969347</v>
      </c>
      <c r="Y28" s="17">
        <v>2.6899076645389701E-2</v>
      </c>
      <c r="Z28" s="17">
        <v>0.48054748715594703</v>
      </c>
      <c r="AA28" s="17">
        <v>0.487722954635535</v>
      </c>
      <c r="AB28" s="18">
        <f t="shared" si="23"/>
        <v>2.3033118914361893E-3</v>
      </c>
      <c r="AC28" s="19">
        <f t="shared" si="28"/>
        <v>-1.0716909152602483E-2</v>
      </c>
      <c r="AD28" s="19">
        <f t="shared" si="28"/>
        <v>-2.3796222794833177E-2</v>
      </c>
      <c r="AE28" s="19">
        <f t="shared" si="28"/>
        <v>3.5669869472191307E-2</v>
      </c>
      <c r="AF28" s="18">
        <f t="shared" si="25"/>
        <v>3.053266933897516E-6</v>
      </c>
      <c r="AG28" s="18">
        <f t="shared" si="26"/>
        <v>2.0348597208412852E-5</v>
      </c>
      <c r="AH28" s="18">
        <f t="shared" si="27"/>
        <v>2.5819490155989461E-6</v>
      </c>
      <c r="AI28" s="18">
        <f t="shared" si="29"/>
        <v>2.2798688645340985E-5</v>
      </c>
      <c r="AK28" s="22" t="s">
        <v>91</v>
      </c>
      <c r="AL28" s="22">
        <v>-6.1387033389699048E-3</v>
      </c>
    </row>
    <row r="29" spans="1:49">
      <c r="A29" s="6">
        <v>27</v>
      </c>
      <c r="B29" s="7">
        <f t="shared" si="0"/>
        <v>-169.63219944190669</v>
      </c>
      <c r="C29" s="7">
        <f t="shared" si="1"/>
        <v>2.136347167842768E-74</v>
      </c>
      <c r="D29" s="7">
        <f t="shared" si="2"/>
        <v>-6.4693233708215585</v>
      </c>
      <c r="E29" s="7">
        <f t="shared" si="3"/>
        <v>1.4515050988231752</v>
      </c>
      <c r="F29" s="7">
        <f t="shared" si="4"/>
        <v>1.4515050988231752</v>
      </c>
      <c r="G29" s="7">
        <f t="shared" si="5"/>
        <v>1.9340298736704313</v>
      </c>
      <c r="H29" s="7">
        <f t="shared" si="6"/>
        <v>0.95905788586063145</v>
      </c>
      <c r="I29" s="7">
        <f t="shared" si="7"/>
        <v>6.1159671599729464</v>
      </c>
      <c r="J29" s="7">
        <f t="shared" si="8"/>
        <v>3.4005476820276668</v>
      </c>
      <c r="K29" s="7">
        <f t="shared" si="9"/>
        <v>8.247327281463388</v>
      </c>
      <c r="L29" s="7">
        <f t="shared" si="10"/>
        <v>1.9385172085422568</v>
      </c>
      <c r="M29" s="7">
        <f t="shared" si="11"/>
        <v>0.959416261174038</v>
      </c>
      <c r="N29" s="7">
        <f t="shared" si="12"/>
        <v>-5.9488004975431892</v>
      </c>
      <c r="O29" s="7">
        <f t="shared" si="13"/>
        <v>2.5689582259603307</v>
      </c>
      <c r="P29" s="7">
        <f t="shared" si="14"/>
        <v>-8.0899667111082287</v>
      </c>
      <c r="Q29" s="7">
        <f t="shared" si="15"/>
        <v>2.102745258981864E-2</v>
      </c>
      <c r="R29" s="7">
        <f t="shared" si="16"/>
        <v>2.1024354015410477E-2</v>
      </c>
      <c r="S29" s="7">
        <f t="shared" si="17"/>
        <v>6.327743578486337</v>
      </c>
      <c r="T29" s="7">
        <f t="shared" si="18"/>
        <v>-6.9323785547780705</v>
      </c>
      <c r="U29" s="7">
        <f t="shared" si="19"/>
        <v>-1.1175815293671751</v>
      </c>
      <c r="V29" s="7">
        <f t="shared" si="20"/>
        <v>2.5586870094535641E-2</v>
      </c>
      <c r="W29" s="7">
        <f t="shared" si="21"/>
        <v>0.48863245203310246</v>
      </c>
      <c r="X29" s="7">
        <f t="shared" si="22"/>
        <v>0.4912841398111587</v>
      </c>
      <c r="Y29" s="17">
        <v>2.8643066551244298E-2</v>
      </c>
      <c r="Z29" s="17">
        <v>0.45621581041098197</v>
      </c>
      <c r="AA29" s="17">
        <v>0.51359201939365806</v>
      </c>
      <c r="AB29" s="18">
        <f t="shared" si="23"/>
        <v>1.5578204823062849E-3</v>
      </c>
      <c r="AC29" s="19">
        <f t="shared" si="28"/>
        <v>-7.7820285753906759E-3</v>
      </c>
      <c r="AD29" s="19">
        <f t="shared" si="28"/>
        <v>-2.7072477336081313E-2</v>
      </c>
      <c r="AE29" s="19">
        <f t="shared" si="28"/>
        <v>3.5583170614224002E-2</v>
      </c>
      <c r="AF29" s="18">
        <f t="shared" si="25"/>
        <v>1.6010867286410207E-6</v>
      </c>
      <c r="AG29" s="18">
        <f t="shared" si="26"/>
        <v>2.9952114044663213E-6</v>
      </c>
      <c r="AH29" s="18">
        <f t="shared" si="27"/>
        <v>6.9346562050542633E-8</v>
      </c>
      <c r="AI29" s="18">
        <f t="shared" si="29"/>
        <v>3.0288093311785093E-5</v>
      </c>
      <c r="AK29" s="22" t="s">
        <v>92</v>
      </c>
      <c r="AL29" s="22">
        <v>6.3278726407585308</v>
      </c>
    </row>
    <row r="30" spans="1:49">
      <c r="A30" s="6">
        <v>28</v>
      </c>
      <c r="B30" s="7">
        <f t="shared" si="0"/>
        <v>-175.57974520061222</v>
      </c>
      <c r="C30" s="7">
        <f t="shared" si="1"/>
        <v>5.5806595031017363E-77</v>
      </c>
      <c r="D30" s="7">
        <f t="shared" si="2"/>
        <v>-6.4693233708215585</v>
      </c>
      <c r="E30" s="7">
        <f t="shared" si="3"/>
        <v>1.4515050988231752</v>
      </c>
      <c r="F30" s="7">
        <f t="shared" si="4"/>
        <v>1.4515050988231752</v>
      </c>
      <c r="G30" s="7">
        <f t="shared" si="5"/>
        <v>2.1044360026875419</v>
      </c>
      <c r="H30" s="7">
        <f t="shared" si="6"/>
        <v>0.97070910538993105</v>
      </c>
      <c r="I30" s="7">
        <f t="shared" si="7"/>
        <v>6.2156537397599152</v>
      </c>
      <c r="J30" s="7">
        <f t="shared" si="8"/>
        <v>3.4413667748676739</v>
      </c>
      <c r="K30" s="7">
        <f t="shared" si="9"/>
        <v>8.3133159311725144</v>
      </c>
      <c r="L30" s="7">
        <f t="shared" si="10"/>
        <v>2.1093063751795396</v>
      </c>
      <c r="M30" s="7">
        <f t="shared" si="11"/>
        <v>0.97098891687555089</v>
      </c>
      <c r="N30" s="7">
        <f t="shared" si="12"/>
        <v>-6.0536630930244257</v>
      </c>
      <c r="O30" s="7">
        <f t="shared" si="13"/>
        <v>2.5339252376857777</v>
      </c>
      <c r="P30" s="7">
        <f t="shared" si="14"/>
        <v>-8.1549402976044938</v>
      </c>
      <c r="Q30" s="7">
        <f t="shared" si="15"/>
        <v>9.9622256836532141E-2</v>
      </c>
      <c r="R30" s="7">
        <f t="shared" si="16"/>
        <v>9.9293989789125112E-2</v>
      </c>
      <c r="S30" s="7">
        <f t="shared" si="17"/>
        <v>6.3272631044118723</v>
      </c>
      <c r="T30" s="7">
        <f t="shared" si="18"/>
        <v>-6.9673149587560443</v>
      </c>
      <c r="U30" s="7">
        <f t="shared" si="19"/>
        <v>-1.0834410067451399</v>
      </c>
      <c r="V30" s="7">
        <f t="shared" si="20"/>
        <v>1.9930380325803299E-2</v>
      </c>
      <c r="W30" s="7">
        <f t="shared" si="21"/>
        <v>0.45948215262058234</v>
      </c>
      <c r="X30" s="7">
        <f t="shared" si="22"/>
        <v>0.52643972564605535</v>
      </c>
      <c r="Y30" s="17">
        <v>1.8585382566350301E-2</v>
      </c>
      <c r="Z30" s="17">
        <v>0.43462182741029998</v>
      </c>
      <c r="AA30" s="17">
        <v>0.547713142498501</v>
      </c>
      <c r="AB30" s="18">
        <f t="shared" si="23"/>
        <v>1.0724030531118534E-3</v>
      </c>
      <c r="AC30" s="19">
        <f t="shared" si="28"/>
        <v>-5.6564897687323423E-3</v>
      </c>
      <c r="AD30" s="19">
        <f t="shared" si="28"/>
        <v>-2.915029941252012E-2</v>
      </c>
      <c r="AE30" s="19">
        <f t="shared" si="28"/>
        <v>3.5155585834896641E-2</v>
      </c>
      <c r="AF30" s="18">
        <f t="shared" si="25"/>
        <v>7.8016081507799713E-7</v>
      </c>
      <c r="AG30" s="18">
        <f t="shared" si="26"/>
        <v>5.0518078271015486E-7</v>
      </c>
      <c r="AH30" s="18">
        <f t="shared" si="27"/>
        <v>3.7745669844167994E-6</v>
      </c>
      <c r="AI30" s="18">
        <f t="shared" si="29"/>
        <v>3.4248930632799333E-5</v>
      </c>
      <c r="AK30" s="22" t="s">
        <v>93</v>
      </c>
      <c r="AL30" s="22">
        <v>-0.44635960845632183</v>
      </c>
    </row>
    <row r="31" spans="1:49">
      <c r="A31" s="6">
        <v>29</v>
      </c>
      <c r="B31" s="7">
        <f t="shared" si="0"/>
        <v>-181.52729095931775</v>
      </c>
      <c r="C31" s="7">
        <f t="shared" si="1"/>
        <v>1.4578042819233331E-79</v>
      </c>
      <c r="D31" s="7">
        <f t="shared" si="2"/>
        <v>-6.4693233708215585</v>
      </c>
      <c r="E31" s="7">
        <f t="shared" si="3"/>
        <v>1.4515050988231752</v>
      </c>
      <c r="F31" s="7">
        <f t="shared" si="4"/>
        <v>1.4515050988231752</v>
      </c>
      <c r="G31" s="7">
        <f t="shared" si="5"/>
        <v>2.2748421317046534</v>
      </c>
      <c r="H31" s="7">
        <f t="shared" si="6"/>
        <v>0.97908005244354523</v>
      </c>
      <c r="I31" s="7">
        <f t="shared" si="7"/>
        <v>6.2872746614371806</v>
      </c>
      <c r="J31" s="7">
        <f t="shared" si="8"/>
        <v>3.470693701897158</v>
      </c>
      <c r="K31" s="7">
        <f t="shared" si="9"/>
        <v>8.3607262036736447</v>
      </c>
      <c r="L31" s="7">
        <f t="shared" si="10"/>
        <v>2.2800955418168223</v>
      </c>
      <c r="M31" s="7">
        <f t="shared" si="11"/>
        <v>0.97929644046274789</v>
      </c>
      <c r="N31" s="7">
        <f t="shared" si="12"/>
        <v>-6.1289395470937524</v>
      </c>
      <c r="O31" s="7">
        <f t="shared" si="13"/>
        <v>2.5087765264541115</v>
      </c>
      <c r="P31" s="7">
        <f t="shared" si="14"/>
        <v>-8.201582107080597</v>
      </c>
      <c r="Q31" s="7">
        <f t="shared" si="15"/>
        <v>0.1782170610832452</v>
      </c>
      <c r="R31" s="7">
        <f t="shared" si="16"/>
        <v>0.17635392469073863</v>
      </c>
      <c r="S31" s="7">
        <f t="shared" si="17"/>
        <v>6.3267900563321913</v>
      </c>
      <c r="T31" s="7">
        <f t="shared" si="18"/>
        <v>-7.0017114011263981</v>
      </c>
      <c r="U31" s="7">
        <f t="shared" si="19"/>
        <v>-1.0498281449405034</v>
      </c>
      <c r="V31" s="7">
        <f t="shared" si="20"/>
        <v>1.5801799854060938E-2</v>
      </c>
      <c r="W31" s="7">
        <f t="shared" si="21"/>
        <v>0.42926392604804686</v>
      </c>
      <c r="X31" s="7">
        <f t="shared" si="22"/>
        <v>0.56082105047571895</v>
      </c>
      <c r="Y31" s="17">
        <v>1.6441050975567299E-2</v>
      </c>
      <c r="Z31" s="17">
        <v>0.40770546813070097</v>
      </c>
      <c r="AA31" s="17">
        <v>0.57331041777418701</v>
      </c>
      <c r="AB31" s="18">
        <f t="shared" si="23"/>
        <v>6.2116004528636444E-4</v>
      </c>
      <c r="AC31" s="19">
        <f t="shared" si="28"/>
        <v>-4.1285804717423602E-3</v>
      </c>
      <c r="AD31" s="19">
        <f t="shared" si="28"/>
        <v>-3.0218226572535478E-2</v>
      </c>
      <c r="AE31" s="19">
        <f t="shared" si="28"/>
        <v>3.4381324829663606E-2</v>
      </c>
      <c r="AF31" s="18">
        <f t="shared" si="25"/>
        <v>3.5167137725855854E-7</v>
      </c>
      <c r="AG31" s="18">
        <f t="shared" si="26"/>
        <v>7.4272151146168791E-6</v>
      </c>
      <c r="AH31" s="18">
        <f t="shared" si="27"/>
        <v>1.1241458289622925E-5</v>
      </c>
      <c r="AI31" s="18">
        <f t="shared" si="29"/>
        <v>3.465413612253906E-5</v>
      </c>
      <c r="AK31" s="22" t="s">
        <v>94</v>
      </c>
      <c r="AL31" s="22">
        <v>-6.9229941323517048</v>
      </c>
    </row>
    <row r="32" spans="1:49">
      <c r="A32" s="6">
        <v>30</v>
      </c>
      <c r="B32" s="7">
        <f t="shared" si="0"/>
        <v>-187.47483671802328</v>
      </c>
      <c r="C32" s="7">
        <f t="shared" si="1"/>
        <v>3.8081401010271636E-82</v>
      </c>
      <c r="D32" s="7">
        <f t="shared" si="2"/>
        <v>-6.4693233708215585</v>
      </c>
      <c r="E32" s="7">
        <f t="shared" si="3"/>
        <v>1.4515050988231752</v>
      </c>
      <c r="F32" s="7">
        <f t="shared" si="4"/>
        <v>1.4515050988231752</v>
      </c>
      <c r="G32" s="7">
        <f t="shared" si="5"/>
        <v>2.445248260721764</v>
      </c>
      <c r="H32" s="7">
        <f t="shared" si="6"/>
        <v>0.98507681018884252</v>
      </c>
      <c r="I32" s="7">
        <f t="shared" si="7"/>
        <v>6.3385822750253045</v>
      </c>
      <c r="J32" s="7">
        <f t="shared" si="8"/>
        <v>3.4917028512423198</v>
      </c>
      <c r="K32" s="7">
        <f t="shared" si="9"/>
        <v>8.3946898540237029</v>
      </c>
      <c r="L32" s="7">
        <f t="shared" si="10"/>
        <v>2.4508847084541059</v>
      </c>
      <c r="M32" s="7">
        <f t="shared" si="11"/>
        <v>0.98524285878599871</v>
      </c>
      <c r="N32" s="7">
        <f t="shared" si="12"/>
        <v>-6.1828214628161522</v>
      </c>
      <c r="O32" s="7">
        <f t="shared" si="13"/>
        <v>2.4907754030501899</v>
      </c>
      <c r="P32" s="7">
        <f t="shared" si="14"/>
        <v>-8.2349677132226873</v>
      </c>
      <c r="Q32" s="7">
        <f t="shared" si="15"/>
        <v>0.2568118653299587</v>
      </c>
      <c r="R32" s="7">
        <f t="shared" si="16"/>
        <v>0.25131115315772995</v>
      </c>
      <c r="S32" s="7">
        <f t="shared" si="17"/>
        <v>6.3263299161435214</v>
      </c>
      <c r="T32" s="7">
        <f t="shared" si="18"/>
        <v>-7.0351692802758956</v>
      </c>
      <c r="U32" s="7">
        <f t="shared" si="19"/>
        <v>-1.0171324650786355</v>
      </c>
      <c r="V32" s="7">
        <f t="shared" si="20"/>
        <v>1.2767357531115131E-2</v>
      </c>
      <c r="W32" s="7">
        <f t="shared" si="21"/>
        <v>0.39881407283978909</v>
      </c>
      <c r="X32" s="7">
        <f t="shared" si="22"/>
        <v>0.5940947745455547</v>
      </c>
      <c r="Y32" s="17">
        <v>1.6927265894710001E-2</v>
      </c>
      <c r="Z32" s="17">
        <v>0.38076372682378795</v>
      </c>
      <c r="AA32" s="17">
        <v>0.602138744531867</v>
      </c>
      <c r="AB32" s="18">
        <f t="shared" si="23"/>
        <v>4.0782528203156776E-4</v>
      </c>
      <c r="AC32" s="19">
        <f t="shared" si="28"/>
        <v>-3.0344423229458073E-3</v>
      </c>
      <c r="AD32" s="19">
        <f t="shared" si="28"/>
        <v>-3.0449853208257771E-2</v>
      </c>
      <c r="AE32" s="19">
        <f t="shared" si="28"/>
        <v>3.3273724069835753E-2</v>
      </c>
      <c r="AF32" s="18">
        <f t="shared" si="25"/>
        <v>1.4474549630907053E-7</v>
      </c>
      <c r="AG32" s="18">
        <f t="shared" si="26"/>
        <v>1.8287189585881746E-5</v>
      </c>
      <c r="AH32" s="18">
        <f t="shared" si="27"/>
        <v>1.9769007779876485E-5</v>
      </c>
      <c r="AI32" s="18">
        <f t="shared" si="29"/>
        <v>3.2219302253632493E-5</v>
      </c>
      <c r="AK32" s="22" t="s">
        <v>95</v>
      </c>
      <c r="AL32" s="22">
        <v>0.43619115234851608</v>
      </c>
    </row>
    <row r="33" spans="1:39">
      <c r="A33" s="6">
        <v>31</v>
      </c>
      <c r="B33" s="7">
        <f t="shared" si="0"/>
        <v>-193.42238247672881</v>
      </c>
      <c r="C33" s="7">
        <f t="shared" si="1"/>
        <v>9.9477901175583457E-85</v>
      </c>
      <c r="D33" s="7">
        <f t="shared" si="2"/>
        <v>-6.4693233708215585</v>
      </c>
      <c r="E33" s="7">
        <f t="shared" si="3"/>
        <v>1.4515050988231752</v>
      </c>
      <c r="F33" s="7">
        <f t="shared" si="4"/>
        <v>1.4515050988231752</v>
      </c>
      <c r="G33" s="7">
        <f t="shared" si="5"/>
        <v>2.6156543897388747</v>
      </c>
      <c r="H33" s="7">
        <f t="shared" si="6"/>
        <v>0.98936381998101741</v>
      </c>
      <c r="I33" s="7">
        <f t="shared" si="7"/>
        <v>6.3752614692178486</v>
      </c>
      <c r="J33" s="7">
        <f t="shared" si="8"/>
        <v>3.5067220387421991</v>
      </c>
      <c r="K33" s="7">
        <f t="shared" si="9"/>
        <v>8.4189700580627758</v>
      </c>
      <c r="L33" s="7">
        <f t="shared" si="10"/>
        <v>2.6216738750913895</v>
      </c>
      <c r="M33" s="7">
        <f t="shared" si="11"/>
        <v>0.98949043210359455</v>
      </c>
      <c r="N33" s="7">
        <f t="shared" si="12"/>
        <v>-6.221309738460759</v>
      </c>
      <c r="O33" s="7">
        <f t="shared" si="13"/>
        <v>2.4779170592033939</v>
      </c>
      <c r="P33" s="7">
        <f t="shared" si="14"/>
        <v>-8.2588153139349387</v>
      </c>
      <c r="Q33" s="7">
        <f t="shared" si="15"/>
        <v>0.33540666957667176</v>
      </c>
      <c r="R33" s="7">
        <f t="shared" si="16"/>
        <v>0.32337051103312614</v>
      </c>
      <c r="S33" s="7">
        <f t="shared" si="17"/>
        <v>6.3258875651227271</v>
      </c>
      <c r="T33" s="7">
        <f t="shared" si="18"/>
        <v>-7.0673336670427718</v>
      </c>
      <c r="U33" s="7">
        <f t="shared" si="19"/>
        <v>-0.98570081072947235</v>
      </c>
      <c r="V33" s="7">
        <f t="shared" si="20"/>
        <v>1.0515925058258269E-2</v>
      </c>
      <c r="W33" s="7">
        <f t="shared" si="21"/>
        <v>0.36881052972599626</v>
      </c>
      <c r="X33" s="7">
        <f t="shared" si="22"/>
        <v>0.62595903222153926</v>
      </c>
      <c r="Y33" s="17">
        <v>5.5360201456173194E-3</v>
      </c>
      <c r="Z33" s="17">
        <v>0.35516465630493699</v>
      </c>
      <c r="AA33" s="17">
        <v>0.624921752972462</v>
      </c>
      <c r="AB33" s="18">
        <f t="shared" si="23"/>
        <v>2.1208526260308366E-4</v>
      </c>
      <c r="AC33" s="19">
        <f t="shared" si="28"/>
        <v>-2.2514324728568624E-3</v>
      </c>
      <c r="AD33" s="19">
        <f t="shared" si="28"/>
        <v>-3.000354311379283E-2</v>
      </c>
      <c r="AE33" s="19">
        <f t="shared" si="28"/>
        <v>3.1864257675984553E-2</v>
      </c>
      <c r="AF33" s="18">
        <f t="shared" si="25"/>
        <v>5.2859294054034202E-8</v>
      </c>
      <c r="AG33" s="18">
        <f t="shared" si="26"/>
        <v>2.879741407932913E-5</v>
      </c>
      <c r="AH33" s="18">
        <f t="shared" si="27"/>
        <v>2.7097394668837587E-5</v>
      </c>
      <c r="AI33" s="18">
        <f t="shared" si="29"/>
        <v>2.7936372888413802E-5</v>
      </c>
      <c r="AK33" s="22" t="s">
        <v>96</v>
      </c>
      <c r="AL33" s="22">
        <v>-1.1267521665725402</v>
      </c>
    </row>
    <row r="34" spans="1:39">
      <c r="A34" s="6">
        <v>32</v>
      </c>
      <c r="B34" s="7">
        <f t="shared" si="0"/>
        <v>-199.36992823543434</v>
      </c>
      <c r="C34" s="7">
        <f t="shared" si="1"/>
        <v>2.5986052402930128E-87</v>
      </c>
      <c r="D34" s="7">
        <f t="shared" si="2"/>
        <v>-6.4693233708215585</v>
      </c>
      <c r="E34" s="7">
        <f t="shared" si="3"/>
        <v>1.4515050988231752</v>
      </c>
      <c r="F34" s="7">
        <f t="shared" si="4"/>
        <v>1.4515050988231752</v>
      </c>
      <c r="G34" s="7">
        <f t="shared" si="5"/>
        <v>2.7860605187559853</v>
      </c>
      <c r="H34" s="7">
        <f t="shared" si="6"/>
        <v>0.99242399340739251</v>
      </c>
      <c r="I34" s="7">
        <f t="shared" si="7"/>
        <v>6.4014439835600747</v>
      </c>
      <c r="J34" s="7">
        <f t="shared" si="8"/>
        <v>3.5174431055698911</v>
      </c>
      <c r="K34" s="7">
        <f t="shared" si="9"/>
        <v>8.436301867130009</v>
      </c>
      <c r="L34" s="7">
        <f t="shared" si="10"/>
        <v>2.7924630417286722</v>
      </c>
      <c r="M34" s="7">
        <f t="shared" si="11"/>
        <v>0.99252002553945073</v>
      </c>
      <c r="N34" s="7">
        <f t="shared" si="12"/>
        <v>-6.2487616076886034</v>
      </c>
      <c r="O34" s="7">
        <f t="shared" si="13"/>
        <v>2.4687458098331101</v>
      </c>
      <c r="P34" s="7">
        <f t="shared" si="14"/>
        <v>-8.2758246812081211</v>
      </c>
      <c r="Q34" s="7">
        <f t="shared" si="15"/>
        <v>0.41400147382338526</v>
      </c>
      <c r="R34" s="7">
        <f t="shared" si="16"/>
        <v>0.39186499619392939</v>
      </c>
      <c r="S34" s="7">
        <f t="shared" si="17"/>
        <v>6.3254670977979695</v>
      </c>
      <c r="T34" s="7">
        <f t="shared" si="18"/>
        <v>-7.097906838620565</v>
      </c>
      <c r="U34" s="7">
        <f t="shared" si="19"/>
        <v>-0.95582412231766323</v>
      </c>
      <c r="V34" s="7">
        <f t="shared" si="20"/>
        <v>8.8261028478822112E-3</v>
      </c>
      <c r="W34" s="7">
        <f t="shared" si="21"/>
        <v>0.33978717560561122</v>
      </c>
      <c r="X34" s="7">
        <f t="shared" si="22"/>
        <v>0.65615816242739922</v>
      </c>
      <c r="Y34" s="17">
        <v>5.5516744239331806E-3</v>
      </c>
      <c r="Z34" s="17">
        <v>0.33275256354035898</v>
      </c>
      <c r="AA34" s="17">
        <v>0.65513191440359508</v>
      </c>
      <c r="AB34" s="18">
        <f t="shared" si="23"/>
        <v>6.1260833418519655E-5</v>
      </c>
      <c r="AC34" s="19">
        <f t="shared" si="28"/>
        <v>-1.6898222103760574E-3</v>
      </c>
      <c r="AD34" s="19">
        <f t="shared" si="28"/>
        <v>-2.9023354120385036E-2</v>
      </c>
      <c r="AE34" s="19">
        <f t="shared" si="28"/>
        <v>3.0199130205859959E-2</v>
      </c>
      <c r="AF34" s="18">
        <f t="shared" si="25"/>
        <v>1.6043321988925484E-8</v>
      </c>
      <c r="AG34" s="18">
        <f t="shared" si="26"/>
        <v>3.6308676450319945E-5</v>
      </c>
      <c r="AH34" s="18">
        <f t="shared" si="27"/>
        <v>3.1790249216677709E-5</v>
      </c>
      <c r="AI34" s="18">
        <f t="shared" si="29"/>
        <v>2.2766648079852589E-5</v>
      </c>
      <c r="AK34" s="22" t="s">
        <v>70</v>
      </c>
      <c r="AL34" s="22">
        <v>7.2283028098505314E-2</v>
      </c>
    </row>
    <row r="35" spans="1:39">
      <c r="A35" s="6">
        <v>33</v>
      </c>
      <c r="B35" s="7">
        <f t="shared" si="0"/>
        <v>-205.31747399413987</v>
      </c>
      <c r="C35" s="7">
        <f t="shared" si="1"/>
        <v>6.7881902564061606E-90</v>
      </c>
      <c r="D35" s="7">
        <f t="shared" si="2"/>
        <v>-6.4693233708215585</v>
      </c>
      <c r="E35" s="7">
        <f t="shared" si="3"/>
        <v>1.4515050988231752</v>
      </c>
      <c r="F35" s="7">
        <f t="shared" si="4"/>
        <v>1.4515050988231752</v>
      </c>
      <c r="G35" s="7">
        <f t="shared" si="5"/>
        <v>2.9564666477730959</v>
      </c>
      <c r="H35" s="7">
        <f t="shared" si="6"/>
        <v>0.99460610061730192</v>
      </c>
      <c r="I35" s="7">
        <f t="shared" si="7"/>
        <v>6.420113857897034</v>
      </c>
      <c r="J35" s="7">
        <f t="shared" si="8"/>
        <v>3.5250879393629675</v>
      </c>
      <c r="K35" s="7">
        <f t="shared" si="9"/>
        <v>8.448660599873854</v>
      </c>
      <c r="L35" s="7">
        <f t="shared" si="10"/>
        <v>2.9632522083659549</v>
      </c>
      <c r="M35" s="7">
        <f t="shared" si="11"/>
        <v>0.99467861395681445</v>
      </c>
      <c r="N35" s="7">
        <f t="shared" si="12"/>
        <v>-6.2683210925517798</v>
      </c>
      <c r="O35" s="7">
        <f t="shared" si="13"/>
        <v>2.4622112852896034</v>
      </c>
      <c r="P35" s="7">
        <f t="shared" si="14"/>
        <v>-8.2879438727630124</v>
      </c>
      <c r="Q35" s="7">
        <f t="shared" si="15"/>
        <v>0.49259627807009876</v>
      </c>
      <c r="R35" s="7">
        <f t="shared" si="16"/>
        <v>0.45627463415296027</v>
      </c>
      <c r="S35" s="7">
        <f t="shared" si="17"/>
        <v>6.3250717061383686</v>
      </c>
      <c r="T35" s="7">
        <f t="shared" si="18"/>
        <v>-7.1266566994007716</v>
      </c>
      <c r="U35" s="7">
        <f t="shared" si="19"/>
        <v>-0.92772920811396287</v>
      </c>
      <c r="V35" s="7">
        <f t="shared" si="20"/>
        <v>7.5411006620642596E-3</v>
      </c>
      <c r="W35" s="7">
        <f t="shared" si="21"/>
        <v>0.31214762407497432</v>
      </c>
      <c r="X35" s="7">
        <f t="shared" si="22"/>
        <v>0.68449261782005333</v>
      </c>
      <c r="Y35" s="17">
        <v>1.2931474477337201E-2</v>
      </c>
      <c r="Z35" s="17">
        <v>0.31162242112024097</v>
      </c>
      <c r="AA35" s="17">
        <v>0.68166378325101906</v>
      </c>
      <c r="AB35" s="18">
        <f t="shared" si="23"/>
        <v>3.7334273031004095E-5</v>
      </c>
      <c r="AC35" s="19">
        <f t="shared" si="28"/>
        <v>-1.2850021858179517E-3</v>
      </c>
      <c r="AD35" s="19">
        <f t="shared" si="28"/>
        <v>-2.7639551530636908E-2</v>
      </c>
      <c r="AE35" s="19">
        <f t="shared" si="28"/>
        <v>2.8334455392654112E-2</v>
      </c>
      <c r="AF35" s="18">
        <f t="shared" ref="AF35:AF61" si="30">(AC35+$AL$35*V35*W35)^2</f>
        <v>3.3715766163548052E-9</v>
      </c>
      <c r="AG35" s="18">
        <f t="shared" ref="AG35:AG61" si="31">(AD35-$AL$35*V35*W35+$AL$34*W35)^2</f>
        <v>3.9734275581911948E-5</v>
      </c>
      <c r="AH35" s="18">
        <f t="shared" ref="AH35:AH61" si="32">(AE35-$AL$34*W35)^2</f>
        <v>3.330998036031861E-5</v>
      </c>
      <c r="AI35" s="18">
        <f t="shared" si="29"/>
        <v>1.7483625579748799E-5</v>
      </c>
      <c r="AK35" s="22" t="s">
        <v>71</v>
      </c>
      <c r="AL35" s="22">
        <v>0.52122766537133325</v>
      </c>
    </row>
    <row r="36" spans="1:39">
      <c r="A36" s="6">
        <v>34</v>
      </c>
      <c r="B36" s="7">
        <f t="shared" si="0"/>
        <v>-211.2650197528454</v>
      </c>
      <c r="C36" s="7">
        <f t="shared" si="1"/>
        <v>1.7732407463309711E-92</v>
      </c>
      <c r="D36" s="7">
        <f t="shared" si="2"/>
        <v>-6.4693233708215585</v>
      </c>
      <c r="E36" s="7">
        <f t="shared" si="3"/>
        <v>1.4515050988231752</v>
      </c>
      <c r="F36" s="7">
        <f t="shared" si="4"/>
        <v>1.4515050988231752</v>
      </c>
      <c r="G36" s="7">
        <f t="shared" si="5"/>
        <v>3.1268727767902065</v>
      </c>
      <c r="H36" s="7">
        <f t="shared" si="6"/>
        <v>0.99616090939870661</v>
      </c>
      <c r="I36" s="7">
        <f t="shared" si="7"/>
        <v>6.4334166344219472</v>
      </c>
      <c r="J36" s="7">
        <f t="shared" si="8"/>
        <v>3.5305350845169161</v>
      </c>
      <c r="K36" s="7">
        <f t="shared" si="9"/>
        <v>8.4574665220164054</v>
      </c>
      <c r="L36" s="7">
        <f t="shared" si="10"/>
        <v>3.1340413750032385</v>
      </c>
      <c r="M36" s="7">
        <f t="shared" si="11"/>
        <v>0.99621545509019105</v>
      </c>
      <c r="N36" s="7">
        <f t="shared" si="12"/>
        <v>-6.2822467768756578</v>
      </c>
      <c r="O36" s="7">
        <f t="shared" si="13"/>
        <v>2.4575589272834462</v>
      </c>
      <c r="P36" s="7">
        <f t="shared" si="14"/>
        <v>-8.2965723226958481</v>
      </c>
      <c r="Q36" s="7">
        <f t="shared" si="15"/>
        <v>0.57119108231681182</v>
      </c>
      <c r="R36" s="7">
        <f t="shared" si="16"/>
        <v>0.51623347756745608</v>
      </c>
      <c r="S36" s="7">
        <f t="shared" si="17"/>
        <v>6.3247036365860998</v>
      </c>
      <c r="T36" s="7">
        <f t="shared" si="18"/>
        <v>-7.1534199052707601</v>
      </c>
      <c r="U36" s="7">
        <f t="shared" si="19"/>
        <v>-0.9015756911115097</v>
      </c>
      <c r="V36" s="7">
        <f t="shared" si="20"/>
        <v>6.5501233108307133E-3</v>
      </c>
      <c r="W36" s="7">
        <f t="shared" si="21"/>
        <v>0.28617920535277719</v>
      </c>
      <c r="X36" s="7">
        <f t="shared" si="22"/>
        <v>0.71082360703222214</v>
      </c>
      <c r="Y36" s="17">
        <v>8.6066661943624695E-3</v>
      </c>
      <c r="Z36" s="17">
        <v>0.29035002727487702</v>
      </c>
      <c r="AA36" s="17">
        <v>0.69814062804294097</v>
      </c>
      <c r="AB36" s="18">
        <f t="shared" si="23"/>
        <v>1.8248308018022123E-4</v>
      </c>
      <c r="AC36" s="19">
        <f t="shared" si="28"/>
        <v>-9.9097735123354624E-4</v>
      </c>
      <c r="AD36" s="19">
        <f t="shared" si="28"/>
        <v>-2.5968418722197129E-2</v>
      </c>
      <c r="AE36" s="19">
        <f t="shared" si="28"/>
        <v>2.6330989212168809E-2</v>
      </c>
      <c r="AF36" s="18">
        <f t="shared" si="30"/>
        <v>1.9408272551410025E-10</v>
      </c>
      <c r="AG36" s="18">
        <f t="shared" si="31"/>
        <v>3.9182156168485104E-5</v>
      </c>
      <c r="AH36" s="18">
        <f t="shared" si="32"/>
        <v>3.1867037387377182E-5</v>
      </c>
      <c r="AI36" s="18">
        <f t="shared" si="29"/>
        <v>1.2623352058704076E-5</v>
      </c>
      <c r="AK36" s="22"/>
      <c r="AL36" s="22"/>
    </row>
    <row r="37" spans="1:39">
      <c r="A37" s="6">
        <v>35</v>
      </c>
      <c r="B37" s="7">
        <f t="shared" si="0"/>
        <v>-217.21256551155093</v>
      </c>
      <c r="C37" s="7">
        <f t="shared" si="1"/>
        <v>4.6321370286889021E-95</v>
      </c>
      <c r="D37" s="7">
        <f t="shared" si="2"/>
        <v>-6.4693233708215585</v>
      </c>
      <c r="E37" s="7">
        <f t="shared" si="3"/>
        <v>1.4515050988231752</v>
      </c>
      <c r="F37" s="7">
        <f t="shared" si="4"/>
        <v>1.4515050988231752</v>
      </c>
      <c r="G37" s="7">
        <f t="shared" si="5"/>
        <v>3.2972789058073171</v>
      </c>
      <c r="H37" s="7">
        <f t="shared" si="6"/>
        <v>0.9972681533996921</v>
      </c>
      <c r="I37" s="7">
        <f t="shared" si="7"/>
        <v>6.4428900948756205</v>
      </c>
      <c r="J37" s="7">
        <f t="shared" si="8"/>
        <v>3.5344142231391964</v>
      </c>
      <c r="K37" s="7">
        <f t="shared" si="9"/>
        <v>8.4637375854308239</v>
      </c>
      <c r="L37" s="7">
        <f t="shared" si="10"/>
        <v>3.3048305416405221</v>
      </c>
      <c r="M37" s="7">
        <f t="shared" si="11"/>
        <v>0.99730904810764098</v>
      </c>
      <c r="N37" s="7">
        <f t="shared" si="12"/>
        <v>-6.2921560842263435</v>
      </c>
      <c r="O37" s="7">
        <f t="shared" si="13"/>
        <v>2.4542483793551564</v>
      </c>
      <c r="P37" s="7">
        <f t="shared" si="14"/>
        <v>-8.3027121977896616</v>
      </c>
      <c r="Q37" s="7">
        <f t="shared" si="15"/>
        <v>0.64978588656352532</v>
      </c>
      <c r="R37" s="7">
        <f t="shared" si="16"/>
        <v>0.57152580867916825</v>
      </c>
      <c r="S37" s="7">
        <f t="shared" si="17"/>
        <v>6.3243642133684848</v>
      </c>
      <c r="T37" s="7">
        <f t="shared" si="18"/>
        <v>-7.178100168536421</v>
      </c>
      <c r="U37" s="7">
        <f t="shared" si="19"/>
        <v>-0.87745766548785631</v>
      </c>
      <c r="V37" s="7">
        <f t="shared" si="20"/>
        <v>5.774853196203189E-3</v>
      </c>
      <c r="W37" s="7">
        <f t="shared" si="21"/>
        <v>0.26206753278110639</v>
      </c>
      <c r="X37" s="7">
        <f t="shared" si="22"/>
        <v>0.73507282097648052</v>
      </c>
      <c r="Y37" s="17">
        <v>7.3575980325581393E-3</v>
      </c>
      <c r="Z37" s="17">
        <v>0.272509543831852</v>
      </c>
      <c r="AA37" s="17">
        <v>0.71941411557586699</v>
      </c>
      <c r="AB37" s="18">
        <f t="shared" si="23"/>
        <v>3.5673573082410512E-4</v>
      </c>
      <c r="AC37" s="19">
        <f t="shared" si="28"/>
        <v>-7.7527011462752426E-4</v>
      </c>
      <c r="AD37" s="19">
        <f t="shared" si="28"/>
        <v>-2.4111672571670795E-2</v>
      </c>
      <c r="AE37" s="19">
        <f t="shared" si="28"/>
        <v>2.4249213944258385E-2</v>
      </c>
      <c r="AF37" s="18">
        <f t="shared" si="30"/>
        <v>1.837822511193907E-10</v>
      </c>
      <c r="AG37" s="18">
        <f t="shared" si="31"/>
        <v>3.5491383052333149E-5</v>
      </c>
      <c r="AH37" s="18">
        <f t="shared" si="32"/>
        <v>2.8155536731860814E-5</v>
      </c>
      <c r="AI37" s="18">
        <f t="shared" si="29"/>
        <v>8.4984315834261886E-6</v>
      </c>
      <c r="AK37" s="22"/>
      <c r="AL37" s="22"/>
    </row>
    <row r="38" spans="1:39">
      <c r="A38" s="6">
        <v>36</v>
      </c>
      <c r="B38" s="7">
        <f t="shared" si="0"/>
        <v>-223.16011127025646</v>
      </c>
      <c r="C38" s="7">
        <f t="shared" si="1"/>
        <v>1.2100270928776645E-97</v>
      </c>
      <c r="D38" s="7">
        <f t="shared" si="2"/>
        <v>-6.4693233708215585</v>
      </c>
      <c r="E38" s="7">
        <f t="shared" si="3"/>
        <v>1.4515050988231752</v>
      </c>
      <c r="F38" s="7">
        <f t="shared" si="4"/>
        <v>1.4515050988231752</v>
      </c>
      <c r="G38" s="7">
        <f t="shared" si="5"/>
        <v>3.4676850348244286</v>
      </c>
      <c r="H38" s="7">
        <f t="shared" si="6"/>
        <v>0.9980563646724967</v>
      </c>
      <c r="I38" s="7">
        <f t="shared" si="7"/>
        <v>6.4496339456577481</v>
      </c>
      <c r="J38" s="7">
        <f t="shared" si="8"/>
        <v>3.5371756567420256</v>
      </c>
      <c r="K38" s="7">
        <f t="shared" si="9"/>
        <v>8.4682017531041822</v>
      </c>
      <c r="L38" s="7">
        <f t="shared" si="10"/>
        <v>3.4756197082778049</v>
      </c>
      <c r="M38" s="7">
        <f t="shared" si="11"/>
        <v>0.99808693617580768</v>
      </c>
      <c r="N38" s="7">
        <f t="shared" si="12"/>
        <v>-6.299204713678888</v>
      </c>
      <c r="O38" s="7">
        <f t="shared" si="13"/>
        <v>2.451893540131223</v>
      </c>
      <c r="P38" s="7">
        <f t="shared" si="14"/>
        <v>-8.3070795771522761</v>
      </c>
      <c r="Q38" s="7">
        <f t="shared" si="15"/>
        <v>0.72838069081023837</v>
      </c>
      <c r="R38" s="7">
        <f t="shared" si="16"/>
        <v>0.62207367342876296</v>
      </c>
      <c r="S38" s="7">
        <f t="shared" si="17"/>
        <v>6.3240539150223682</v>
      </c>
      <c r="T38" s="7">
        <f t="shared" si="18"/>
        <v>-7.200662693654353</v>
      </c>
      <c r="U38" s="7">
        <f t="shared" si="19"/>
        <v>-0.85540913411397357</v>
      </c>
      <c r="V38" s="7">
        <f t="shared" si="20"/>
        <v>5.1597761796697839E-3</v>
      </c>
      <c r="W38" s="7">
        <f t="shared" si="21"/>
        <v>0.23991160204207063</v>
      </c>
      <c r="X38" s="7">
        <f t="shared" si="22"/>
        <v>0.75721814066110715</v>
      </c>
      <c r="Y38" s="17">
        <v>2.8505374714209897E-3</v>
      </c>
      <c r="Z38" s="17">
        <v>0.25622929206750999</v>
      </c>
      <c r="AA38" s="17">
        <v>0.73983758563310398</v>
      </c>
      <c r="AB38" s="18">
        <f t="shared" si="23"/>
        <v>5.736832842594445E-4</v>
      </c>
      <c r="AC38" s="19">
        <f t="shared" si="28"/>
        <v>-6.1507701653340519E-4</v>
      </c>
      <c r="AD38" s="19">
        <f t="shared" si="28"/>
        <v>-2.2155930739035767E-2</v>
      </c>
      <c r="AE38" s="19">
        <f t="shared" si="28"/>
        <v>2.214531968462663E-2</v>
      </c>
      <c r="AF38" s="18">
        <f t="shared" si="30"/>
        <v>9.0875638371322843E-10</v>
      </c>
      <c r="AG38" s="18">
        <f t="shared" si="31"/>
        <v>2.980740982084956E-5</v>
      </c>
      <c r="AH38" s="18">
        <f t="shared" si="32"/>
        <v>2.3076327393558845E-5</v>
      </c>
      <c r="AI38" s="18">
        <f t="shared" si="29"/>
        <v>5.241896714915554E-6</v>
      </c>
      <c r="AK38" s="22"/>
      <c r="AL38" s="22"/>
    </row>
    <row r="39" spans="1:39">
      <c r="A39" s="6">
        <v>37</v>
      </c>
      <c r="B39" s="7">
        <f t="shared" si="0"/>
        <v>-229.107657028962</v>
      </c>
      <c r="C39" s="7">
        <f t="shared" si="1"/>
        <v>3.1608856914848112E-100</v>
      </c>
      <c r="D39" s="7">
        <f t="shared" si="2"/>
        <v>-6.4693233708215585</v>
      </c>
      <c r="E39" s="7">
        <f t="shared" si="3"/>
        <v>1.4515050988231752</v>
      </c>
      <c r="F39" s="7">
        <f t="shared" si="4"/>
        <v>1.4515050988231752</v>
      </c>
      <c r="G39" s="7">
        <f t="shared" si="5"/>
        <v>3.6380911638415392</v>
      </c>
      <c r="H39" s="7">
        <f t="shared" si="6"/>
        <v>0.99861731321859326</v>
      </c>
      <c r="I39" s="7">
        <f t="shared" si="7"/>
        <v>6.4544333610199107</v>
      </c>
      <c r="J39" s="7">
        <f t="shared" si="8"/>
        <v>3.5391408940053011</v>
      </c>
      <c r="K39" s="7">
        <f t="shared" si="9"/>
        <v>8.4713787799398812</v>
      </c>
      <c r="L39" s="7">
        <f t="shared" si="10"/>
        <v>3.6464088749150876</v>
      </c>
      <c r="M39" s="7">
        <f t="shared" si="11"/>
        <v>0.99864010902246791</v>
      </c>
      <c r="N39" s="7">
        <f t="shared" si="12"/>
        <v>-6.3042171448741726</v>
      </c>
      <c r="O39" s="7">
        <f t="shared" si="13"/>
        <v>2.4502189635819254</v>
      </c>
      <c r="P39" s="7">
        <f t="shared" si="14"/>
        <v>-8.3101853140485336</v>
      </c>
      <c r="Q39" s="7">
        <f t="shared" si="15"/>
        <v>0.80697549505695187</v>
      </c>
      <c r="R39" s="7">
        <f t="shared" si="16"/>
        <v>0.66791841415300202</v>
      </c>
      <c r="S39" s="7">
        <f t="shared" si="17"/>
        <v>6.3237724877594106</v>
      </c>
      <c r="T39" s="7">
        <f t="shared" si="18"/>
        <v>-7.2211259341738065</v>
      </c>
      <c r="U39" s="7">
        <f t="shared" si="19"/>
        <v>-0.83541206382834887</v>
      </c>
      <c r="V39" s="7">
        <f t="shared" si="20"/>
        <v>4.6653330835901841E-3</v>
      </c>
      <c r="W39" s="7">
        <f t="shared" si="21"/>
        <v>0.21973902223659447</v>
      </c>
      <c r="X39" s="7">
        <f t="shared" si="22"/>
        <v>0.77728650088617335</v>
      </c>
      <c r="Y39" s="17">
        <v>-2.1838521820841201E-4</v>
      </c>
      <c r="Z39" s="17">
        <v>0.23591031536785101</v>
      </c>
      <c r="AA39" s="17">
        <v>0.75684413386429605</v>
      </c>
      <c r="AB39" s="18">
        <f t="shared" si="23"/>
        <v>7.0325179544548379E-4</v>
      </c>
      <c r="AC39" s="19">
        <f t="shared" si="28"/>
        <v>-4.944430960795998E-4</v>
      </c>
      <c r="AD39" s="19">
        <f t="shared" si="28"/>
        <v>-2.0172579805476154E-2</v>
      </c>
      <c r="AE39" s="19">
        <f t="shared" si="28"/>
        <v>2.0068360225066195E-2</v>
      </c>
      <c r="AF39" s="18">
        <f t="shared" si="30"/>
        <v>1.5917252713758829E-9</v>
      </c>
      <c r="AG39" s="18">
        <f t="shared" si="31"/>
        <v>2.3266320249938199E-5</v>
      </c>
      <c r="AH39" s="18">
        <f t="shared" si="32"/>
        <v>1.7513876026309304E-5</v>
      </c>
      <c r="AI39" s="18">
        <f t="shared" si="29"/>
        <v>2.858994710579383E-6</v>
      </c>
      <c r="AK39" s="22"/>
      <c r="AL39" s="22"/>
    </row>
    <row r="40" spans="1:39">
      <c r="A40" s="6">
        <v>38</v>
      </c>
      <c r="B40" s="7">
        <f t="shared" si="0"/>
        <v>-235.05520278766753</v>
      </c>
      <c r="C40" s="7">
        <f t="shared" si="1"/>
        <v>8.2570038418499623E-103</v>
      </c>
      <c r="D40" s="7">
        <f t="shared" si="2"/>
        <v>-6.4693233708215585</v>
      </c>
      <c r="E40" s="7">
        <f t="shared" si="3"/>
        <v>1.4515050988231752</v>
      </c>
      <c r="F40" s="7">
        <f t="shared" si="4"/>
        <v>1.4515050988231752</v>
      </c>
      <c r="G40" s="7">
        <f t="shared" si="5"/>
        <v>3.8084972928586498</v>
      </c>
      <c r="H40" s="7">
        <f t="shared" si="6"/>
        <v>0.99901644726562855</v>
      </c>
      <c r="I40" s="7">
        <f t="shared" si="7"/>
        <v>6.4578483089509344</v>
      </c>
      <c r="J40" s="7">
        <f t="shared" si="8"/>
        <v>3.5405392274313061</v>
      </c>
      <c r="K40" s="7">
        <f t="shared" si="9"/>
        <v>8.4736393430294843</v>
      </c>
      <c r="L40" s="7">
        <f t="shared" si="10"/>
        <v>3.8171980415523712</v>
      </c>
      <c r="M40" s="7">
        <f t="shared" si="11"/>
        <v>0.99903340629995652</v>
      </c>
      <c r="N40" s="7">
        <f t="shared" si="12"/>
        <v>-6.3077809053779745</v>
      </c>
      <c r="O40" s="7">
        <f t="shared" si="13"/>
        <v>2.4490283657393861</v>
      </c>
      <c r="P40" s="7">
        <f t="shared" si="14"/>
        <v>-8.3123934446053163</v>
      </c>
      <c r="Q40" s="7">
        <f t="shared" si="15"/>
        <v>0.88557029930366538</v>
      </c>
      <c r="R40" s="7">
        <f t="shared" si="16"/>
        <v>0.70919891658471024</v>
      </c>
      <c r="S40" s="7">
        <f t="shared" si="17"/>
        <v>6.3235190790012981</v>
      </c>
      <c r="T40" s="7">
        <f t="shared" si="18"/>
        <v>-7.2395518830761034</v>
      </c>
      <c r="U40" s="7">
        <f t="shared" si="19"/>
        <v>-0.81740587390313624</v>
      </c>
      <c r="V40" s="7">
        <f t="shared" si="20"/>
        <v>4.2631117526994444E-3</v>
      </c>
      <c r="W40" s="7">
        <f t="shared" si="21"/>
        <v>0.20152080891776336</v>
      </c>
      <c r="X40" s="7">
        <f t="shared" si="22"/>
        <v>0.79534512334420637</v>
      </c>
      <c r="Y40" s="17">
        <v>8.2348707294253292E-3</v>
      </c>
      <c r="Z40" s="17">
        <v>0.22078107592961702</v>
      </c>
      <c r="AA40" s="17">
        <v>0.7750441208199299</v>
      </c>
      <c r="AB40" s="18">
        <f t="shared" si="23"/>
        <v>7.9886345822778029E-4</v>
      </c>
      <c r="AC40" s="19">
        <f t="shared" si="28"/>
        <v>-4.0222133089073964E-4</v>
      </c>
      <c r="AD40" s="19">
        <f t="shared" si="28"/>
        <v>-1.8218213318831111E-2</v>
      </c>
      <c r="AE40" s="19">
        <f t="shared" si="28"/>
        <v>1.8058622458033025E-2</v>
      </c>
      <c r="AF40" s="18">
        <f t="shared" si="30"/>
        <v>2.0764738378858448E-9</v>
      </c>
      <c r="AG40" s="18">
        <f t="shared" si="31"/>
        <v>1.6805643612295216E-5</v>
      </c>
      <c r="AH40" s="18">
        <f t="shared" si="32"/>
        <v>1.2194679749317147E-5</v>
      </c>
      <c r="AI40" s="18">
        <f t="shared" si="29"/>
        <v>1.2747403870602955E-6</v>
      </c>
      <c r="AK40" s="22"/>
      <c r="AL40" s="22"/>
    </row>
    <row r="41" spans="1:39">
      <c r="A41" s="6">
        <v>39</v>
      </c>
      <c r="B41" s="7">
        <f t="shared" si="0"/>
        <v>-241.00274854637306</v>
      </c>
      <c r="C41" s="7">
        <f t="shared" si="1"/>
        <v>2.1569306548475237E-105</v>
      </c>
      <c r="D41" s="7">
        <f t="shared" si="2"/>
        <v>-6.4693233708215585</v>
      </c>
      <c r="E41" s="7">
        <f t="shared" si="3"/>
        <v>1.4515050988231752</v>
      </c>
      <c r="F41" s="7">
        <f t="shared" si="4"/>
        <v>1.4515050988231752</v>
      </c>
      <c r="G41" s="7">
        <f t="shared" si="5"/>
        <v>3.9789034218757604</v>
      </c>
      <c r="H41" s="7">
        <f t="shared" si="6"/>
        <v>0.99930040539170506</v>
      </c>
      <c r="I41" s="7">
        <f t="shared" si="7"/>
        <v>6.4602778241034127</v>
      </c>
      <c r="J41" s="7">
        <f t="shared" si="8"/>
        <v>3.5415340514565377</v>
      </c>
      <c r="K41" s="7">
        <f t="shared" si="9"/>
        <v>8.4752475878373854</v>
      </c>
      <c r="L41" s="7">
        <f t="shared" si="10"/>
        <v>3.9879872081896548</v>
      </c>
      <c r="M41" s="7">
        <f t="shared" si="11"/>
        <v>0.9993129962427636</v>
      </c>
      <c r="N41" s="7">
        <f t="shared" si="12"/>
        <v>-6.3103143365824792</v>
      </c>
      <c r="O41" s="7">
        <f t="shared" si="13"/>
        <v>2.4481819851470075</v>
      </c>
      <c r="P41" s="7">
        <f t="shared" si="14"/>
        <v>-8.3139631760309314</v>
      </c>
      <c r="Q41" s="7">
        <f t="shared" si="15"/>
        <v>0.96416510355037843</v>
      </c>
      <c r="R41" s="7">
        <f t="shared" si="16"/>
        <v>0.74612896769735015</v>
      </c>
      <c r="S41" s="7">
        <f t="shared" si="17"/>
        <v>6.3232923763732254</v>
      </c>
      <c r="T41" s="7">
        <f t="shared" si="18"/>
        <v>-7.2560359662310132</v>
      </c>
      <c r="U41" s="7">
        <f t="shared" si="19"/>
        <v>-0.80129731235202428</v>
      </c>
      <c r="V41" s="7">
        <f t="shared" si="20"/>
        <v>3.9324930726003515E-3</v>
      </c>
      <c r="W41" s="7">
        <f t="shared" si="21"/>
        <v>0.18518516919570693</v>
      </c>
      <c r="X41" s="7">
        <f t="shared" si="22"/>
        <v>0.81149219827760433</v>
      </c>
      <c r="Y41" s="17">
        <v>3.9663387236011597E-3</v>
      </c>
      <c r="Z41" s="17">
        <v>0.204823212440885</v>
      </c>
      <c r="AA41" s="17">
        <v>0.78395269848070492</v>
      </c>
      <c r="AB41" s="18">
        <f t="shared" si="23"/>
        <v>1.1440779370909978E-3</v>
      </c>
      <c r="AC41" s="19">
        <f t="shared" si="28"/>
        <v>-3.306186800990929E-4</v>
      </c>
      <c r="AD41" s="19">
        <f t="shared" si="28"/>
        <v>-1.6335639722056428E-2</v>
      </c>
      <c r="AE41" s="19">
        <f t="shared" si="28"/>
        <v>1.6147074933397954E-2</v>
      </c>
      <c r="AF41" s="18">
        <f t="shared" si="30"/>
        <v>2.3970658930341419E-9</v>
      </c>
      <c r="AG41" s="18">
        <f t="shared" si="31"/>
        <v>1.1085393476558432E-5</v>
      </c>
      <c r="AH41" s="18">
        <f t="shared" si="32"/>
        <v>7.6249441696758299E-6</v>
      </c>
      <c r="AI41" s="18">
        <f t="shared" si="29"/>
        <v>3.71929885459744E-7</v>
      </c>
      <c r="AK41" s="22"/>
      <c r="AL41" s="22"/>
    </row>
    <row r="42" spans="1:39">
      <c r="A42" s="6">
        <v>40</v>
      </c>
      <c r="B42" s="7">
        <f t="shared" si="0"/>
        <v>-246.95029430507859</v>
      </c>
      <c r="C42" s="7">
        <f t="shared" si="1"/>
        <v>5.6344285880562456E-108</v>
      </c>
      <c r="D42" s="7">
        <f t="shared" si="2"/>
        <v>-6.4693233708215585</v>
      </c>
      <c r="E42" s="7">
        <f t="shared" si="3"/>
        <v>1.4515050988231752</v>
      </c>
      <c r="F42" s="7">
        <f t="shared" si="4"/>
        <v>1.4515050988231752</v>
      </c>
      <c r="G42" s="7">
        <f t="shared" si="5"/>
        <v>4.1493095508928715</v>
      </c>
      <c r="H42" s="7">
        <f t="shared" si="6"/>
        <v>0.99950240335081042</v>
      </c>
      <c r="I42" s="7">
        <f t="shared" si="7"/>
        <v>6.4620060968920701</v>
      </c>
      <c r="J42" s="7">
        <f t="shared" si="8"/>
        <v>3.5422417347531638</v>
      </c>
      <c r="K42" s="7">
        <f t="shared" si="9"/>
        <v>8.4763916373964765</v>
      </c>
      <c r="L42" s="7">
        <f t="shared" si="10"/>
        <v>4.1587763748269371</v>
      </c>
      <c r="M42" s="7">
        <f t="shared" si="11"/>
        <v>0.99951173376239544</v>
      </c>
      <c r="N42" s="7">
        <f t="shared" si="12"/>
        <v>-6.3121151446826786</v>
      </c>
      <c r="O42" s="7">
        <f t="shared" si="13"/>
        <v>2.4475803627213035</v>
      </c>
      <c r="P42" s="7">
        <f t="shared" si="14"/>
        <v>-8.3150789691345111</v>
      </c>
      <c r="Q42" s="7">
        <f t="shared" si="15"/>
        <v>1.0427599077970919</v>
      </c>
      <c r="R42" s="7">
        <f t="shared" si="16"/>
        <v>0.77897558943402812</v>
      </c>
      <c r="S42" s="7">
        <f t="shared" si="17"/>
        <v>6.3230907407066965</v>
      </c>
      <c r="T42" s="7">
        <f t="shared" si="18"/>
        <v>-7.2706973714485104</v>
      </c>
      <c r="U42" s="7">
        <f t="shared" si="19"/>
        <v>-0.7869699065659469</v>
      </c>
      <c r="V42" s="7">
        <f t="shared" si="20"/>
        <v>3.6583220945294315E-3</v>
      </c>
      <c r="W42" s="7">
        <f t="shared" si="21"/>
        <v>0.17062982484913203</v>
      </c>
      <c r="X42" s="7">
        <f t="shared" si="22"/>
        <v>0.82584786051919312</v>
      </c>
      <c r="Y42" s="17">
        <v>7.9785242352294391E-3</v>
      </c>
      <c r="Z42" s="17">
        <v>0.19286137258476199</v>
      </c>
      <c r="AA42" s="17">
        <v>0.80233719563429595</v>
      </c>
      <c r="AB42" s="18">
        <f t="shared" si="23"/>
        <v>1.0656572245880394E-3</v>
      </c>
      <c r="AC42" s="19">
        <f t="shared" si="28"/>
        <v>-2.7417097807092006E-4</v>
      </c>
      <c r="AD42" s="19">
        <f t="shared" si="28"/>
        <v>-1.4555344346574906E-2</v>
      </c>
      <c r="AE42" s="19">
        <f t="shared" si="28"/>
        <v>1.4355662241588796E-2</v>
      </c>
      <c r="AF42" s="18">
        <f t="shared" si="30"/>
        <v>2.6203301102817084E-9</v>
      </c>
      <c r="AG42" s="18">
        <f t="shared" si="31"/>
        <v>6.4875353294048198E-6</v>
      </c>
      <c r="AH42" s="18">
        <f t="shared" si="32"/>
        <v>4.0885722307531287E-6</v>
      </c>
      <c r="AI42" s="18">
        <f t="shared" si="29"/>
        <v>1.8498029952170578E-8</v>
      </c>
      <c r="AM42">
        <v>6.6692555474633736E-2</v>
      </c>
    </row>
    <row r="43" spans="1:39">
      <c r="A43" s="6">
        <v>41</v>
      </c>
      <c r="B43" s="7">
        <f t="shared" si="0"/>
        <v>-252.89784006378412</v>
      </c>
      <c r="C43" s="7">
        <f t="shared" si="1"/>
        <v>1.4718500774495097E-110</v>
      </c>
      <c r="D43" s="7">
        <f t="shared" si="2"/>
        <v>-6.4693233708215585</v>
      </c>
      <c r="E43" s="7">
        <f t="shared" si="3"/>
        <v>1.4515050988231752</v>
      </c>
      <c r="F43" s="7">
        <f t="shared" si="4"/>
        <v>1.4515050988231752</v>
      </c>
      <c r="G43" s="7">
        <f t="shared" si="5"/>
        <v>4.3197156799099812</v>
      </c>
      <c r="H43" s="7">
        <f t="shared" si="6"/>
        <v>0.99964608760638274</v>
      </c>
      <c r="I43" s="7">
        <f t="shared" si="7"/>
        <v>6.4632354439120281</v>
      </c>
      <c r="J43" s="7">
        <f t="shared" si="8"/>
        <v>3.5427451207680876</v>
      </c>
      <c r="K43" s="7">
        <f t="shared" si="9"/>
        <v>8.4772054174463527</v>
      </c>
      <c r="L43" s="7">
        <f t="shared" si="10"/>
        <v>4.3295655414642198</v>
      </c>
      <c r="M43" s="7">
        <f t="shared" si="11"/>
        <v>0.99965299016044129</v>
      </c>
      <c r="N43" s="7">
        <f t="shared" si="12"/>
        <v>-6.3133951026205501</v>
      </c>
      <c r="O43" s="7">
        <f t="shared" si="13"/>
        <v>2.4471527483634516</v>
      </c>
      <c r="P43" s="7">
        <f t="shared" si="14"/>
        <v>-8.3158720398896868</v>
      </c>
      <c r="Q43" s="7">
        <f t="shared" si="15"/>
        <v>1.1213547120438054</v>
      </c>
      <c r="R43" s="7">
        <f t="shared" si="16"/>
        <v>0.8080396141389854</v>
      </c>
      <c r="S43" s="7">
        <f t="shared" si="17"/>
        <v>6.3229123252811963</v>
      </c>
      <c r="T43" s="7">
        <f t="shared" si="18"/>
        <v>-7.2836703781359793</v>
      </c>
      <c r="U43" s="7">
        <f t="shared" si="19"/>
        <v>-0.77429243613800591</v>
      </c>
      <c r="V43" s="7">
        <f t="shared" si="20"/>
        <v>3.429295751115724E-3</v>
      </c>
      <c r="W43" s="7">
        <f t="shared" si="21"/>
        <v>0.1577325898187345</v>
      </c>
      <c r="X43" s="7">
        <f t="shared" si="22"/>
        <v>0.83854604024183454</v>
      </c>
      <c r="Y43" s="17">
        <v>3.1396670372780401E-3</v>
      </c>
      <c r="Z43" s="17">
        <v>0.17630438116484701</v>
      </c>
      <c r="AA43" s="17">
        <v>0.81844367482675706</v>
      </c>
      <c r="AB43" s="18">
        <f t="shared" si="23"/>
        <v>7.491004138767219E-4</v>
      </c>
      <c r="AC43" s="19">
        <f t="shared" si="28"/>
        <v>-2.2902634341370742E-4</v>
      </c>
      <c r="AD43" s="19">
        <f t="shared" si="28"/>
        <v>-1.2897235030397525E-2</v>
      </c>
      <c r="AE43" s="19">
        <f t="shared" si="28"/>
        <v>1.2698179722641423E-2</v>
      </c>
      <c r="AF43" s="18">
        <f t="shared" si="30"/>
        <v>2.7996584935141283E-9</v>
      </c>
      <c r="AG43" s="18">
        <f t="shared" si="31"/>
        <v>3.1605157767302391E-6</v>
      </c>
      <c r="AH43" s="18">
        <f t="shared" si="32"/>
        <v>1.681665602767547E-6</v>
      </c>
      <c r="AI43" s="18">
        <f t="shared" si="29"/>
        <v>8.5307331479999152E-8</v>
      </c>
      <c r="AM43">
        <v>0.43871611607885924</v>
      </c>
    </row>
    <row r="44" spans="1:39">
      <c r="A44" s="6">
        <v>42</v>
      </c>
      <c r="B44" s="7">
        <f t="shared" si="0"/>
        <v>-258.84538582248962</v>
      </c>
      <c r="C44" s="7">
        <f t="shared" si="1"/>
        <v>3.844831142381255E-113</v>
      </c>
      <c r="D44" s="7">
        <f t="shared" si="2"/>
        <v>-6.4693233708215585</v>
      </c>
      <c r="E44" s="7">
        <f t="shared" si="3"/>
        <v>1.4515050988231752</v>
      </c>
      <c r="F44" s="7">
        <f t="shared" si="4"/>
        <v>1.4515050988231752</v>
      </c>
      <c r="G44" s="7">
        <f t="shared" si="5"/>
        <v>4.4901218089270927</v>
      </c>
      <c r="H44" s="7">
        <f t="shared" si="6"/>
        <v>0.99974828732551091</v>
      </c>
      <c r="I44" s="7">
        <f t="shared" si="7"/>
        <v>6.4641098537048798</v>
      </c>
      <c r="J44" s="7">
        <f t="shared" si="8"/>
        <v>3.5431031691091066</v>
      </c>
      <c r="K44" s="7">
        <f t="shared" si="9"/>
        <v>8.4777842428172914</v>
      </c>
      <c r="L44" s="7">
        <f t="shared" si="10"/>
        <v>4.5003547081015043</v>
      </c>
      <c r="M44" s="7">
        <f t="shared" si="11"/>
        <v>0.99975338584058404</v>
      </c>
      <c r="N44" s="7">
        <f t="shared" si="12"/>
        <v>-6.314304811840838</v>
      </c>
      <c r="O44" s="7">
        <f t="shared" si="13"/>
        <v>2.4468488284356518</v>
      </c>
      <c r="P44" s="7">
        <f t="shared" si="14"/>
        <v>-8.3164357019890218</v>
      </c>
      <c r="Q44" s="7">
        <f t="shared" si="15"/>
        <v>1.1999495162905185</v>
      </c>
      <c r="R44" s="7">
        <f t="shared" si="16"/>
        <v>0.83363920782320378</v>
      </c>
      <c r="S44" s="7">
        <f t="shared" si="17"/>
        <v>6.3227551769699701</v>
      </c>
      <c r="T44" s="7">
        <f t="shared" si="18"/>
        <v>-7.2950970027495083</v>
      </c>
      <c r="U44" s="7">
        <f t="shared" si="19"/>
        <v>-0.76312611986923284</v>
      </c>
      <c r="V44" s="7">
        <f t="shared" si="20"/>
        <v>3.236848012453386E-3</v>
      </c>
      <c r="W44" s="7">
        <f t="shared" si="21"/>
        <v>0.1463600936184255</v>
      </c>
      <c r="X44" s="7">
        <f t="shared" si="22"/>
        <v>0.84972751978221128</v>
      </c>
      <c r="Y44" s="17">
        <v>2.6118371468564702E-3</v>
      </c>
      <c r="Z44" s="17">
        <v>0.16677826328596299</v>
      </c>
      <c r="AA44" s="17">
        <v>0.83017491401183396</v>
      </c>
      <c r="AB44" s="18">
        <f t="shared" si="23"/>
        <v>7.9959668356625435E-4</v>
      </c>
      <c r="AC44" s="19">
        <f t="shared" si="28"/>
        <v>-1.92447738662338E-4</v>
      </c>
      <c r="AD44" s="19">
        <f t="shared" si="28"/>
        <v>-1.1372496200309001E-2</v>
      </c>
      <c r="AE44" s="19">
        <f t="shared" si="28"/>
        <v>1.1181479540376738E-2</v>
      </c>
      <c r="AF44" s="18">
        <f t="shared" si="30"/>
        <v>2.9682293487804611E-9</v>
      </c>
      <c r="AG44" s="18">
        <f t="shared" si="31"/>
        <v>1.0817552530524775E-6</v>
      </c>
      <c r="AH44" s="18">
        <f t="shared" si="32"/>
        <v>3.6255906873539612E-7</v>
      </c>
      <c r="AI44" s="18">
        <f t="shared" si="29"/>
        <v>4.5635238240412942E-7</v>
      </c>
    </row>
    <row r="45" spans="1:39">
      <c r="A45" s="6">
        <v>43</v>
      </c>
      <c r="B45" s="7">
        <f t="shared" si="0"/>
        <v>-264.79293158119515</v>
      </c>
      <c r="C45" s="7">
        <f t="shared" si="1"/>
        <v>1.00436360604339E-115</v>
      </c>
      <c r="D45" s="7">
        <f t="shared" si="2"/>
        <v>-6.4693233708215585</v>
      </c>
      <c r="E45" s="7">
        <f t="shared" si="3"/>
        <v>1.4515050988231752</v>
      </c>
      <c r="F45" s="7">
        <f t="shared" si="4"/>
        <v>1.4515050988231752</v>
      </c>
      <c r="G45" s="7">
        <f t="shared" si="5"/>
        <v>4.6605279379442042</v>
      </c>
      <c r="H45" s="7">
        <f t="shared" si="6"/>
        <v>0.99982097734764497</v>
      </c>
      <c r="I45" s="7">
        <f t="shared" si="7"/>
        <v>6.4647317817076058</v>
      </c>
      <c r="J45" s="7">
        <f t="shared" si="8"/>
        <v>3.5433578326449342</v>
      </c>
      <c r="K45" s="7">
        <f t="shared" si="9"/>
        <v>8.4781959350350782</v>
      </c>
      <c r="L45" s="7">
        <f t="shared" si="10"/>
        <v>4.671143874738787</v>
      </c>
      <c r="M45" s="7">
        <f t="shared" si="11"/>
        <v>0.9998247379374321</v>
      </c>
      <c r="N45" s="7">
        <f t="shared" si="12"/>
        <v>-6.3149513502207473</v>
      </c>
      <c r="O45" s="7">
        <f t="shared" si="13"/>
        <v>2.4466328298579083</v>
      </c>
      <c r="P45" s="7">
        <f t="shared" si="14"/>
        <v>-8.3168363016228319</v>
      </c>
      <c r="Q45" s="7">
        <f t="shared" si="15"/>
        <v>1.278544320537232</v>
      </c>
      <c r="R45" s="7">
        <f t="shared" si="16"/>
        <v>0.8560965896902939</v>
      </c>
      <c r="S45" s="7">
        <f t="shared" si="17"/>
        <v>6.3226173177649185</v>
      </c>
      <c r="T45" s="7">
        <f t="shared" si="18"/>
        <v>-7.3051210709266572</v>
      </c>
      <c r="U45" s="7">
        <f t="shared" si="19"/>
        <v>-0.75333040859389611</v>
      </c>
      <c r="V45" s="7">
        <f t="shared" si="20"/>
        <v>3.0743784302185162E-3</v>
      </c>
      <c r="W45" s="7">
        <f t="shared" si="21"/>
        <v>0.1363746903993599</v>
      </c>
      <c r="X45" s="7">
        <f t="shared" si="22"/>
        <v>0.85953432364152471</v>
      </c>
      <c r="Y45" s="17">
        <v>2.39128185473625E-3</v>
      </c>
      <c r="Z45" s="17">
        <v>0.157909899247861</v>
      </c>
      <c r="AA45" s="17">
        <v>0.83969352077445703</v>
      </c>
      <c r="AB45" s="18">
        <f t="shared" si="23"/>
        <v>8.5788929948983714E-4</v>
      </c>
      <c r="AC45" s="19">
        <f t="shared" si="28"/>
        <v>-1.6246958223486985E-4</v>
      </c>
      <c r="AD45" s="19">
        <f t="shared" si="28"/>
        <v>-9.9854032190656028E-3</v>
      </c>
      <c r="AE45" s="19">
        <f t="shared" si="28"/>
        <v>9.8068038593134288E-3</v>
      </c>
      <c r="AF45" s="18">
        <f t="shared" si="30"/>
        <v>3.1431933184039108E-9</v>
      </c>
      <c r="AG45" s="18">
        <f t="shared" si="31"/>
        <v>1.1996622807432895E-7</v>
      </c>
      <c r="AH45" s="18">
        <f t="shared" si="32"/>
        <v>2.5777674246732387E-9</v>
      </c>
      <c r="AI45" s="18">
        <f t="shared" si="29"/>
        <v>1.0334908678098075E-6</v>
      </c>
    </row>
    <row r="46" spans="1:39">
      <c r="A46" s="6">
        <v>44</v>
      </c>
      <c r="B46" s="7">
        <f t="shared" si="0"/>
        <v>-270.74047733990068</v>
      </c>
      <c r="C46" s="7">
        <f t="shared" si="1"/>
        <v>2.6236425366647593E-118</v>
      </c>
      <c r="D46" s="7">
        <f t="shared" si="2"/>
        <v>-6.4693233708215585</v>
      </c>
      <c r="E46" s="7">
        <f t="shared" si="3"/>
        <v>1.4515050988231752</v>
      </c>
      <c r="F46" s="7">
        <f t="shared" si="4"/>
        <v>1.4515050988231752</v>
      </c>
      <c r="G46" s="7">
        <f t="shared" si="5"/>
        <v>4.8309340669613139</v>
      </c>
      <c r="H46" s="7">
        <f t="shared" si="6"/>
        <v>0.99987267715579997</v>
      </c>
      <c r="I46" s="7">
        <f t="shared" si="7"/>
        <v>6.4651741196995776</v>
      </c>
      <c r="J46" s="7">
        <f t="shared" si="8"/>
        <v>3.5435389586861681</v>
      </c>
      <c r="K46" s="7">
        <f t="shared" si="9"/>
        <v>8.4784887456307239</v>
      </c>
      <c r="L46" s="7">
        <f t="shared" si="10"/>
        <v>4.8419330413760697</v>
      </c>
      <c r="M46" s="7">
        <f t="shared" si="11"/>
        <v>0.99987544724296229</v>
      </c>
      <c r="N46" s="7">
        <f t="shared" si="12"/>
        <v>-6.3154108393414905</v>
      </c>
      <c r="O46" s="7">
        <f t="shared" si="13"/>
        <v>2.4464793215749463</v>
      </c>
      <c r="P46" s="7">
        <f t="shared" si="14"/>
        <v>-8.3171210042471913</v>
      </c>
      <c r="Q46" s="7">
        <f t="shared" si="15"/>
        <v>1.3571391247839455</v>
      </c>
      <c r="R46" s="7">
        <f t="shared" si="16"/>
        <v>0.87572786381447743</v>
      </c>
      <c r="S46" s="7">
        <f t="shared" si="17"/>
        <v>6.3224968071969041</v>
      </c>
      <c r="T46" s="7">
        <f t="shared" si="18"/>
        <v>-7.3138836787582262</v>
      </c>
      <c r="U46" s="7">
        <f t="shared" si="19"/>
        <v>-0.74476742051159894</v>
      </c>
      <c r="V46" s="7">
        <f t="shared" si="20"/>
        <v>2.9367167334326538E-3</v>
      </c>
      <c r="W46" s="7">
        <f t="shared" si="21"/>
        <v>0.1276397003260632</v>
      </c>
      <c r="X46" s="7">
        <f t="shared" si="22"/>
        <v>0.86810541969510824</v>
      </c>
      <c r="Y46" s="17">
        <v>1.2757458204968699E-3</v>
      </c>
      <c r="Z46" s="17">
        <v>0.14923463373831</v>
      </c>
      <c r="AA46" s="17">
        <v>0.84673055231667504</v>
      </c>
      <c r="AB46" s="18">
        <f t="shared" si="23"/>
        <v>9.2598492889859967E-4</v>
      </c>
      <c r="AC46" s="19">
        <f t="shared" si="28"/>
        <v>-1.3766169678586238E-4</v>
      </c>
      <c r="AD46" s="19">
        <f t="shared" si="28"/>
        <v>-8.7349900732967001E-3</v>
      </c>
      <c r="AE46" s="19">
        <f t="shared" si="28"/>
        <v>8.5710960535835268E-3</v>
      </c>
      <c r="AF46" s="18">
        <f t="shared" si="30"/>
        <v>3.3311525965848413E-9</v>
      </c>
      <c r="AG46" s="18">
        <f t="shared" si="31"/>
        <v>8.7507186895523126E-8</v>
      </c>
      <c r="AH46" s="18">
        <f t="shared" si="32"/>
        <v>4.2914027669934379E-7</v>
      </c>
      <c r="AI46" s="18">
        <f t="shared" si="29"/>
        <v>1.7375543415126758E-6</v>
      </c>
    </row>
    <row r="47" spans="1:39">
      <c r="A47" s="6">
        <v>45</v>
      </c>
      <c r="B47" s="7">
        <f t="shared" si="0"/>
        <v>-276.68802309860621</v>
      </c>
      <c r="C47" s="7">
        <f t="shared" si="1"/>
        <v>6.8535937769725548E-121</v>
      </c>
      <c r="D47" s="7">
        <f t="shared" si="2"/>
        <v>-6.4693233708215585</v>
      </c>
      <c r="E47" s="7">
        <f t="shared" si="3"/>
        <v>1.4515050988231752</v>
      </c>
      <c r="F47" s="7">
        <f t="shared" si="4"/>
        <v>1.4515050988231752</v>
      </c>
      <c r="G47" s="7">
        <f t="shared" si="5"/>
        <v>5.0013401959784254</v>
      </c>
      <c r="H47" s="7">
        <f t="shared" si="6"/>
        <v>0.99990944729388553</v>
      </c>
      <c r="I47" s="7">
        <f t="shared" si="7"/>
        <v>6.4654887210419378</v>
      </c>
      <c r="J47" s="7">
        <f t="shared" si="8"/>
        <v>3.5436677798517535</v>
      </c>
      <c r="K47" s="7">
        <f t="shared" si="9"/>
        <v>8.4786969995182915</v>
      </c>
      <c r="L47" s="7">
        <f t="shared" si="10"/>
        <v>5.0127222080133524</v>
      </c>
      <c r="M47" s="7">
        <f t="shared" si="11"/>
        <v>0.99991148526244922</v>
      </c>
      <c r="N47" s="7">
        <f t="shared" si="12"/>
        <v>-6.3157373884376415</v>
      </c>
      <c r="O47" s="7">
        <f t="shared" si="13"/>
        <v>2.4463702265196114</v>
      </c>
      <c r="P47" s="7">
        <f t="shared" si="14"/>
        <v>-8.3173233363165693</v>
      </c>
      <c r="Q47" s="7">
        <f t="shared" si="15"/>
        <v>1.4357339290306586</v>
      </c>
      <c r="R47" s="7">
        <f t="shared" si="16"/>
        <v>0.89283566702283723</v>
      </c>
      <c r="S47" s="7">
        <f t="shared" si="17"/>
        <v>6.3223917874682263</v>
      </c>
      <c r="T47" s="7">
        <f t="shared" si="18"/>
        <v>-7.3215199110998572</v>
      </c>
      <c r="U47" s="7">
        <f t="shared" si="19"/>
        <v>-0.73730514811599279</v>
      </c>
      <c r="V47" s="7">
        <f t="shared" si="20"/>
        <v>2.8197492509640654E-3</v>
      </c>
      <c r="W47" s="7">
        <f t="shared" si="21"/>
        <v>0.12002319409468321</v>
      </c>
      <c r="X47" s="7">
        <f t="shared" si="22"/>
        <v>0.87557361390890398</v>
      </c>
      <c r="Y47" s="17">
        <v>3.5362804167817599E-3</v>
      </c>
      <c r="Z47" s="17">
        <v>0.135577127775768</v>
      </c>
      <c r="AA47" s="17">
        <v>0.86534225693530897</v>
      </c>
      <c r="AB47" s="18">
        <f t="shared" si="23"/>
        <v>3.4711893538830316E-4</v>
      </c>
      <c r="AC47" s="19">
        <f t="shared" si="28"/>
        <v>-1.1696748246858846E-4</v>
      </c>
      <c r="AD47" s="19">
        <f t="shared" si="28"/>
        <v>-7.6165062313799936E-3</v>
      </c>
      <c r="AE47" s="19">
        <f t="shared" si="28"/>
        <v>7.4681942137957424E-3</v>
      </c>
      <c r="AF47" s="18">
        <f t="shared" si="30"/>
        <v>3.5324437311009945E-9</v>
      </c>
      <c r="AG47" s="18">
        <f t="shared" si="31"/>
        <v>7.7921548805490759E-7</v>
      </c>
      <c r="AH47" s="18">
        <f t="shared" si="32"/>
        <v>1.4579251122243495E-6</v>
      </c>
      <c r="AI47" s="18">
        <f t="shared" si="29"/>
        <v>2.5072909281142709E-6</v>
      </c>
    </row>
    <row r="48" spans="1:39">
      <c r="A48" s="6">
        <v>46</v>
      </c>
      <c r="B48" s="7">
        <f t="shared" si="0"/>
        <v>-282.63556885731174</v>
      </c>
      <c r="C48" s="7">
        <f t="shared" si="1"/>
        <v>1.7903257400098647E-123</v>
      </c>
      <c r="D48" s="7">
        <f t="shared" si="2"/>
        <v>-6.4693233708215585</v>
      </c>
      <c r="E48" s="7">
        <f t="shared" si="3"/>
        <v>1.4515050988231752</v>
      </c>
      <c r="F48" s="7">
        <f t="shared" si="4"/>
        <v>1.4515050988231752</v>
      </c>
      <c r="G48" s="7">
        <f t="shared" si="5"/>
        <v>5.1717463249955351</v>
      </c>
      <c r="H48" s="7">
        <f t="shared" si="6"/>
        <v>0.99993559876001226</v>
      </c>
      <c r="I48" s="7">
        <f t="shared" si="7"/>
        <v>6.465712470170347</v>
      </c>
      <c r="J48" s="7">
        <f t="shared" si="8"/>
        <v>3.5437593993702978</v>
      </c>
      <c r="K48" s="7">
        <f t="shared" si="9"/>
        <v>8.4788451127637146</v>
      </c>
      <c r="L48" s="7">
        <f t="shared" si="10"/>
        <v>5.1835113746506369</v>
      </c>
      <c r="M48" s="7">
        <f t="shared" si="11"/>
        <v>0.99993709639112116</v>
      </c>
      <c r="N48" s="7">
        <f t="shared" si="12"/>
        <v>-6.3159694569874212</v>
      </c>
      <c r="O48" s="7">
        <f t="shared" si="13"/>
        <v>2.4462926959688369</v>
      </c>
      <c r="P48" s="7">
        <f t="shared" si="14"/>
        <v>-8.3174671275885963</v>
      </c>
      <c r="Q48" s="7">
        <f t="shared" si="15"/>
        <v>1.5143287332773721</v>
      </c>
      <c r="R48" s="7">
        <f t="shared" si="16"/>
        <v>0.9077042259437641</v>
      </c>
      <c r="S48" s="7">
        <f t="shared" si="17"/>
        <v>6.3223005137959332</v>
      </c>
      <c r="T48" s="7">
        <f t="shared" si="18"/>
        <v>-7.3281566352381118</v>
      </c>
      <c r="U48" s="7">
        <f t="shared" si="19"/>
        <v>-0.73081961426651199</v>
      </c>
      <c r="V48" s="7">
        <f t="shared" si="20"/>
        <v>2.7201561573004795E-3</v>
      </c>
      <c r="W48" s="7">
        <f t="shared" si="21"/>
        <v>0.11340055892419798</v>
      </c>
      <c r="X48" s="7">
        <f t="shared" si="22"/>
        <v>0.88206346973178085</v>
      </c>
      <c r="Y48" s="17">
        <v>-3.1346344649783998E-3</v>
      </c>
      <c r="Z48" s="17">
        <v>0.125187367886479</v>
      </c>
      <c r="AA48" s="17">
        <v>0.87833605384871605</v>
      </c>
      <c r="AB48" s="18">
        <f t="shared" si="23"/>
        <v>1.8710106790935651E-4</v>
      </c>
      <c r="AC48" s="19">
        <f t="shared" si="28"/>
        <v>-9.9593093663585819E-5</v>
      </c>
      <c r="AD48" s="19">
        <f t="shared" si="28"/>
        <v>-6.6226351704852249E-3</v>
      </c>
      <c r="AE48" s="19">
        <f t="shared" si="28"/>
        <v>6.4898558228768666E-3</v>
      </c>
      <c r="AF48" s="18">
        <f t="shared" si="30"/>
        <v>3.7440398433764503E-9</v>
      </c>
      <c r="AG48" s="18">
        <f t="shared" si="31"/>
        <v>1.9980358593615572E-6</v>
      </c>
      <c r="AH48" s="18">
        <f t="shared" si="32"/>
        <v>2.914122004265743E-6</v>
      </c>
      <c r="AI48" s="18">
        <f t="shared" si="29"/>
        <v>3.2971847923255049E-6</v>
      </c>
    </row>
    <row r="49" spans="1:35">
      <c r="A49" s="6">
        <v>47</v>
      </c>
      <c r="B49" s="7">
        <f t="shared" si="0"/>
        <v>-288.58311461601727</v>
      </c>
      <c r="C49" s="7">
        <f t="shared" si="1"/>
        <v>4.6767671963740662E-126</v>
      </c>
      <c r="D49" s="7">
        <f t="shared" si="2"/>
        <v>-6.4693233708215585</v>
      </c>
      <c r="E49" s="7">
        <f t="shared" si="3"/>
        <v>1.4515050988231752</v>
      </c>
      <c r="F49" s="7">
        <f t="shared" si="4"/>
        <v>1.4515050988231752</v>
      </c>
      <c r="G49" s="7">
        <f t="shared" si="5"/>
        <v>5.3421524540126466</v>
      </c>
      <c r="H49" s="7">
        <f t="shared" si="6"/>
        <v>0.99995419790056839</v>
      </c>
      <c r="I49" s="7">
        <f t="shared" si="7"/>
        <v>6.4658716024143459</v>
      </c>
      <c r="J49" s="7">
        <f t="shared" si="8"/>
        <v>3.543824559935095</v>
      </c>
      <c r="K49" s="7">
        <f t="shared" si="9"/>
        <v>8.4789504521376724</v>
      </c>
      <c r="L49" s="7">
        <f t="shared" si="10"/>
        <v>5.3543005412879197</v>
      </c>
      <c r="M49" s="7">
        <f t="shared" si="11"/>
        <v>0.99995529728203569</v>
      </c>
      <c r="N49" s="7">
        <f t="shared" si="12"/>
        <v>-6.3161343796042004</v>
      </c>
      <c r="O49" s="7">
        <f t="shared" si="13"/>
        <v>2.4462375978466393</v>
      </c>
      <c r="P49" s="7">
        <f t="shared" si="14"/>
        <v>-8.3175693147780052</v>
      </c>
      <c r="Q49" s="7">
        <f t="shared" si="15"/>
        <v>1.5929235375240851</v>
      </c>
      <c r="R49" s="7">
        <f t="shared" si="16"/>
        <v>0.92059638021556867</v>
      </c>
      <c r="S49" s="7">
        <f t="shared" si="17"/>
        <v>6.3222213726854584</v>
      </c>
      <c r="T49" s="7">
        <f t="shared" si="18"/>
        <v>-7.3339111721710335</v>
      </c>
      <c r="U49" s="7">
        <f t="shared" si="19"/>
        <v>-0.72519617063843866</v>
      </c>
      <c r="V49" s="7">
        <f t="shared" si="20"/>
        <v>2.6352246740453111E-3</v>
      </c>
      <c r="W49" s="7">
        <f t="shared" si="21"/>
        <v>0.10765608443387542</v>
      </c>
      <c r="X49" s="7">
        <f t="shared" si="22"/>
        <v>0.88769006554440311</v>
      </c>
      <c r="Y49" s="17">
        <v>9.0828857896239103E-3</v>
      </c>
      <c r="Z49" s="17">
        <v>0.11564560923284699</v>
      </c>
      <c r="AA49" s="17">
        <v>0.87802773465304806</v>
      </c>
      <c r="AB49" s="18">
        <f t="shared" si="23"/>
        <v>1.9876547862875983E-4</v>
      </c>
      <c r="AC49" s="19">
        <f t="shared" si="28"/>
        <v>-8.4931483255168416E-5</v>
      </c>
      <c r="AD49" s="19">
        <f t="shared" si="28"/>
        <v>-5.7444744903225597E-3</v>
      </c>
      <c r="AE49" s="19">
        <f t="shared" si="28"/>
        <v>5.6265958126222593E-3</v>
      </c>
      <c r="AF49" s="18">
        <f t="shared" si="30"/>
        <v>3.9614117932572948E-9</v>
      </c>
      <c r="AG49" s="18">
        <f t="shared" si="31"/>
        <v>3.5696889756551302E-6</v>
      </c>
      <c r="AH49" s="18">
        <f t="shared" si="32"/>
        <v>4.6445075751631464E-6</v>
      </c>
      <c r="AI49" s="18">
        <f t="shared" si="29"/>
        <v>4.0748482942807046E-6</v>
      </c>
    </row>
    <row r="50" spans="1:35">
      <c r="A50" s="6">
        <v>48</v>
      </c>
      <c r="B50" s="7">
        <f t="shared" si="0"/>
        <v>-294.5306603747228</v>
      </c>
      <c r="C50" s="7">
        <f t="shared" si="1"/>
        <v>1.2216855804664931E-128</v>
      </c>
      <c r="D50" s="7">
        <f t="shared" si="2"/>
        <v>-6.4693233708215585</v>
      </c>
      <c r="E50" s="7">
        <f t="shared" si="3"/>
        <v>1.4515050988231752</v>
      </c>
      <c r="F50" s="7">
        <f t="shared" si="4"/>
        <v>1.4515050988231752</v>
      </c>
      <c r="G50" s="7">
        <f t="shared" si="5"/>
        <v>5.5125585830297581</v>
      </c>
      <c r="H50" s="7">
        <f t="shared" si="6"/>
        <v>0.9999674256787856</v>
      </c>
      <c r="I50" s="7">
        <f t="shared" si="7"/>
        <v>6.4659847778605162</v>
      </c>
      <c r="J50" s="7">
        <f t="shared" si="8"/>
        <v>3.5438709023721038</v>
      </c>
      <c r="K50" s="7">
        <f t="shared" si="9"/>
        <v>8.4790253698937921</v>
      </c>
      <c r="L50" s="7">
        <f t="shared" si="10"/>
        <v>5.5250897079252024</v>
      </c>
      <c r="M50" s="7">
        <f t="shared" si="11"/>
        <v>0.99996823190645356</v>
      </c>
      <c r="N50" s="7">
        <f t="shared" si="12"/>
        <v>-6.3162515833232966</v>
      </c>
      <c r="O50" s="7">
        <f t="shared" si="13"/>
        <v>2.4461984418778404</v>
      </c>
      <c r="P50" s="7">
        <f t="shared" si="14"/>
        <v>-8.3176419350097035</v>
      </c>
      <c r="Q50" s="7">
        <f t="shared" si="15"/>
        <v>1.6715183417707986</v>
      </c>
      <c r="R50" s="7">
        <f t="shared" si="16"/>
        <v>0.9317521431105078</v>
      </c>
      <c r="S50" s="7">
        <f t="shared" si="17"/>
        <v>6.3221528907665263</v>
      </c>
      <c r="T50" s="7">
        <f t="shared" si="18"/>
        <v>-7.3388906541288499</v>
      </c>
      <c r="U50" s="7">
        <f t="shared" si="19"/>
        <v>-0.72033012556596832</v>
      </c>
      <c r="V50" s="7">
        <f t="shared" si="20"/>
        <v>2.5627144821873671E-3</v>
      </c>
      <c r="W50" s="7">
        <f t="shared" si="21"/>
        <v>0.10268378894426888</v>
      </c>
      <c r="X50" s="7">
        <f t="shared" si="22"/>
        <v>0.89255840814129483</v>
      </c>
      <c r="Y50" s="17">
        <v>1.0538230552720001E-2</v>
      </c>
      <c r="Z50" s="17">
        <v>0.111612530534534</v>
      </c>
      <c r="AA50" s="17">
        <v>0.88908099354612202</v>
      </c>
      <c r="AB50" s="18">
        <f t="shared" si="23"/>
        <v>1.5542369524377528E-4</v>
      </c>
      <c r="AC50" s="19">
        <f t="shared" si="28"/>
        <v>-7.2510191857944051E-5</v>
      </c>
      <c r="AD50" s="19">
        <f t="shared" si="28"/>
        <v>-4.9722954896065374E-3</v>
      </c>
      <c r="AE50" s="19">
        <f t="shared" si="28"/>
        <v>4.8683425968917282E-3</v>
      </c>
      <c r="AF50" s="18">
        <f t="shared" si="30"/>
        <v>4.1796830785445015E-9</v>
      </c>
      <c r="AG50" s="18">
        <f t="shared" si="31"/>
        <v>5.3492244783526609E-6</v>
      </c>
      <c r="AH50" s="18">
        <f t="shared" si="32"/>
        <v>6.5226739066853719E-6</v>
      </c>
      <c r="AI50" s="18">
        <f t="shared" si="29"/>
        <v>4.8184132253929999E-6</v>
      </c>
    </row>
    <row r="51" spans="1:35">
      <c r="A51" s="6">
        <v>49</v>
      </c>
      <c r="B51" s="7">
        <f t="shared" si="0"/>
        <v>-300.47820613342833</v>
      </c>
      <c r="C51" s="7">
        <f t="shared" si="1"/>
        <v>3.1913405026380419E-131</v>
      </c>
      <c r="D51" s="7">
        <f t="shared" si="2"/>
        <v>-6.4693233708215585</v>
      </c>
      <c r="E51" s="7">
        <f t="shared" si="3"/>
        <v>1.4515050988231752</v>
      </c>
      <c r="F51" s="7">
        <f t="shared" si="4"/>
        <v>1.4515050988231752</v>
      </c>
      <c r="G51" s="7">
        <f t="shared" si="5"/>
        <v>5.6829647120468678</v>
      </c>
      <c r="H51" s="7">
        <f t="shared" si="6"/>
        <v>0.99997683328081211</v>
      </c>
      <c r="I51" s="7">
        <f t="shared" si="7"/>
        <v>6.4660652682905226</v>
      </c>
      <c r="J51" s="7">
        <f t="shared" si="8"/>
        <v>3.5439038611348801</v>
      </c>
      <c r="K51" s="7">
        <f t="shared" si="9"/>
        <v>8.4790786514368257</v>
      </c>
      <c r="L51" s="7">
        <f t="shared" si="10"/>
        <v>5.6958788745624851</v>
      </c>
      <c r="M51" s="7">
        <f t="shared" si="11"/>
        <v>0.99997742397051115</v>
      </c>
      <c r="N51" s="7">
        <f t="shared" si="12"/>
        <v>-6.3163348748096908</v>
      </c>
      <c r="O51" s="7">
        <f t="shared" si="13"/>
        <v>2.4461706154669756</v>
      </c>
      <c r="P51" s="7">
        <f t="shared" si="14"/>
        <v>-8.3176935429884189</v>
      </c>
      <c r="Q51" s="7">
        <f t="shared" si="15"/>
        <v>1.7501131460175121</v>
      </c>
      <c r="R51" s="7">
        <f t="shared" si="16"/>
        <v>0.94138841451112376</v>
      </c>
      <c r="S51" s="7">
        <f t="shared" si="17"/>
        <v>6.3220937365551038</v>
      </c>
      <c r="T51" s="7">
        <f t="shared" si="18"/>
        <v>-7.3431918964582072</v>
      </c>
      <c r="U51" s="7">
        <f t="shared" si="19"/>
        <v>-0.71612686923939062</v>
      </c>
      <c r="V51" s="7">
        <f t="shared" si="20"/>
        <v>2.5007592143770907E-3</v>
      </c>
      <c r="W51" s="7">
        <f t="shared" si="21"/>
        <v>9.8387678966823877E-2</v>
      </c>
      <c r="X51" s="7">
        <f t="shared" si="22"/>
        <v>0.89676333803219077</v>
      </c>
      <c r="Y51" s="17">
        <v>2.5859344138377399E-3</v>
      </c>
      <c r="Z51" s="17">
        <v>0.10342211054485</v>
      </c>
      <c r="AA51" s="17">
        <v>0.89472708248588406</v>
      </c>
      <c r="AB51" s="18">
        <f t="shared" si="23"/>
        <v>2.9499092778294555E-5</v>
      </c>
      <c r="AC51" s="19">
        <f t="shared" si="28"/>
        <v>-6.1955267810276382E-5</v>
      </c>
      <c r="AD51" s="19">
        <f t="shared" si="28"/>
        <v>-4.2961099774450062E-3</v>
      </c>
      <c r="AE51" s="19">
        <f t="shared" si="28"/>
        <v>4.2049298908959365E-3</v>
      </c>
      <c r="AF51" s="18">
        <f t="shared" si="30"/>
        <v>4.394313326385045E-9</v>
      </c>
      <c r="AG51" s="18">
        <f t="shared" si="31"/>
        <v>7.2221429520882793E-6</v>
      </c>
      <c r="AH51" s="18">
        <f t="shared" si="32"/>
        <v>8.4496575816697379E-6</v>
      </c>
      <c r="AI51" s="18">
        <f t="shared" si="29"/>
        <v>5.5141549519928406E-6</v>
      </c>
    </row>
    <row r="52" spans="1:35">
      <c r="A52" s="6">
        <v>50</v>
      </c>
      <c r="B52" s="7">
        <f t="shared" si="0"/>
        <v>-306.42575189213386</v>
      </c>
      <c r="C52" s="7">
        <f t="shared" si="1"/>
        <v>8.336559231458788E-134</v>
      </c>
      <c r="D52" s="7">
        <f t="shared" si="2"/>
        <v>-6.4693233708215585</v>
      </c>
      <c r="E52" s="7">
        <f t="shared" si="3"/>
        <v>1.4515050988231752</v>
      </c>
      <c r="F52" s="7">
        <f t="shared" si="4"/>
        <v>1.4515050988231752</v>
      </c>
      <c r="G52" s="7">
        <f t="shared" si="5"/>
        <v>5.8533708410639793</v>
      </c>
      <c r="H52" s="7">
        <f t="shared" si="6"/>
        <v>0.99998352394988388</v>
      </c>
      <c r="I52" s="7">
        <f t="shared" si="7"/>
        <v>6.4661225129347066</v>
      </c>
      <c r="J52" s="7">
        <f t="shared" si="8"/>
        <v>3.5439273013456938</v>
      </c>
      <c r="K52" s="7">
        <f t="shared" si="9"/>
        <v>8.4791165451711752</v>
      </c>
      <c r="L52" s="7">
        <f t="shared" si="10"/>
        <v>5.8666680411997678</v>
      </c>
      <c r="M52" s="7">
        <f t="shared" si="11"/>
        <v>0.99998395634195258</v>
      </c>
      <c r="N52" s="7">
        <f t="shared" si="12"/>
        <v>-6.3163940661864721</v>
      </c>
      <c r="O52" s="7">
        <f t="shared" si="13"/>
        <v>2.4461508405338908</v>
      </c>
      <c r="P52" s="7">
        <f t="shared" si="14"/>
        <v>-8.3177302183732067</v>
      </c>
      <c r="Q52" s="7">
        <f t="shared" si="15"/>
        <v>1.8287079502642252</v>
      </c>
      <c r="R52" s="7">
        <f t="shared" si="16"/>
        <v>0.94969951867386149</v>
      </c>
      <c r="S52" s="7">
        <f t="shared" si="17"/>
        <v>6.3220427171522298</v>
      </c>
      <c r="T52" s="7">
        <f t="shared" si="18"/>
        <v>-7.3469016376581271</v>
      </c>
      <c r="U52" s="7">
        <f t="shared" si="19"/>
        <v>-0.71250163913735753</v>
      </c>
      <c r="V52" s="7">
        <f t="shared" si="20"/>
        <v>2.4477930789057467E-3</v>
      </c>
      <c r="W52" s="7">
        <f t="shared" si="21"/>
        <v>9.4681603044632467E-2</v>
      </c>
      <c r="X52" s="7">
        <f t="shared" si="22"/>
        <v>0.90038978648378554</v>
      </c>
      <c r="Y52" s="17">
        <v>2.0336631835871899E-3</v>
      </c>
      <c r="Z52" s="17">
        <v>9.4972241588527101E-2</v>
      </c>
      <c r="AA52" s="17">
        <v>0.90450311421663898</v>
      </c>
      <c r="AB52" s="18">
        <f t="shared" si="23"/>
        <v>1.717543937125501E-5</v>
      </c>
      <c r="AC52" s="19">
        <f t="shared" si="28"/>
        <v>-5.2966135471343989E-5</v>
      </c>
      <c r="AD52" s="19">
        <f t="shared" si="28"/>
        <v>-3.7060759221914097E-3</v>
      </c>
      <c r="AE52" s="19">
        <f t="shared" si="28"/>
        <v>3.6264484515947659E-3</v>
      </c>
      <c r="AF52" s="18">
        <f t="shared" si="30"/>
        <v>4.6014644740455905E-9</v>
      </c>
      <c r="AG52" s="18">
        <f t="shared" si="31"/>
        <v>9.1022698143395197E-6</v>
      </c>
      <c r="AH52" s="18">
        <f t="shared" si="32"/>
        <v>1.0351820552784539E-5</v>
      </c>
      <c r="AI52" s="18">
        <f t="shared" si="29"/>
        <v>6.1544549358049818E-6</v>
      </c>
    </row>
    <row r="53" spans="1:35">
      <c r="A53" s="6">
        <v>51</v>
      </c>
      <c r="B53" s="7">
        <f t="shared" si="0"/>
        <v>-312.37329765083939</v>
      </c>
      <c r="C53" s="7">
        <f t="shared" si="1"/>
        <v>2.1777124616496347E-136</v>
      </c>
      <c r="D53" s="7">
        <f t="shared" si="2"/>
        <v>-6.4693233708215585</v>
      </c>
      <c r="E53" s="7">
        <f t="shared" si="3"/>
        <v>1.4515050988231752</v>
      </c>
      <c r="F53" s="7">
        <f t="shared" si="4"/>
        <v>1.4515050988231752</v>
      </c>
      <c r="G53" s="7">
        <f t="shared" si="5"/>
        <v>6.023776970081089</v>
      </c>
      <c r="H53" s="7">
        <f t="shared" si="6"/>
        <v>0.99998828233022763</v>
      </c>
      <c r="I53" s="7">
        <f t="shared" si="7"/>
        <v>6.4661632251245837</v>
      </c>
      <c r="J53" s="7">
        <f t="shared" si="8"/>
        <v>3.5439439719412937</v>
      </c>
      <c r="K53" s="7">
        <f t="shared" si="9"/>
        <v>8.4791434950619475</v>
      </c>
      <c r="L53" s="7">
        <f t="shared" si="10"/>
        <v>6.0374572078370523</v>
      </c>
      <c r="M53" s="7">
        <f t="shared" si="11"/>
        <v>0.99998859858327116</v>
      </c>
      <c r="N53" s="7">
        <f t="shared" si="12"/>
        <v>-6.3164361306430727</v>
      </c>
      <c r="O53" s="7">
        <f t="shared" si="13"/>
        <v>2.4461367874427182</v>
      </c>
      <c r="P53" s="7">
        <f t="shared" si="14"/>
        <v>-8.3177562818002748</v>
      </c>
      <c r="Q53" s="7">
        <f t="shared" si="15"/>
        <v>1.9073027545109382</v>
      </c>
      <c r="R53" s="7">
        <f t="shared" si="16"/>
        <v>0.95685829990545224</v>
      </c>
      <c r="S53" s="7">
        <f t="shared" si="17"/>
        <v>6.32199877151798</v>
      </c>
      <c r="T53" s="7">
        <f t="shared" si="18"/>
        <v>-7.3500970284456839</v>
      </c>
      <c r="U53" s="7">
        <f t="shared" si="19"/>
        <v>-0.70937904210253899</v>
      </c>
      <c r="V53" s="7">
        <f t="shared" si="20"/>
        <v>2.402495177932451E-3</v>
      </c>
      <c r="W53" s="7">
        <f t="shared" si="21"/>
        <v>9.1488829761503077E-2</v>
      </c>
      <c r="X53" s="7">
        <f t="shared" si="22"/>
        <v>0.9035132699823083</v>
      </c>
      <c r="Y53" s="17">
        <v>2.2949557971681501E-3</v>
      </c>
      <c r="Z53" s="17">
        <v>8.7440881600336293E-2</v>
      </c>
      <c r="AA53" s="17">
        <v>0.90922037148508505</v>
      </c>
      <c r="AB53" s="18">
        <f t="shared" si="23"/>
        <v>4.8968456596905429E-5</v>
      </c>
      <c r="AC53" s="19">
        <f t="shared" si="28"/>
        <v>-4.5297900973295668E-5</v>
      </c>
      <c r="AD53" s="19">
        <f t="shared" si="28"/>
        <v>-3.1927732831293909E-3</v>
      </c>
      <c r="AE53" s="19">
        <f t="shared" si="28"/>
        <v>3.1234834985227611E-3</v>
      </c>
      <c r="AF53" s="18">
        <f t="shared" si="30"/>
        <v>4.7981538107278323E-9</v>
      </c>
      <c r="AG53" s="18">
        <f t="shared" si="31"/>
        <v>1.0927981482017466E-5</v>
      </c>
      <c r="AH53" s="18">
        <f t="shared" si="32"/>
        <v>1.2177351108829604E-5</v>
      </c>
      <c r="AI53" s="18">
        <f t="shared" si="29"/>
        <v>6.7361275202379388E-6</v>
      </c>
    </row>
    <row r="54" spans="1:35">
      <c r="A54" s="6">
        <v>52</v>
      </c>
      <c r="B54" s="7">
        <f t="shared" si="0"/>
        <v>-318.32084340954492</v>
      </c>
      <c r="C54" s="7">
        <f t="shared" si="1"/>
        <v>5.6887157326587478E-139</v>
      </c>
      <c r="D54" s="7">
        <f t="shared" si="2"/>
        <v>-6.4693233708215585</v>
      </c>
      <c r="E54" s="7">
        <f t="shared" si="3"/>
        <v>1.4515050988231752</v>
      </c>
      <c r="F54" s="7">
        <f t="shared" si="4"/>
        <v>1.4515050988231752</v>
      </c>
      <c r="G54" s="7">
        <f t="shared" si="5"/>
        <v>6.1941830990982005</v>
      </c>
      <c r="H54" s="7">
        <f t="shared" si="6"/>
        <v>0.99999166646801974</v>
      </c>
      <c r="I54" s="7">
        <f t="shared" si="7"/>
        <v>6.4661921794431585</v>
      </c>
      <c r="J54" s="7">
        <f t="shared" si="8"/>
        <v>3.5439558279907293</v>
      </c>
      <c r="K54" s="7">
        <f t="shared" si="9"/>
        <v>8.4791626616979183</v>
      </c>
      <c r="L54" s="7">
        <f t="shared" si="10"/>
        <v>6.208246374474335</v>
      </c>
      <c r="M54" s="7">
        <f t="shared" si="11"/>
        <v>0.99999189759494189</v>
      </c>
      <c r="N54" s="7">
        <f t="shared" si="12"/>
        <v>-6.3164660237752326</v>
      </c>
      <c r="O54" s="7">
        <f t="shared" si="13"/>
        <v>2.4461268006047652</v>
      </c>
      <c r="P54" s="7">
        <f t="shared" si="14"/>
        <v>-8.3177748037908756</v>
      </c>
      <c r="Q54" s="7">
        <f t="shared" si="15"/>
        <v>1.9858975587576517</v>
      </c>
      <c r="R54" s="7">
        <f t="shared" si="16"/>
        <v>0.96301756664921967</v>
      </c>
      <c r="S54" s="7">
        <f t="shared" si="17"/>
        <v>6.3219609616066545</v>
      </c>
      <c r="T54" s="7">
        <f t="shared" si="18"/>
        <v>-7.35284627633781</v>
      </c>
      <c r="U54" s="7">
        <f t="shared" si="19"/>
        <v>-0.70669242444395319</v>
      </c>
      <c r="V54" s="7">
        <f t="shared" si="20"/>
        <v>2.3637464530219532E-3</v>
      </c>
      <c r="W54" s="7">
        <f t="shared" si="21"/>
        <v>8.8741451080859513E-2</v>
      </c>
      <c r="X54" s="7">
        <f t="shared" si="22"/>
        <v>0.90620053228626407</v>
      </c>
      <c r="Y54" s="17">
        <v>2.3936274802814103E-3</v>
      </c>
      <c r="Z54" s="17">
        <v>8.3053244128702103E-2</v>
      </c>
      <c r="AA54" s="17">
        <v>0.906309636239233</v>
      </c>
      <c r="AB54" s="18">
        <f t="shared" si="23"/>
        <v>3.2368494878915414E-5</v>
      </c>
      <c r="AC54" s="19">
        <f t="shared" si="28"/>
        <v>-3.8748724910497856E-5</v>
      </c>
      <c r="AD54" s="19">
        <f t="shared" si="28"/>
        <v>-2.7473786806435641E-3</v>
      </c>
      <c r="AE54" s="19">
        <f t="shared" si="28"/>
        <v>2.687262303955773E-3</v>
      </c>
      <c r="AF54" s="18">
        <f t="shared" si="30"/>
        <v>4.9822681873539369E-9</v>
      </c>
      <c r="AG54" s="18">
        <f t="shared" si="31"/>
        <v>1.2657856965129494E-5</v>
      </c>
      <c r="AH54" s="18">
        <f t="shared" si="32"/>
        <v>1.3892306821153171E-5</v>
      </c>
      <c r="AI54" s="18">
        <f t="shared" si="29"/>
        <v>7.2590918020530016E-6</v>
      </c>
    </row>
    <row r="55" spans="1:35">
      <c r="A55" s="6">
        <v>53</v>
      </c>
      <c r="B55" s="7">
        <f t="shared" si="0"/>
        <v>-324.26838916825045</v>
      </c>
      <c r="C55" s="7">
        <f t="shared" si="1"/>
        <v>1.4860312027826236E-141</v>
      </c>
      <c r="D55" s="7">
        <f t="shared" si="2"/>
        <v>-6.4693233708215585</v>
      </c>
      <c r="E55" s="7">
        <f t="shared" si="3"/>
        <v>1.4515050988231752</v>
      </c>
      <c r="F55" s="7">
        <f t="shared" si="4"/>
        <v>1.4515050988231752</v>
      </c>
      <c r="G55" s="7">
        <f t="shared" si="5"/>
        <v>6.364589228115312</v>
      </c>
      <c r="H55" s="7">
        <f t="shared" si="6"/>
        <v>0.99999407324812217</v>
      </c>
      <c r="I55" s="7">
        <f t="shared" si="7"/>
        <v>6.4662127715945719</v>
      </c>
      <c r="J55" s="7">
        <f t="shared" si="8"/>
        <v>3.54396425994759</v>
      </c>
      <c r="K55" s="7">
        <f t="shared" si="9"/>
        <v>8.4791762929035368</v>
      </c>
      <c r="L55" s="7">
        <f t="shared" si="10"/>
        <v>6.3790355411116177</v>
      </c>
      <c r="M55" s="7">
        <f t="shared" si="11"/>
        <v>0.99999424203693688</v>
      </c>
      <c r="N55" s="7">
        <f t="shared" si="12"/>
        <v>-6.3164872673237227</v>
      </c>
      <c r="O55" s="7">
        <f t="shared" si="13"/>
        <v>2.4461197034603379</v>
      </c>
      <c r="P55" s="7">
        <f t="shared" si="14"/>
        <v>-8.3177879664398553</v>
      </c>
      <c r="Q55" s="7">
        <f t="shared" si="15"/>
        <v>2.0644923630043652</v>
      </c>
      <c r="R55" s="7">
        <f t="shared" si="16"/>
        <v>0.96831172508533792</v>
      </c>
      <c r="S55" s="7">
        <f t="shared" si="17"/>
        <v>6.3219284623385859</v>
      </c>
      <c r="T55" s="7">
        <f t="shared" si="18"/>
        <v>-7.3552093748244616</v>
      </c>
      <c r="U55" s="7">
        <f t="shared" si="19"/>
        <v>-0.70438315937498719</v>
      </c>
      <c r="V55" s="7">
        <f t="shared" si="20"/>
        <v>2.3305957878765327E-3</v>
      </c>
      <c r="W55" s="7">
        <f t="shared" si="21"/>
        <v>8.6379687406640926E-2</v>
      </c>
      <c r="X55" s="7">
        <f t="shared" si="22"/>
        <v>0.9085102659118689</v>
      </c>
      <c r="Y55" s="17">
        <v>2.3043154567460099E-3</v>
      </c>
      <c r="Z55" s="17">
        <v>7.8073186837302994E-2</v>
      </c>
      <c r="AA55" s="17">
        <v>0.92630169320256595</v>
      </c>
      <c r="AB55" s="18">
        <f t="shared" si="23"/>
        <v>3.855335274043754E-4</v>
      </c>
      <c r="AC55" s="19">
        <f t="shared" si="28"/>
        <v>-3.3150665145420533E-5</v>
      </c>
      <c r="AD55" s="19">
        <f t="shared" si="28"/>
        <v>-2.3617636742185866E-3</v>
      </c>
      <c r="AE55" s="19">
        <f t="shared" si="28"/>
        <v>2.3097336256048262E-3</v>
      </c>
      <c r="AF55" s="18">
        <f t="shared" si="30"/>
        <v>5.1524939051577911E-9</v>
      </c>
      <c r="AG55" s="18">
        <f t="shared" si="31"/>
        <v>1.4266410064385859E-5</v>
      </c>
      <c r="AH55" s="18">
        <f t="shared" si="32"/>
        <v>1.5476763142955596E-5</v>
      </c>
      <c r="AI55" s="18">
        <f t="shared" si="29"/>
        <v>7.7253472700096859E-6</v>
      </c>
    </row>
    <row r="56" spans="1:35">
      <c r="A56" s="6">
        <v>54</v>
      </c>
      <c r="B56" s="7">
        <f t="shared" si="0"/>
        <v>-330.21593492695598</v>
      </c>
      <c r="C56" s="7">
        <f t="shared" si="1"/>
        <v>3.8818756981753392E-144</v>
      </c>
      <c r="D56" s="7">
        <f t="shared" si="2"/>
        <v>-6.4693233708215585</v>
      </c>
      <c r="E56" s="7">
        <f t="shared" si="3"/>
        <v>1.4515050988231752</v>
      </c>
      <c r="F56" s="7">
        <f t="shared" si="4"/>
        <v>1.4515050988231752</v>
      </c>
      <c r="G56" s="7">
        <f t="shared" si="5"/>
        <v>6.5349953571324217</v>
      </c>
      <c r="H56" s="7">
        <f t="shared" si="6"/>
        <v>0.99999578493540331</v>
      </c>
      <c r="I56" s="7">
        <f t="shared" si="7"/>
        <v>6.4662274166066496</v>
      </c>
      <c r="J56" s="7">
        <f t="shared" si="8"/>
        <v>3.5439702567037119</v>
      </c>
      <c r="K56" s="7">
        <f t="shared" si="9"/>
        <v>8.47918598733356</v>
      </c>
      <c r="L56" s="7">
        <f t="shared" si="10"/>
        <v>6.5498247077489022</v>
      </c>
      <c r="M56" s="7">
        <f t="shared" si="11"/>
        <v>0.99999590811281902</v>
      </c>
      <c r="N56" s="7">
        <f t="shared" si="12"/>
        <v>-6.3165023640349496</v>
      </c>
      <c r="O56" s="7">
        <f t="shared" si="13"/>
        <v>2.4461146598801649</v>
      </c>
      <c r="P56" s="7">
        <f t="shared" si="14"/>
        <v>-8.3177973204661235</v>
      </c>
      <c r="Q56" s="7">
        <f t="shared" si="15"/>
        <v>2.1430871672510787</v>
      </c>
      <c r="R56" s="7">
        <f t="shared" si="16"/>
        <v>0.97285848583972567</v>
      </c>
      <c r="S56" s="7">
        <f t="shared" si="17"/>
        <v>6.3219005511231616</v>
      </c>
      <c r="T56" s="7">
        <f t="shared" si="18"/>
        <v>-7.3572388651745353</v>
      </c>
      <c r="U56" s="7">
        <f t="shared" si="19"/>
        <v>-0.70239990256207774</v>
      </c>
      <c r="V56" s="7">
        <f t="shared" si="20"/>
        <v>2.3022328733031117E-3</v>
      </c>
      <c r="W56" s="7">
        <f t="shared" si="21"/>
        <v>8.4351150232516048E-2</v>
      </c>
      <c r="X56" s="7">
        <f t="shared" si="22"/>
        <v>0.91049386312853331</v>
      </c>
      <c r="Y56" s="17">
        <v>3.0385585864702198E-3</v>
      </c>
      <c r="Z56" s="17">
        <v>7.1018266657233403E-2</v>
      </c>
      <c r="AA56" s="17">
        <v>0.92736038017037692</v>
      </c>
      <c r="AB56" s="18">
        <f t="shared" si="23"/>
        <v>4.6278735711071371E-4</v>
      </c>
      <c r="AC56" s="19">
        <f t="shared" si="28"/>
        <v>-2.8362914573420994E-5</v>
      </c>
      <c r="AD56" s="19">
        <f t="shared" si="28"/>
        <v>-2.0285371741248781E-3</v>
      </c>
      <c r="AE56" s="19">
        <f t="shared" si="28"/>
        <v>1.9835972166644122E-3</v>
      </c>
      <c r="AF56" s="18">
        <f t="shared" si="30"/>
        <v>5.3082019620252657E-9</v>
      </c>
      <c r="AG56" s="18">
        <f t="shared" si="31"/>
        <v>1.5740255343164962E-5</v>
      </c>
      <c r="AH56" s="18">
        <f t="shared" si="32"/>
        <v>1.6921370490873792E-5</v>
      </c>
      <c r="AI56" s="18">
        <f t="shared" si="29"/>
        <v>8.1382040474161679E-6</v>
      </c>
    </row>
    <row r="57" spans="1:35">
      <c r="A57" s="6">
        <v>55</v>
      </c>
      <c r="B57" s="7">
        <f t="shared" si="0"/>
        <v>-336.16348068566151</v>
      </c>
      <c r="C57" s="7">
        <f t="shared" si="1"/>
        <v>1.0140405469190246E-146</v>
      </c>
      <c r="D57" s="7">
        <f t="shared" si="2"/>
        <v>-6.4693233708215585</v>
      </c>
      <c r="E57" s="7">
        <f t="shared" si="3"/>
        <v>1.4515050988231752</v>
      </c>
      <c r="F57" s="7">
        <f t="shared" si="4"/>
        <v>1.4515050988231752</v>
      </c>
      <c r="G57" s="7">
        <f t="shared" si="5"/>
        <v>6.7054014861495332</v>
      </c>
      <c r="H57" s="7">
        <f t="shared" si="6"/>
        <v>0.99999700227619992</v>
      </c>
      <c r="I57" s="7">
        <f t="shared" si="7"/>
        <v>6.4662378320434328</v>
      </c>
      <c r="J57" s="7">
        <f t="shared" si="8"/>
        <v>3.5439745215574354</v>
      </c>
      <c r="K57" s="7">
        <f t="shared" si="9"/>
        <v>8.4791928819487712</v>
      </c>
      <c r="L57" s="7">
        <f t="shared" si="10"/>
        <v>6.720613874386185</v>
      </c>
      <c r="M57" s="7">
        <f t="shared" si="11"/>
        <v>0.99999709210766352</v>
      </c>
      <c r="N57" s="7">
        <f t="shared" si="12"/>
        <v>-6.3165130924948336</v>
      </c>
      <c r="O57" s="7">
        <f t="shared" si="13"/>
        <v>2.4461110756659123</v>
      </c>
      <c r="P57" s="7">
        <f t="shared" si="14"/>
        <v>-8.3178039678937701</v>
      </c>
      <c r="Q57" s="7">
        <f t="shared" si="15"/>
        <v>2.2216819714977922</v>
      </c>
      <c r="R57" s="7">
        <f t="shared" si="16"/>
        <v>0.976760561728786</v>
      </c>
      <c r="S57" s="7">
        <f t="shared" si="17"/>
        <v>6.321876597436872</v>
      </c>
      <c r="T57" s="7">
        <f t="shared" si="18"/>
        <v>-7.3589805942405428</v>
      </c>
      <c r="U57" s="7">
        <f t="shared" si="19"/>
        <v>-0.70069785158347719</v>
      </c>
      <c r="V57" s="7">
        <f t="shared" si="20"/>
        <v>2.2779661639127369E-3</v>
      </c>
      <c r="W57" s="7">
        <f t="shared" si="21"/>
        <v>8.2610101805980385E-2</v>
      </c>
      <c r="X57" s="7">
        <f t="shared" si="22"/>
        <v>0.91219616129469849</v>
      </c>
      <c r="Y57" s="17">
        <v>7.9515125832206497E-3</v>
      </c>
      <c r="Z57" s="17">
        <v>6.6968684958737701E-2</v>
      </c>
      <c r="AA57" s="17">
        <v>0.93389441761834491</v>
      </c>
      <c r="AB57" s="18">
        <f t="shared" si="23"/>
        <v>7.4765737744791048E-4</v>
      </c>
      <c r="AC57" s="19">
        <f t="shared" si="28"/>
        <v>-2.4266709390374785E-5</v>
      </c>
      <c r="AD57" s="19">
        <f t="shared" si="28"/>
        <v>-1.7410484265356629E-3</v>
      </c>
      <c r="AE57" s="19">
        <f t="shared" si="28"/>
        <v>1.7022981661651837E-3</v>
      </c>
      <c r="AF57" s="18">
        <f t="shared" si="30"/>
        <v>5.449316376390891E-9</v>
      </c>
      <c r="AG57" s="18">
        <f t="shared" si="31"/>
        <v>1.7074859396587652E-5</v>
      </c>
      <c r="AH57" s="18">
        <f t="shared" si="32"/>
        <v>1.8224447608694467E-5</v>
      </c>
      <c r="AI57" s="18">
        <f t="shared" si="29"/>
        <v>8.5017189814639551E-6</v>
      </c>
    </row>
    <row r="58" spans="1:35">
      <c r="A58" s="6">
        <v>56</v>
      </c>
      <c r="B58" s="7">
        <f t="shared" si="0"/>
        <v>-342.11102644436704</v>
      </c>
      <c r="C58" s="7">
        <f t="shared" si="1"/>
        <v>2.6489210648325828E-149</v>
      </c>
      <c r="D58" s="7">
        <f t="shared" si="2"/>
        <v>-6.4693233708215585</v>
      </c>
      <c r="E58" s="7">
        <f t="shared" si="3"/>
        <v>1.4515050988231752</v>
      </c>
      <c r="F58" s="7">
        <f t="shared" si="4"/>
        <v>1.4515050988231752</v>
      </c>
      <c r="G58" s="7">
        <f t="shared" si="5"/>
        <v>6.875807615166643</v>
      </c>
      <c r="H58" s="7">
        <f t="shared" si="6"/>
        <v>0.99999786804064417</v>
      </c>
      <c r="I58" s="7">
        <f t="shared" si="7"/>
        <v>6.4662452394307994</v>
      </c>
      <c r="J58" s="7">
        <f t="shared" si="8"/>
        <v>3.5439775546922192</v>
      </c>
      <c r="K58" s="7">
        <f t="shared" si="9"/>
        <v>8.4791977853519302</v>
      </c>
      <c r="L58" s="7">
        <f t="shared" si="10"/>
        <v>6.8914030410234677</v>
      </c>
      <c r="M58" s="7">
        <f t="shared" si="11"/>
        <v>0.99999793351184452</v>
      </c>
      <c r="N58" s="7">
        <f t="shared" si="12"/>
        <v>-6.3165207166589443</v>
      </c>
      <c r="O58" s="7">
        <f t="shared" si="13"/>
        <v>2.4461085285493676</v>
      </c>
      <c r="P58" s="7">
        <f t="shared" si="14"/>
        <v>-8.3178086918783709</v>
      </c>
      <c r="Q58" s="7">
        <f t="shared" si="15"/>
        <v>2.3002767757445057</v>
      </c>
      <c r="R58" s="7">
        <f t="shared" si="16"/>
        <v>0.98010730133154944</v>
      </c>
      <c r="S58" s="7">
        <f t="shared" si="17"/>
        <v>6.3218560527952983</v>
      </c>
      <c r="T58" s="7">
        <f t="shared" si="18"/>
        <v>-7.3604744436192373</v>
      </c>
      <c r="U58" s="7">
        <f t="shared" si="19"/>
        <v>-0.69923803337953738</v>
      </c>
      <c r="V58" s="7">
        <f t="shared" si="20"/>
        <v>2.2572047455948763E-3</v>
      </c>
      <c r="W58" s="7">
        <f t="shared" si="21"/>
        <v>8.1116738445524916E-2</v>
      </c>
      <c r="X58" s="7">
        <f t="shared" si="22"/>
        <v>0.91365615891719654</v>
      </c>
      <c r="Y58" s="17">
        <v>-1.1013052498209E-4</v>
      </c>
      <c r="Z58" s="17">
        <v>6.18422691296922E-2</v>
      </c>
      <c r="AA58" s="17">
        <v>0.94275156262420401</v>
      </c>
      <c r="AB58" s="18">
        <f t="shared" si="23"/>
        <v>1.2236519605640388E-3</v>
      </c>
      <c r="AC58" s="19">
        <f t="shared" si="28"/>
        <v>-2.0761418317860603E-5</v>
      </c>
      <c r="AD58" s="19">
        <f t="shared" si="28"/>
        <v>-1.4933633604554686E-3</v>
      </c>
      <c r="AE58" s="19">
        <f t="shared" si="28"/>
        <v>1.4599976224980438E-3</v>
      </c>
      <c r="AF58" s="18">
        <f t="shared" si="30"/>
        <v>5.5761837032580184E-9</v>
      </c>
      <c r="AG58" s="18">
        <f t="shared" si="31"/>
        <v>1.8271904714012591E-5</v>
      </c>
      <c r="AH58" s="18">
        <f t="shared" si="32"/>
        <v>1.9389630913032457E-5</v>
      </c>
      <c r="AI58" s="18">
        <f t="shared" si="29"/>
        <v>8.8202934870271108E-6</v>
      </c>
    </row>
    <row r="59" spans="1:35">
      <c r="A59" s="6">
        <v>57</v>
      </c>
      <c r="B59" s="7">
        <f t="shared" si="0"/>
        <v>-348.05857220307257</v>
      </c>
      <c r="C59" s="7">
        <f t="shared" si="1"/>
        <v>6.9196274537867214E-152</v>
      </c>
      <c r="D59" s="7">
        <f t="shared" si="2"/>
        <v>-6.4693233708215585</v>
      </c>
      <c r="E59" s="7">
        <f t="shared" si="3"/>
        <v>1.4515050988231752</v>
      </c>
      <c r="F59" s="7">
        <f t="shared" si="4"/>
        <v>1.4515050988231752</v>
      </c>
      <c r="G59" s="7">
        <f t="shared" si="5"/>
        <v>7.0462137441837545</v>
      </c>
      <c r="H59" s="7">
        <f t="shared" si="6"/>
        <v>0.99999848376620737</v>
      </c>
      <c r="I59" s="7">
        <f t="shared" si="7"/>
        <v>6.4662505075124219</v>
      </c>
      <c r="J59" s="7">
        <f t="shared" si="8"/>
        <v>3.5439797118362732</v>
      </c>
      <c r="K59" s="7">
        <f t="shared" si="9"/>
        <v>8.4792012726176544</v>
      </c>
      <c r="L59" s="7">
        <f t="shared" si="10"/>
        <v>7.0621922076607504</v>
      </c>
      <c r="M59" s="7">
        <f t="shared" si="11"/>
        <v>0.99999853145430362</v>
      </c>
      <c r="N59" s="7">
        <f t="shared" si="12"/>
        <v>-6.3165261347582824</v>
      </c>
      <c r="O59" s="7">
        <f t="shared" si="13"/>
        <v>2.4461067184453</v>
      </c>
      <c r="P59" s="7">
        <f t="shared" si="14"/>
        <v>-8.317812048970044</v>
      </c>
      <c r="Q59" s="7">
        <f t="shared" si="15"/>
        <v>2.3788715799912183</v>
      </c>
      <c r="R59" s="7">
        <f t="shared" si="16"/>
        <v>0.98297622360548531</v>
      </c>
      <c r="S59" s="7">
        <f t="shared" si="17"/>
        <v>6.3218384413325559</v>
      </c>
      <c r="T59" s="7">
        <f t="shared" si="18"/>
        <v>-7.3617550146421227</v>
      </c>
      <c r="U59" s="7">
        <f t="shared" si="19"/>
        <v>-0.69798663486687096</v>
      </c>
      <c r="V59" s="7">
        <f t="shared" si="20"/>
        <v>2.23944326513692E-3</v>
      </c>
      <c r="W59" s="7">
        <f t="shared" si="21"/>
        <v>7.983651446262563E-2</v>
      </c>
      <c r="X59" s="7">
        <f t="shared" si="22"/>
        <v>0.91490768760391405</v>
      </c>
      <c r="Y59" s="17">
        <v>5.6947636442931599E-3</v>
      </c>
      <c r="Z59" s="17">
        <v>6.0470398956274998E-2</v>
      </c>
      <c r="AA59" s="17">
        <v>0.93680268831874902</v>
      </c>
      <c r="AB59" s="18">
        <f t="shared" si="23"/>
        <v>8.6637672503055044E-4</v>
      </c>
      <c r="AC59" s="19">
        <f t="shared" si="28"/>
        <v>-1.7761480457956225E-5</v>
      </c>
      <c r="AD59" s="19">
        <f t="shared" si="28"/>
        <v>-1.2802239828992867E-3</v>
      </c>
      <c r="AE59" s="19">
        <f t="shared" si="28"/>
        <v>1.2515286867175179E-3</v>
      </c>
      <c r="AF59" s="18">
        <f t="shared" si="30"/>
        <v>5.6894544236121789E-9</v>
      </c>
      <c r="AG59" s="18">
        <f t="shared" si="31"/>
        <v>1.9337224229347568E-5</v>
      </c>
      <c r="AH59" s="18">
        <f t="shared" si="32"/>
        <v>2.0424039331648828E-5</v>
      </c>
      <c r="AI59" s="18">
        <f t="shared" si="29"/>
        <v>9.0983954851163404E-6</v>
      </c>
    </row>
    <row r="60" spans="1:35">
      <c r="A60" s="6">
        <v>58</v>
      </c>
      <c r="B60" s="7">
        <f t="shared" si="0"/>
        <v>-354.0061179617781</v>
      </c>
      <c r="C60" s="7">
        <f t="shared" si="1"/>
        <v>1.8075753458597342E-154</v>
      </c>
      <c r="D60" s="7">
        <f t="shared" si="2"/>
        <v>-6.4693233708215585</v>
      </c>
      <c r="E60" s="7">
        <f t="shared" si="3"/>
        <v>1.4515050988231752</v>
      </c>
      <c r="F60" s="7">
        <f t="shared" si="4"/>
        <v>1.4515050988231752</v>
      </c>
      <c r="G60" s="7">
        <f t="shared" si="5"/>
        <v>7.216619873200866</v>
      </c>
      <c r="H60" s="7">
        <f t="shared" si="6"/>
        <v>0.99999892166578919</v>
      </c>
      <c r="I60" s="7">
        <f t="shared" si="7"/>
        <v>6.4662542541340944</v>
      </c>
      <c r="J60" s="7">
        <f t="shared" si="8"/>
        <v>3.5439812459815738</v>
      </c>
      <c r="K60" s="7">
        <f t="shared" si="9"/>
        <v>8.4792037527358968</v>
      </c>
      <c r="L60" s="7">
        <f t="shared" si="10"/>
        <v>7.2329813742980331</v>
      </c>
      <c r="M60" s="7">
        <f t="shared" si="11"/>
        <v>0.99999895638101277</v>
      </c>
      <c r="N60" s="7">
        <f t="shared" si="12"/>
        <v>-6.3165299851206171</v>
      </c>
      <c r="O60" s="7">
        <f t="shared" si="13"/>
        <v>2.4461054320981721</v>
      </c>
      <c r="P60" s="7">
        <f t="shared" si="14"/>
        <v>-8.3178144346810683</v>
      </c>
      <c r="Q60" s="7">
        <f t="shared" si="15"/>
        <v>2.4574663842379318</v>
      </c>
      <c r="R60" s="7">
        <f t="shared" si="16"/>
        <v>0.98543443386697505</v>
      </c>
      <c r="S60" s="7">
        <f t="shared" si="17"/>
        <v>6.3218233511090158</v>
      </c>
      <c r="T60" s="7">
        <f t="shared" si="18"/>
        <v>-7.3628522604119446</v>
      </c>
      <c r="U60" s="7">
        <f t="shared" si="19"/>
        <v>-0.69691438530019678</v>
      </c>
      <c r="V60" s="7">
        <f t="shared" si="20"/>
        <v>2.2242493009345665E-3</v>
      </c>
      <c r="W60" s="7">
        <f t="shared" si="21"/>
        <v>7.8739516490976769E-2</v>
      </c>
      <c r="X60" s="7">
        <f t="shared" si="22"/>
        <v>0.91598003157780628</v>
      </c>
      <c r="Y60" s="17">
        <v>-2.2807198247528698E-3</v>
      </c>
      <c r="Z60" s="17">
        <v>5.4975808919005206E-2</v>
      </c>
      <c r="AA60" s="17">
        <v>0.94398061818187207</v>
      </c>
      <c r="AB60" s="18">
        <f t="shared" si="23"/>
        <v>1.3690413945613641E-3</v>
      </c>
      <c r="AC60" s="19">
        <f t="shared" si="28"/>
        <v>-1.5193964202353527E-5</v>
      </c>
      <c r="AD60" s="19">
        <f t="shared" si="28"/>
        <v>-1.0969979716488609E-3</v>
      </c>
      <c r="AE60" s="19">
        <f t="shared" si="28"/>
        <v>1.0723439738922202E-3</v>
      </c>
      <c r="AF60" s="18">
        <f t="shared" si="30"/>
        <v>5.7899815268370188E-9</v>
      </c>
      <c r="AG60" s="18">
        <f t="shared" si="31"/>
        <v>2.0279231912805139E-5</v>
      </c>
      <c r="AH60" s="18">
        <f t="shared" si="32"/>
        <v>2.133688585341316E-5</v>
      </c>
      <c r="AI60" s="18">
        <f t="shared" si="29"/>
        <v>9.3403745173449967E-6</v>
      </c>
    </row>
    <row r="61" spans="1:35">
      <c r="A61" s="6">
        <v>59</v>
      </c>
      <c r="B61" s="7">
        <f t="shared" si="0"/>
        <v>-359.95366372048363</v>
      </c>
      <c r="C61" s="7">
        <f t="shared" si="1"/>
        <v>4.721827371171424E-157</v>
      </c>
      <c r="D61" s="7">
        <f t="shared" si="2"/>
        <v>-6.4693233708215585</v>
      </c>
      <c r="E61" s="7">
        <f t="shared" si="3"/>
        <v>1.4515050988231752</v>
      </c>
      <c r="F61" s="7">
        <f t="shared" si="4"/>
        <v>1.4515050988231752</v>
      </c>
      <c r="G61" s="7">
        <f t="shared" si="5"/>
        <v>7.3870260022179757</v>
      </c>
      <c r="H61" s="7">
        <f t="shared" si="6"/>
        <v>0.99999923309676764</v>
      </c>
      <c r="I61" s="7">
        <f t="shared" si="7"/>
        <v>6.4662569187040138</v>
      </c>
      <c r="J61" s="7">
        <f t="shared" si="8"/>
        <v>3.5439823370544858</v>
      </c>
      <c r="K61" s="7">
        <f t="shared" si="9"/>
        <v>8.4792055165778439</v>
      </c>
      <c r="L61" s="7">
        <f t="shared" si="10"/>
        <v>7.4037705409353176</v>
      </c>
      <c r="M61" s="7">
        <f t="shared" si="11"/>
        <v>0.99999925835435266</v>
      </c>
      <c r="N61" s="7">
        <f t="shared" si="12"/>
        <v>-6.3165327213731253</v>
      </c>
      <c r="O61" s="7">
        <f t="shared" si="13"/>
        <v>2.4461045179580867</v>
      </c>
      <c r="P61" s="7">
        <f t="shared" si="14"/>
        <v>-8.3178161300819706</v>
      </c>
      <c r="Q61" s="7">
        <f t="shared" si="15"/>
        <v>2.5360611884846453</v>
      </c>
      <c r="R61" s="7">
        <f t="shared" si="16"/>
        <v>0.98753991231039973</v>
      </c>
      <c r="S61" s="7">
        <f t="shared" si="17"/>
        <v>6.3218104262014654</v>
      </c>
      <c r="T61" s="7">
        <f t="shared" si="18"/>
        <v>-7.3637920609455652</v>
      </c>
      <c r="U61" s="7">
        <f t="shared" si="19"/>
        <v>-0.69599599423171443</v>
      </c>
      <c r="V61" s="7">
        <f t="shared" si="20"/>
        <v>2.2112527107953639E-3</v>
      </c>
      <c r="W61" s="7">
        <f t="shared" si="21"/>
        <v>7.7799892890181965E-2</v>
      </c>
      <c r="X61" s="7">
        <f t="shared" si="22"/>
        <v>0.91689849108733346</v>
      </c>
      <c r="Y61" s="17">
        <v>-1.0788247514761E-4</v>
      </c>
      <c r="Z61" s="17">
        <v>5.3596926243307502E-2</v>
      </c>
      <c r="AA61" s="17">
        <v>0.94100736181572697</v>
      </c>
      <c r="AB61" s="18">
        <f t="shared" si="23"/>
        <v>1.1723996303187861E-3</v>
      </c>
      <c r="AC61" s="19">
        <f t="shared" si="28"/>
        <v>-1.2996590139202624E-5</v>
      </c>
      <c r="AD61" s="19">
        <f t="shared" si="28"/>
        <v>-9.3962360079480334E-4</v>
      </c>
      <c r="AE61" s="19">
        <f t="shared" si="28"/>
        <v>9.1845950952718081E-4</v>
      </c>
      <c r="AF61" s="18">
        <f t="shared" si="30"/>
        <v>5.878737896615962E-9</v>
      </c>
      <c r="AG61" s="18">
        <f t="shared" si="31"/>
        <v>2.1107764545527012E-5</v>
      </c>
      <c r="AH61" s="18">
        <f t="shared" si="32"/>
        <v>2.2138458489105623E-5</v>
      </c>
      <c r="AI61" s="18">
        <f t="shared" si="29"/>
        <v>9.550345398234731E-6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9CDE3-C676-4EA1-AFCD-17F832DF05A9}">
  <dimension ref="A1:BB63"/>
  <sheetViews>
    <sheetView zoomScale="70" zoomScaleNormal="70" workbookViewId="0">
      <selection activeCell="AS3" sqref="AS3:AT5"/>
    </sheetView>
  </sheetViews>
  <sheetFormatPr defaultRowHeight="14.5"/>
  <cols>
    <col min="3" max="3" width="12.1796875" bestFit="1" customWidth="1"/>
    <col min="4" max="4" width="14.26953125" bestFit="1" customWidth="1"/>
    <col min="5" max="5" width="13.36328125" bestFit="1" customWidth="1"/>
    <col min="6" max="6" width="14.26953125" bestFit="1" customWidth="1"/>
    <col min="7" max="7" width="13.7265625" bestFit="1" customWidth="1"/>
    <col min="8" max="8" width="13.7265625" customWidth="1"/>
    <col min="9" max="9" width="14.26953125" bestFit="1" customWidth="1"/>
    <col min="10" max="10" width="13.7265625" bestFit="1" customWidth="1"/>
    <col min="11" max="11" width="14.26953125" bestFit="1" customWidth="1"/>
    <col min="12" max="26" width="14.26953125" customWidth="1"/>
    <col min="27" max="32" width="9" bestFit="1" customWidth="1"/>
    <col min="33" max="33" width="15.7265625" bestFit="1" customWidth="1"/>
    <col min="34" max="36" width="14.6328125" bestFit="1" customWidth="1"/>
    <col min="37" max="39" width="14" bestFit="1" customWidth="1"/>
    <col min="40" max="40" width="15.7265625" bestFit="1" customWidth="1"/>
    <col min="42" max="42" width="9.81640625" bestFit="1" customWidth="1"/>
    <col min="43" max="43" width="9" bestFit="1" customWidth="1"/>
    <col min="44" max="44" width="0" hidden="1" customWidth="1"/>
    <col min="45" max="45" width="10.453125" bestFit="1" customWidth="1"/>
    <col min="46" max="46" width="12" bestFit="1" customWidth="1"/>
  </cols>
  <sheetData>
    <row r="1" spans="1:50">
      <c r="A1" s="35" t="s">
        <v>123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</row>
    <row r="2" spans="1:50">
      <c r="A2" s="20" t="s">
        <v>166</v>
      </c>
      <c r="B2" s="59" t="s">
        <v>167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1"/>
      <c r="AD2" s="50" t="s">
        <v>165</v>
      </c>
      <c r="AE2" s="51"/>
      <c r="AF2" s="52"/>
      <c r="AG2" s="21" t="s">
        <v>169</v>
      </c>
      <c r="AH2" s="53" t="s">
        <v>60</v>
      </c>
      <c r="AI2" s="54"/>
      <c r="AJ2" s="55"/>
      <c r="AK2" s="56" t="s">
        <v>168</v>
      </c>
      <c r="AL2" s="57"/>
      <c r="AM2" s="57"/>
      <c r="AN2" s="58"/>
    </row>
    <row r="3" spans="1:50">
      <c r="A3" s="5" t="s">
        <v>0</v>
      </c>
      <c r="B3" s="5" t="s">
        <v>5</v>
      </c>
      <c r="C3" s="5" t="s">
        <v>6</v>
      </c>
      <c r="D3" s="5" t="s">
        <v>7</v>
      </c>
      <c r="E3" s="5" t="s">
        <v>8</v>
      </c>
      <c r="F3" s="5" t="s">
        <v>51</v>
      </c>
      <c r="G3" s="5" t="s">
        <v>52</v>
      </c>
      <c r="H3" s="5" t="s">
        <v>53</v>
      </c>
      <c r="I3" s="5" t="s">
        <v>54</v>
      </c>
      <c r="J3" s="5" t="s">
        <v>55</v>
      </c>
      <c r="K3" s="5" t="s">
        <v>56</v>
      </c>
      <c r="L3" s="5" t="s">
        <v>79</v>
      </c>
      <c r="M3" s="5" t="s">
        <v>80</v>
      </c>
      <c r="N3" s="5" t="s">
        <v>76</v>
      </c>
      <c r="O3" s="5" t="s">
        <v>77</v>
      </c>
      <c r="P3" s="5" t="s">
        <v>78</v>
      </c>
      <c r="Q3" s="5" t="s">
        <v>97</v>
      </c>
      <c r="R3" s="5" t="s">
        <v>98</v>
      </c>
      <c r="S3" s="5" t="s">
        <v>99</v>
      </c>
      <c r="T3" s="5" t="s">
        <v>100</v>
      </c>
      <c r="U3" s="5" t="s">
        <v>101</v>
      </c>
      <c r="V3" s="5" t="s">
        <v>102</v>
      </c>
      <c r="W3" s="5" t="s">
        <v>103</v>
      </c>
      <c r="X3" s="5" t="s">
        <v>104</v>
      </c>
      <c r="Y3" s="5" t="s">
        <v>105</v>
      </c>
      <c r="Z3" s="5" t="s">
        <v>106</v>
      </c>
      <c r="AA3" s="5" t="s">
        <v>48</v>
      </c>
      <c r="AB3" s="5" t="s">
        <v>49</v>
      </c>
      <c r="AC3" s="5" t="s">
        <v>50</v>
      </c>
      <c r="AD3" s="15" t="s">
        <v>27</v>
      </c>
      <c r="AE3" s="15" t="s">
        <v>28</v>
      </c>
      <c r="AF3" s="15" t="s">
        <v>29</v>
      </c>
      <c r="AG3" s="15" t="s">
        <v>13</v>
      </c>
      <c r="AH3" s="15" t="s">
        <v>57</v>
      </c>
      <c r="AI3" s="15" t="s">
        <v>58</v>
      </c>
      <c r="AJ3" s="15" t="s">
        <v>59</v>
      </c>
      <c r="AK3" s="15" t="s">
        <v>37</v>
      </c>
      <c r="AL3" s="15" t="s">
        <v>38</v>
      </c>
      <c r="AM3" s="15" t="s">
        <v>39</v>
      </c>
      <c r="AN3" s="15" t="s">
        <v>40</v>
      </c>
      <c r="AP3" s="15" t="s">
        <v>14</v>
      </c>
      <c r="AQ3" s="15" t="s">
        <v>15</v>
      </c>
      <c r="AS3" s="15" t="s">
        <v>13</v>
      </c>
      <c r="AT3" s="22">
        <f>AVERAGE(AG4:AG63)</f>
        <v>8.1327014933425118E-5</v>
      </c>
    </row>
    <row r="4" spans="1:50">
      <c r="A4" s="6">
        <v>0</v>
      </c>
      <c r="B4" s="16">
        <f>$AQ$4*A4+$AQ$5</f>
        <v>1.4119899470194586</v>
      </c>
      <c r="C4" s="16">
        <f>1/(1+EXP(-B4))</f>
        <v>0.80407962080375917</v>
      </c>
      <c r="D4" s="16">
        <f>$AQ$6*C4+$AQ$7</f>
        <v>-3.3532042773421233</v>
      </c>
      <c r="E4" s="16">
        <f>$AQ$8*C4+$AQ$9</f>
        <v>2.0653151776855929</v>
      </c>
      <c r="F4" s="16">
        <f>$AQ$8*C4+$AQ$9</f>
        <v>2.0653151776855929</v>
      </c>
      <c r="G4" s="16">
        <f>$AQ$12*A4+$AQ$13</f>
        <v>0.59043114047559087</v>
      </c>
      <c r="H4" s="16">
        <f>TANH(G4)</f>
        <v>0.53020561750320261</v>
      </c>
      <c r="I4" s="16">
        <f>$AQ$14*H4+$AQ$15</f>
        <v>2.3696859992637449E-2</v>
      </c>
      <c r="J4" s="16">
        <f>$AQ$16*H4+$AQ$17</f>
        <v>0.59980119895762185</v>
      </c>
      <c r="K4" s="16">
        <f>$AQ$18*H4+$AQ$19</f>
        <v>-0.60188181913339578</v>
      </c>
      <c r="L4" s="16">
        <f>$AQ$20*A4+$AQ$21</f>
        <v>-2.5247126231796022</v>
      </c>
      <c r="M4" s="16">
        <f>TANH(L4)</f>
        <v>-0.98725569288897697</v>
      </c>
      <c r="N4" s="16">
        <f>$AQ$22*M4+$AQ$23</f>
        <v>1.0593118278986027</v>
      </c>
      <c r="O4" s="16">
        <f>$AQ$24*M4+$AQ$25</f>
        <v>-0.61084504806465956</v>
      </c>
      <c r="P4" s="16">
        <f>$AQ$26*M4+$AQ$27</f>
        <v>-0.28046223452202962</v>
      </c>
      <c r="Q4" s="16">
        <f>$AQ$28*A4+$AQ$29</f>
        <v>-7.0067656459304279</v>
      </c>
      <c r="R4" s="16">
        <f t="shared" ref="R4:R35" si="0">TANH(Q4)</f>
        <v>-0.9999983592956585</v>
      </c>
      <c r="S4" s="16">
        <f>$AQ$30*R4+$AQ$31</f>
        <v>0.90973355417146351</v>
      </c>
      <c r="T4" s="16">
        <f>$AQ$32*R4+$AQ$33</f>
        <v>-1.2488626035922614</v>
      </c>
      <c r="U4" s="16">
        <f>$AQ$34*R4+$AQ$35</f>
        <v>-9.8582996512955462E-2</v>
      </c>
      <c r="V4" s="16">
        <f t="shared" ref="V4:V35" si="1">$AQ$36*A4+$AQ$37</f>
        <v>0.73024377411072294</v>
      </c>
      <c r="W4" s="16">
        <f>TANH(V4)</f>
        <v>0.62321446537904068</v>
      </c>
      <c r="X4" s="16">
        <f>$AQ$38*W4+$AQ$39</f>
        <v>2.3529117657284027</v>
      </c>
      <c r="Y4" s="16">
        <f>$AQ$40*W4+$AQ$41</f>
        <v>-0.79319181494468982</v>
      </c>
      <c r="Z4" s="16">
        <f>$AQ$42*W4+$AQ$43</f>
        <v>-1.0910642206135897</v>
      </c>
      <c r="AA4" s="16">
        <f t="shared" ref="AA4:AA35" si="2">SUM(D4,I4,N4,S4,X4)</f>
        <v>0.99244973044898277</v>
      </c>
      <c r="AB4" s="16">
        <f t="shared" ref="AB4:AB35" si="3">SUM(E4,J4,O4,T4,Y4)</f>
        <v>1.2216910041603746E-2</v>
      </c>
      <c r="AC4" s="16">
        <f t="shared" ref="AC4:AC35" si="4">SUM(F4,K4,P4,U4,Z4)</f>
        <v>-6.6760930963776222E-3</v>
      </c>
      <c r="AD4" s="17">
        <v>0.99916902781949102</v>
      </c>
      <c r="AE4" s="17">
        <v>-5.1644142064485399E-4</v>
      </c>
      <c r="AF4" s="17">
        <v>1.29646532345248E-3</v>
      </c>
      <c r="AG4" s="18">
        <f>SUM((AA4-AD4)^2, (AB4-AE4)^2, (AC4-AF4)^2)</f>
        <v>2.7084888437207147E-4</v>
      </c>
      <c r="AH4" s="19"/>
      <c r="AI4" s="19"/>
      <c r="AJ4" s="19"/>
      <c r="AK4" s="18"/>
      <c r="AL4" s="18"/>
      <c r="AM4" s="18"/>
      <c r="AN4" s="18">
        <f>(1 - SUM(AA4:AC4))^2</f>
        <v>4.0378997749202227E-6</v>
      </c>
      <c r="AP4" s="22" t="s">
        <v>16</v>
      </c>
      <c r="AQ4" s="22">
        <v>-0.26115624016075401</v>
      </c>
      <c r="AR4">
        <v>0.1586982873026419</v>
      </c>
      <c r="AS4" s="15" t="s">
        <v>60</v>
      </c>
      <c r="AT4" s="22">
        <f>AVERAGE(AK5:AN63)</f>
        <v>7.6770537349213904E-6</v>
      </c>
      <c r="AV4">
        <v>0.21424304454558962</v>
      </c>
      <c r="AW4">
        <v>-4.2515947632883444</v>
      </c>
      <c r="AX4">
        <v>-0.26447409366511332</v>
      </c>
    </row>
    <row r="5" spans="1:50">
      <c r="A5" s="6">
        <v>1</v>
      </c>
      <c r="B5" s="16">
        <f t="shared" ref="B5:B63" si="5">$AQ$4*A5+$AQ$5</f>
        <v>1.1508337068587045</v>
      </c>
      <c r="C5" s="16">
        <f t="shared" ref="C5:C63" si="6">1/(1+EXP(-B5))</f>
        <v>0.75966316396332079</v>
      </c>
      <c r="D5" s="16">
        <f t="shared" ref="D5:D63" si="7">$AQ$6*C5+$AQ$7</f>
        <v>-3.1339174810606321</v>
      </c>
      <c r="E5" s="16">
        <f t="shared" ref="E5:E63" si="8">$AQ$8*C5+$AQ$9</f>
        <v>1.9535850201410869</v>
      </c>
      <c r="F5" s="16">
        <f t="shared" ref="F5:F63" si="9">$AQ$8*C5+$AQ$9</f>
        <v>1.9535850201410869</v>
      </c>
      <c r="G5" s="16">
        <f t="shared" ref="G5:G63" si="10">$AQ$12*A5+$AQ$13</f>
        <v>0.54377458666341172</v>
      </c>
      <c r="H5" s="16">
        <f t="shared" ref="H5:H63" si="11">TANH(G5)</f>
        <v>0.49583986817312403</v>
      </c>
      <c r="I5" s="16">
        <f t="shared" ref="I5:I63" si="12">$AQ$14*H5+$AQ$15</f>
        <v>2.2198410409000786E-2</v>
      </c>
      <c r="J5" s="16">
        <f t="shared" ref="J5:J63" si="13">$AQ$16*H5+$AQ$17</f>
        <v>0.5624041198636518</v>
      </c>
      <c r="K5" s="16">
        <f t="shared" ref="K5:K63" si="14">$AQ$18*H5+$AQ$19</f>
        <v>-0.56309527594622732</v>
      </c>
      <c r="L5" s="16">
        <f t="shared" ref="L5:L63" si="15">$AQ$20*A5+$AQ$21</f>
        <v>-2.3528685432213265</v>
      </c>
      <c r="M5" s="16">
        <f t="shared" ref="M5:M63" si="16">TANH(L5)</f>
        <v>-0.9820756025244548</v>
      </c>
      <c r="N5" s="16">
        <f t="shared" ref="N5:N63" si="17">$AQ$22*M5+$AQ$23</f>
        <v>1.0553618115382091</v>
      </c>
      <c r="O5" s="16">
        <f t="shared" ref="O5:O63" si="18">$AQ$24*M5+$AQ$25</f>
        <v>-0.60685905353746294</v>
      </c>
      <c r="P5" s="16">
        <f t="shared" ref="P5:P63" si="19">$AQ$26*M5+$AQ$27</f>
        <v>-0.28047185109854406</v>
      </c>
      <c r="Q5" s="16">
        <f t="shared" ref="Q5:Q63" si="20">$AQ$28*A5+$AQ$29</f>
        <v>-9.0243426463890657</v>
      </c>
      <c r="R5" s="16">
        <f t="shared" si="0"/>
        <v>-0.99999997098747295</v>
      </c>
      <c r="S5" s="16">
        <f t="shared" ref="S5:S63" si="21">$AQ$30*R5+$AQ$31</f>
        <v>0.90973420699908036</v>
      </c>
      <c r="T5" s="16">
        <f t="shared" ref="T5:T63" si="22">$AQ$32*R5+$AQ$33</f>
        <v>-1.2488614801099227</v>
      </c>
      <c r="U5" s="16">
        <f t="shared" ref="U5:U63" si="23">$AQ$34*R5+$AQ$35</f>
        <v>-9.8583105354761183E-2</v>
      </c>
      <c r="V5" s="16">
        <f t="shared" si="1"/>
        <v>0.58160646187238152</v>
      </c>
      <c r="W5" s="16">
        <f t="shared" ref="W5:W63" si="24">TANH(V5)</f>
        <v>0.52383205911242203</v>
      </c>
      <c r="X5" s="16">
        <f t="shared" ref="X5:X63" si="25">$AQ$38*W5+$AQ$39</f>
        <v>2.1459009856140288</v>
      </c>
      <c r="Y5" s="16">
        <f t="shared" ref="Y5:Y63" si="26">$AQ$40*W5+$AQ$41</f>
        <v>-0.65993846387039079</v>
      </c>
      <c r="Z5" s="16">
        <f t="shared" ref="Z5:Z63" si="27">$AQ$42*W5+$AQ$43</f>
        <v>-1.0129026027345078</v>
      </c>
      <c r="AA5" s="16">
        <f t="shared" si="2"/>
        <v>0.99927793349968708</v>
      </c>
      <c r="AB5" s="16">
        <f t="shared" si="3"/>
        <v>3.3014248696228155E-4</v>
      </c>
      <c r="AC5" s="16">
        <f t="shared" si="4"/>
        <v>-1.4678149929534534E-3</v>
      </c>
      <c r="AD5" s="17">
        <v>0.98960193539692398</v>
      </c>
      <c r="AE5" s="17">
        <v>2.1639113228485896E-3</v>
      </c>
      <c r="AF5" s="17">
        <v>2.6945909567850398E-3</v>
      </c>
      <c r="AG5" s="18">
        <f t="shared" ref="AG5:AG63" si="28">SUM((AA5-AD5)^2, (AB5-AE5)^2, (AC5-AF5)^2)</f>
        <v>1.1431327071856124E-4</v>
      </c>
      <c r="AH5" s="19">
        <f>AA5-AA4</f>
        <v>6.8282030507043068E-3</v>
      </c>
      <c r="AI5" s="19">
        <f t="shared" ref="AI5:AJ20" si="29">AB5-AB4</f>
        <v>-1.1886767554641464E-2</v>
      </c>
      <c r="AJ5" s="19">
        <f t="shared" si="29"/>
        <v>5.2082781034241687E-3</v>
      </c>
      <c r="AK5" s="18">
        <f t="shared" ref="AK5:AK36" si="30">(AH5+$AQ$45*AA5*AB5)^2</f>
        <v>4.8903522640085455E-5</v>
      </c>
      <c r="AL5" s="18">
        <f t="shared" ref="AL5:AL36" si="31">(AI5-$AQ$45*AA5*AB5+$AQ$44*AB5)^2</f>
        <v>1.4469460062876223E-4</v>
      </c>
      <c r="AM5" s="18">
        <f t="shared" ref="AM5:AM36" si="32">(AJ5-$AQ$44*AB5)^2</f>
        <v>2.6889566964297125E-5</v>
      </c>
      <c r="AN5" s="18">
        <f>(1 - SUM(AA5:AC5))^2</f>
        <v>3.4586291715689438E-6</v>
      </c>
      <c r="AP5" s="22" t="s">
        <v>17</v>
      </c>
      <c r="AQ5" s="22">
        <v>1.4119899470194586</v>
      </c>
      <c r="AR5">
        <v>-4.3679721526767974</v>
      </c>
      <c r="AS5" s="15" t="s">
        <v>61</v>
      </c>
      <c r="AT5" s="22">
        <f>SUM(AT3:AT4)</f>
        <v>8.9004068668346512E-5</v>
      </c>
      <c r="AV5">
        <v>-3.2399106656853811</v>
      </c>
      <c r="AW5">
        <v>-3.4731311368055207</v>
      </c>
      <c r="AX5">
        <v>1.516422672194258</v>
      </c>
    </row>
    <row r="6" spans="1:50">
      <c r="A6" s="6">
        <v>2</v>
      </c>
      <c r="B6" s="16">
        <f t="shared" si="5"/>
        <v>0.88967746669795056</v>
      </c>
      <c r="C6" s="16">
        <f t="shared" si="6"/>
        <v>0.708823608530738</v>
      </c>
      <c r="D6" s="16">
        <f t="shared" si="7"/>
        <v>-2.8829194495148918</v>
      </c>
      <c r="E6" s="16">
        <f t="shared" si="8"/>
        <v>1.825697477053599</v>
      </c>
      <c r="F6" s="16">
        <f t="shared" si="9"/>
        <v>1.825697477053599</v>
      </c>
      <c r="G6" s="16">
        <f t="shared" si="10"/>
        <v>0.49711803285123246</v>
      </c>
      <c r="H6" s="16">
        <f t="shared" si="11"/>
        <v>0.45984762443426253</v>
      </c>
      <c r="I6" s="16">
        <f t="shared" si="12"/>
        <v>2.0629040798385553E-2</v>
      </c>
      <c r="J6" s="16">
        <f t="shared" si="13"/>
        <v>0.52323707674337949</v>
      </c>
      <c r="K6" s="16">
        <f t="shared" si="14"/>
        <v>-0.52247300687326448</v>
      </c>
      <c r="L6" s="16">
        <f t="shared" si="15"/>
        <v>-2.1810244632630504</v>
      </c>
      <c r="M6" s="16">
        <f t="shared" si="16"/>
        <v>-0.97481667861624222</v>
      </c>
      <c r="N6" s="16">
        <f t="shared" si="17"/>
        <v>1.0498266053586667</v>
      </c>
      <c r="O6" s="16">
        <f t="shared" si="18"/>
        <v>-0.60127343071326711</v>
      </c>
      <c r="P6" s="16">
        <f t="shared" si="19"/>
        <v>-0.28048532692469058</v>
      </c>
      <c r="Q6" s="16">
        <f t="shared" si="20"/>
        <v>-11.041919646847704</v>
      </c>
      <c r="R6" s="16">
        <f t="shared" si="0"/>
        <v>-0.99999999948697282</v>
      </c>
      <c r="S6" s="16">
        <f t="shared" si="21"/>
        <v>0.90973421854301229</v>
      </c>
      <c r="T6" s="16">
        <f t="shared" si="22"/>
        <v>-1.2488614602434169</v>
      </c>
      <c r="U6" s="16">
        <f t="shared" si="23"/>
        <v>-9.8583107279407695E-2</v>
      </c>
      <c r="V6" s="16">
        <f t="shared" si="1"/>
        <v>0.43296914963403998</v>
      </c>
      <c r="W6" s="16">
        <f t="shared" si="24"/>
        <v>0.4077996805937697</v>
      </c>
      <c r="X6" s="16">
        <f t="shared" si="25"/>
        <v>1.9042087777273236</v>
      </c>
      <c r="Y6" s="16">
        <f t="shared" si="26"/>
        <v>-0.50436059197572192</v>
      </c>
      <c r="Z6" s="16">
        <f t="shared" si="27"/>
        <v>-0.92164622474899982</v>
      </c>
      <c r="AA6" s="16">
        <f t="shared" si="2"/>
        <v>1.0014791929124964</v>
      </c>
      <c r="AB6" s="16">
        <f t="shared" si="3"/>
        <v>-5.5609291354277168E-3</v>
      </c>
      <c r="AC6" s="16">
        <f t="shared" si="4"/>
        <v>2.5098112272363693E-3</v>
      </c>
      <c r="AD6" s="17">
        <v>1.0027006748148801</v>
      </c>
      <c r="AE6" s="17">
        <v>3.31005964809079E-3</v>
      </c>
      <c r="AF6" s="17">
        <v>-4.7185297244242705E-3</v>
      </c>
      <c r="AG6" s="18">
        <f t="shared" si="28"/>
        <v>1.324353729486163E-4</v>
      </c>
      <c r="AH6" s="19">
        <f t="shared" ref="AH6:AJ63" si="33">AA6-AA5</f>
        <v>2.2012594128093532E-3</v>
      </c>
      <c r="AI6" s="19">
        <f t="shared" si="29"/>
        <v>-5.8910716223899984E-3</v>
      </c>
      <c r="AJ6" s="19">
        <f t="shared" si="29"/>
        <v>3.9776262201898227E-3</v>
      </c>
      <c r="AK6" s="18">
        <f t="shared" si="30"/>
        <v>3.3928106113195708E-7</v>
      </c>
      <c r="AL6" s="18">
        <f t="shared" si="31"/>
        <v>1.21853656217519E-5</v>
      </c>
      <c r="AM6" s="18">
        <f t="shared" si="32"/>
        <v>1.9018728270886244E-5</v>
      </c>
      <c r="AN6" s="18">
        <f t="shared" ref="AN6:AN63" si="34">(1 - SUM(AA6:AC6))^2</f>
        <v>2.4709481920904672E-6</v>
      </c>
      <c r="AP6" s="22" t="s">
        <v>18</v>
      </c>
      <c r="AQ6" s="22">
        <v>-4.9370618883279445</v>
      </c>
      <c r="AR6">
        <v>-8.8473498692494879</v>
      </c>
      <c r="AV6">
        <v>-7.9117683187530261</v>
      </c>
      <c r="AW6">
        <v>-1.5685260554433009</v>
      </c>
      <c r="AX6">
        <v>-3.5062896454996233</v>
      </c>
    </row>
    <row r="7" spans="1:50">
      <c r="A7" s="6">
        <v>3</v>
      </c>
      <c r="B7" s="16">
        <f t="shared" si="5"/>
        <v>0.62852122653719655</v>
      </c>
      <c r="C7" s="16">
        <f t="shared" si="6"/>
        <v>0.65215407923286983</v>
      </c>
      <c r="D7" s="16">
        <f t="shared" si="7"/>
        <v>-2.6031384761889029</v>
      </c>
      <c r="E7" s="16">
        <f t="shared" si="8"/>
        <v>1.6831445611564624</v>
      </c>
      <c r="F7" s="16">
        <f t="shared" si="9"/>
        <v>1.6831445611564624</v>
      </c>
      <c r="G7" s="16">
        <f t="shared" si="10"/>
        <v>0.45046147903905331</v>
      </c>
      <c r="H7" s="16">
        <f t="shared" si="11"/>
        <v>0.42227826771904231</v>
      </c>
      <c r="I7" s="16">
        <f t="shared" si="12"/>
        <v>1.8990904339124762E-2</v>
      </c>
      <c r="J7" s="16">
        <f t="shared" si="13"/>
        <v>0.48235380686050938</v>
      </c>
      <c r="K7" s="16">
        <f t="shared" si="14"/>
        <v>-0.48007074575121111</v>
      </c>
      <c r="L7" s="16">
        <f t="shared" si="15"/>
        <v>-2.0091803833047748</v>
      </c>
      <c r="M7" s="16">
        <f t="shared" si="16"/>
        <v>-0.96467047396529326</v>
      </c>
      <c r="N7" s="16">
        <f t="shared" si="17"/>
        <v>1.0420897375538818</v>
      </c>
      <c r="O7" s="16">
        <f t="shared" si="18"/>
        <v>-0.59346609273949613</v>
      </c>
      <c r="P7" s="16">
        <f t="shared" si="19"/>
        <v>-0.28050416284192187</v>
      </c>
      <c r="Q7" s="16">
        <f t="shared" si="20"/>
        <v>-13.059496647306343</v>
      </c>
      <c r="R7" s="16">
        <f t="shared" si="0"/>
        <v>-0.99999999999092826</v>
      </c>
      <c r="S7" s="16">
        <f t="shared" si="21"/>
        <v>0.90973421874714311</v>
      </c>
      <c r="T7" s="16">
        <f t="shared" si="22"/>
        <v>-1.2488614598921184</v>
      </c>
      <c r="U7" s="16">
        <f t="shared" si="23"/>
        <v>-9.8583107313441137E-2</v>
      </c>
      <c r="V7" s="16">
        <f t="shared" si="1"/>
        <v>0.28433183739569851</v>
      </c>
      <c r="W7" s="16">
        <f t="shared" si="24"/>
        <v>0.27690953587609013</v>
      </c>
      <c r="X7" s="16">
        <f t="shared" si="25"/>
        <v>1.6315682572855148</v>
      </c>
      <c r="Y7" s="16">
        <f t="shared" si="26"/>
        <v>-0.32886121475759195</v>
      </c>
      <c r="Z7" s="16">
        <f t="shared" si="27"/>
        <v>-0.81870460902564091</v>
      </c>
      <c r="AA7" s="16">
        <f t="shared" si="2"/>
        <v>0.99924464173676175</v>
      </c>
      <c r="AB7" s="16">
        <f t="shared" si="3"/>
        <v>-5.6903993722345336E-3</v>
      </c>
      <c r="AC7" s="16">
        <f t="shared" si="4"/>
        <v>5.28193622424733E-3</v>
      </c>
      <c r="AD7" s="17">
        <v>0.99110329365628103</v>
      </c>
      <c r="AE7" s="17">
        <v>1.5165637719900501E-3</v>
      </c>
      <c r="AF7" s="17">
        <v>2.4789689316632598E-3</v>
      </c>
      <c r="AG7" s="18">
        <f t="shared" si="28"/>
        <v>1.2607849197305478E-4</v>
      </c>
      <c r="AH7" s="19">
        <f t="shared" si="33"/>
        <v>-2.2345511757346781E-3</v>
      </c>
      <c r="AI7" s="19">
        <f t="shared" si="29"/>
        <v>-1.294702368068168E-4</v>
      </c>
      <c r="AJ7" s="19">
        <f t="shared" si="29"/>
        <v>2.7721249970109607E-3</v>
      </c>
      <c r="AK7" s="18">
        <f t="shared" si="30"/>
        <v>2.5773334368037817E-5</v>
      </c>
      <c r="AL7" s="18">
        <f t="shared" si="31"/>
        <v>5.3841435564392889E-6</v>
      </c>
      <c r="AM7" s="18">
        <f t="shared" si="32"/>
        <v>1.0013885025609849E-5</v>
      </c>
      <c r="AN7" s="18">
        <f t="shared" si="34"/>
        <v>1.3544802772269316E-6</v>
      </c>
      <c r="AP7" s="22" t="s">
        <v>19</v>
      </c>
      <c r="AQ7" s="22">
        <v>0.61658657370930137</v>
      </c>
      <c r="AR7">
        <v>-4.0431452449714644</v>
      </c>
      <c r="AV7">
        <v>-7.1515963244397396</v>
      </c>
      <c r="AW7">
        <v>0.43803454002528452</v>
      </c>
      <c r="AX7">
        <v>0.29752956097069017</v>
      </c>
    </row>
    <row r="8" spans="1:50">
      <c r="A8" s="6">
        <v>4</v>
      </c>
      <c r="B8" s="16">
        <f t="shared" si="5"/>
        <v>0.36736498637644255</v>
      </c>
      <c r="C8" s="16">
        <f t="shared" si="6"/>
        <v>0.59082211312995259</v>
      </c>
      <c r="D8" s="16">
        <f t="shared" si="7"/>
        <v>-2.3003387638059687</v>
      </c>
      <c r="E8" s="16">
        <f t="shared" si="8"/>
        <v>1.5288632266544642</v>
      </c>
      <c r="F8" s="16">
        <f t="shared" si="9"/>
        <v>1.5288632266544642</v>
      </c>
      <c r="G8" s="16">
        <f t="shared" si="10"/>
        <v>0.40380492522687411</v>
      </c>
      <c r="H8" s="16">
        <f t="shared" si="11"/>
        <v>0.38319988837871444</v>
      </c>
      <c r="I8" s="16">
        <f t="shared" si="12"/>
        <v>1.7286969974438644E-2</v>
      </c>
      <c r="J8" s="16">
        <f t="shared" si="13"/>
        <v>0.43982840667156881</v>
      </c>
      <c r="K8" s="16">
        <f t="shared" si="14"/>
        <v>-0.43596534204213061</v>
      </c>
      <c r="L8" s="16">
        <f t="shared" si="15"/>
        <v>-1.8373363033464991</v>
      </c>
      <c r="M8" s="16">
        <f t="shared" si="16"/>
        <v>-0.95053881010285435</v>
      </c>
      <c r="N8" s="16">
        <f t="shared" si="17"/>
        <v>1.0313138051804773</v>
      </c>
      <c r="O8" s="16">
        <f t="shared" si="18"/>
        <v>-0.58259200930619293</v>
      </c>
      <c r="P8" s="16">
        <f t="shared" si="19"/>
        <v>-0.28053039756318077</v>
      </c>
      <c r="Q8" s="16">
        <f t="shared" si="20"/>
        <v>-15.07707364776498</v>
      </c>
      <c r="R8" s="16">
        <f t="shared" si="0"/>
        <v>-0.99999999999983968</v>
      </c>
      <c r="S8" s="16">
        <f t="shared" si="21"/>
        <v>0.90973421875075278</v>
      </c>
      <c r="T8" s="16">
        <f t="shared" si="22"/>
        <v>-1.2488614598859065</v>
      </c>
      <c r="U8" s="16">
        <f t="shared" si="23"/>
        <v>-9.8583107314042948E-2</v>
      </c>
      <c r="V8" s="16">
        <f t="shared" si="1"/>
        <v>0.13569452515735703</v>
      </c>
      <c r="W8" s="16">
        <f t="shared" si="24"/>
        <v>0.13486776592042354</v>
      </c>
      <c r="X8" s="16">
        <f t="shared" si="25"/>
        <v>1.3356992125326155</v>
      </c>
      <c r="Y8" s="16">
        <f t="shared" si="26"/>
        <v>-0.13840957899885109</v>
      </c>
      <c r="Z8" s="16">
        <f t="shared" si="27"/>
        <v>-0.70699253680675411</v>
      </c>
      <c r="AA8" s="16">
        <f t="shared" si="2"/>
        <v>0.99369544263231535</v>
      </c>
      <c r="AB8" s="16">
        <f t="shared" si="3"/>
        <v>-1.1714148649175637E-3</v>
      </c>
      <c r="AC8" s="16">
        <f t="shared" si="4"/>
        <v>6.7918429283557735E-3</v>
      </c>
      <c r="AD8" s="17">
        <v>0.99855053119660397</v>
      </c>
      <c r="AE8" s="17">
        <v>2.0051112150917699E-3</v>
      </c>
      <c r="AF8" s="17">
        <v>3.86363487767975E-3</v>
      </c>
      <c r="AG8" s="18">
        <f t="shared" si="28"/>
        <v>4.2236605292109505E-5</v>
      </c>
      <c r="AH8" s="19">
        <f t="shared" si="33"/>
        <v>-5.5491991044464006E-3</v>
      </c>
      <c r="AI8" s="19">
        <f t="shared" si="29"/>
        <v>4.5189845073169699E-3</v>
      </c>
      <c r="AJ8" s="19">
        <f t="shared" si="29"/>
        <v>1.5099067041084435E-3</v>
      </c>
      <c r="AK8" s="18">
        <f t="shared" si="30"/>
        <v>3.7589632091480206E-5</v>
      </c>
      <c r="AL8" s="18">
        <f t="shared" si="31"/>
        <v>2.5200961681832376E-5</v>
      </c>
      <c r="AM8" s="18">
        <f t="shared" si="32"/>
        <v>2.5302456244763157E-6</v>
      </c>
      <c r="AN8" s="18">
        <f t="shared" si="34"/>
        <v>4.6803290492871688E-7</v>
      </c>
      <c r="AP8" s="22" t="s">
        <v>20</v>
      </c>
      <c r="AQ8" s="22">
        <v>2.5155126160982451</v>
      </c>
      <c r="AR8">
        <v>3.9319006217524342</v>
      </c>
      <c r="AV8">
        <v>3.8628675271618929</v>
      </c>
      <c r="AW8">
        <v>1.4866847174599367</v>
      </c>
      <c r="AX8">
        <v>1.71305942392565</v>
      </c>
    </row>
    <row r="9" spans="1:50">
      <c r="A9" s="6">
        <v>5</v>
      </c>
      <c r="B9" s="16">
        <f t="shared" si="5"/>
        <v>0.10620874621568843</v>
      </c>
      <c r="C9" s="16">
        <f t="shared" si="6"/>
        <v>0.52652725496288444</v>
      </c>
      <c r="D9" s="16">
        <f t="shared" si="7"/>
        <v>-1.9829110699338859</v>
      </c>
      <c r="E9" s="16">
        <f t="shared" si="8"/>
        <v>1.367128699784957</v>
      </c>
      <c r="F9" s="16">
        <f t="shared" si="9"/>
        <v>1.367128699784957</v>
      </c>
      <c r="G9" s="16">
        <f t="shared" si="10"/>
        <v>0.35714837141469491</v>
      </c>
      <c r="H9" s="16">
        <f t="shared" si="11"/>
        <v>0.34269977363312337</v>
      </c>
      <c r="I9" s="16">
        <f t="shared" si="12"/>
        <v>1.5521043688505713E-2</v>
      </c>
      <c r="J9" s="16">
        <f t="shared" si="13"/>
        <v>0.39575586281668784</v>
      </c>
      <c r="K9" s="16">
        <f t="shared" si="14"/>
        <v>-0.39025531155284188</v>
      </c>
      <c r="L9" s="16">
        <f t="shared" si="15"/>
        <v>-1.6654922233882232</v>
      </c>
      <c r="M9" s="16">
        <f t="shared" si="16"/>
        <v>-0.93095319575626789</v>
      </c>
      <c r="N9" s="16">
        <f t="shared" si="17"/>
        <v>1.0163790276663192</v>
      </c>
      <c r="O9" s="16">
        <f t="shared" si="18"/>
        <v>-0.56752120047784571</v>
      </c>
      <c r="P9" s="16">
        <f t="shared" si="19"/>
        <v>-0.28056675726845454</v>
      </c>
      <c r="Q9" s="16">
        <f t="shared" si="20"/>
        <v>-17.09465064822362</v>
      </c>
      <c r="R9" s="16">
        <f t="shared" si="0"/>
        <v>-0.99999999999999722</v>
      </c>
      <c r="S9" s="16">
        <f t="shared" si="21"/>
        <v>0.90973421875081661</v>
      </c>
      <c r="T9" s="16">
        <f t="shared" si="22"/>
        <v>-1.2488614598857963</v>
      </c>
      <c r="U9" s="16">
        <f t="shared" si="23"/>
        <v>-9.8583107314053578E-2</v>
      </c>
      <c r="V9" s="16">
        <f t="shared" si="1"/>
        <v>-1.2942787080984508E-2</v>
      </c>
      <c r="W9" s="16">
        <f t="shared" si="24"/>
        <v>-1.2942064422566402E-2</v>
      </c>
      <c r="X9" s="16">
        <f t="shared" si="25"/>
        <v>1.0278154588852335</v>
      </c>
      <c r="Y9" s="16">
        <f t="shared" si="26"/>
        <v>5.9775954586309396E-2</v>
      </c>
      <c r="Z9" s="16">
        <f t="shared" si="27"/>
        <v>-0.59074403858618707</v>
      </c>
      <c r="AA9" s="16">
        <f t="shared" si="2"/>
        <v>0.98653867905698922</v>
      </c>
      <c r="AB9" s="16">
        <f t="shared" si="3"/>
        <v>6.2778568243124083E-3</v>
      </c>
      <c r="AC9" s="16">
        <f t="shared" si="4"/>
        <v>6.9794850634198324E-3</v>
      </c>
      <c r="AD9" s="17">
        <v>0.99334815329542803</v>
      </c>
      <c r="AE9" s="17">
        <v>5.7859344004262394E-3</v>
      </c>
      <c r="AF9" s="17">
        <v>-4.6798608314981898E-3</v>
      </c>
      <c r="AG9" s="18">
        <f t="shared" si="28"/>
        <v>1.8255127377242555E-4</v>
      </c>
      <c r="AH9" s="19">
        <f t="shared" si="33"/>
        <v>-7.1567635753261305E-3</v>
      </c>
      <c r="AI9" s="19">
        <f t="shared" si="29"/>
        <v>7.4492716892299721E-3</v>
      </c>
      <c r="AJ9" s="19">
        <f t="shared" si="29"/>
        <v>1.8764213506405891E-4</v>
      </c>
      <c r="AK9" s="18">
        <f t="shared" si="30"/>
        <v>1.6491907896977984E-5</v>
      </c>
      <c r="AL9" s="18">
        <f t="shared" si="31"/>
        <v>2.2909462632251596E-5</v>
      </c>
      <c r="AM9" s="18">
        <f t="shared" si="32"/>
        <v>6.0127837521978599E-8</v>
      </c>
      <c r="AN9" s="18">
        <f t="shared" si="34"/>
        <v>4.1607454992342113E-8</v>
      </c>
      <c r="AP9" s="22" t="s">
        <v>21</v>
      </c>
      <c r="AQ9" s="22">
        <v>4.2642747206243739E-2</v>
      </c>
      <c r="AR9">
        <v>-2.2790035395015713</v>
      </c>
      <c r="AV9">
        <v>-2.40424578849687</v>
      </c>
      <c r="AW9">
        <v>3.396099913694884E-2</v>
      </c>
      <c r="AX9">
        <v>3.6093350998580083E-2</v>
      </c>
    </row>
    <row r="10" spans="1:50">
      <c r="A10" s="6">
        <v>6</v>
      </c>
      <c r="B10" s="16">
        <f t="shared" si="5"/>
        <v>-0.15494749394506546</v>
      </c>
      <c r="C10" s="16">
        <f t="shared" si="6"/>
        <v>0.46134044280721592</v>
      </c>
      <c r="D10" s="16">
        <f t="shared" si="7"/>
        <v>-1.6610797440185423</v>
      </c>
      <c r="E10" s="16">
        <f t="shared" si="8"/>
        <v>1.2031504514041464</v>
      </c>
      <c r="F10" s="16">
        <f t="shared" si="9"/>
        <v>1.2031504514041464</v>
      </c>
      <c r="G10" s="16">
        <f t="shared" si="10"/>
        <v>0.31049181760251576</v>
      </c>
      <c r="H10" s="16">
        <f t="shared" si="11"/>
        <v>0.30088445595081742</v>
      </c>
      <c r="I10" s="16">
        <f t="shared" si="12"/>
        <v>1.369777061598043E-2</v>
      </c>
      <c r="J10" s="16">
        <f t="shared" si="13"/>
        <v>0.35025210476721635</v>
      </c>
      <c r="K10" s="16">
        <f t="shared" si="14"/>
        <v>-0.34306089103862403</v>
      </c>
      <c r="L10" s="16">
        <f t="shared" si="15"/>
        <v>-1.4936481434299473</v>
      </c>
      <c r="M10" s="16">
        <f t="shared" si="16"/>
        <v>-0.90399380918839822</v>
      </c>
      <c r="N10" s="16">
        <f t="shared" si="17"/>
        <v>0.99582146775605318</v>
      </c>
      <c r="O10" s="16">
        <f t="shared" si="18"/>
        <v>-0.54677639493312258</v>
      </c>
      <c r="P10" s="16">
        <f t="shared" si="19"/>
        <v>-0.28061680600997596</v>
      </c>
      <c r="Q10" s="16">
        <f t="shared" si="20"/>
        <v>-19.112227648682257</v>
      </c>
      <c r="R10" s="16">
        <f t="shared" si="0"/>
        <v>-1</v>
      </c>
      <c r="S10" s="16">
        <f t="shared" si="21"/>
        <v>0.90973421875081772</v>
      </c>
      <c r="T10" s="16">
        <f t="shared" si="22"/>
        <v>-1.2488614598857946</v>
      </c>
      <c r="U10" s="16">
        <f t="shared" si="23"/>
        <v>-9.8583107314053772E-2</v>
      </c>
      <c r="V10" s="16">
        <f t="shared" si="1"/>
        <v>-0.16158009931932593</v>
      </c>
      <c r="W10" s="16">
        <f t="shared" si="24"/>
        <v>-0.16018844623246681</v>
      </c>
      <c r="X10" s="16">
        <f t="shared" si="25"/>
        <v>0.72110535281563548</v>
      </c>
      <c r="Y10" s="16">
        <f t="shared" si="26"/>
        <v>0.25720600832335017</v>
      </c>
      <c r="Z10" s="16">
        <f t="shared" si="27"/>
        <v>-0.47493867764305442</v>
      </c>
      <c r="AA10" s="16">
        <f t="shared" si="2"/>
        <v>0.97927906591994451</v>
      </c>
      <c r="AB10" s="16">
        <f t="shared" si="3"/>
        <v>1.4970709675795946E-2</v>
      </c>
      <c r="AC10" s="16">
        <f t="shared" si="4"/>
        <v>5.950969398438255E-3</v>
      </c>
      <c r="AD10" s="17">
        <v>0.98283073740154103</v>
      </c>
      <c r="AE10" s="17">
        <v>1.2651330839959601E-2</v>
      </c>
      <c r="AF10" s="17">
        <v>3.0346095032803499E-3</v>
      </c>
      <c r="AG10" s="18">
        <f t="shared" si="28"/>
        <v>2.6499043535396999E-5</v>
      </c>
      <c r="AH10" s="19">
        <f t="shared" si="33"/>
        <v>-7.259613137044707E-3</v>
      </c>
      <c r="AI10" s="19">
        <f t="shared" si="29"/>
        <v>8.6928528514835374E-3</v>
      </c>
      <c r="AJ10" s="19">
        <f t="shared" si="29"/>
        <v>-1.0285156649815774E-3</v>
      </c>
      <c r="AK10" s="18">
        <f t="shared" si="30"/>
        <v>4.682377708956288E-9</v>
      </c>
      <c r="AL10" s="18">
        <f t="shared" si="31"/>
        <v>5.7457393831026309E-6</v>
      </c>
      <c r="AM10" s="18">
        <f t="shared" si="32"/>
        <v>4.2466124565999827E-6</v>
      </c>
      <c r="AN10" s="18">
        <f t="shared" si="34"/>
        <v>4.0298552687834314E-8</v>
      </c>
      <c r="AP10" s="22" t="s">
        <v>22</v>
      </c>
      <c r="AQ10" s="22">
        <v>0.76959784446357393</v>
      </c>
      <c r="AR10">
        <v>8.0870068716290433</v>
      </c>
      <c r="AV10">
        <v>5.7311683128267372</v>
      </c>
      <c r="AW10">
        <v>0.76959784446357393</v>
      </c>
      <c r="AX10">
        <v>0.76959784446357393</v>
      </c>
    </row>
    <row r="11" spans="1:50">
      <c r="A11" s="6">
        <v>7</v>
      </c>
      <c r="B11" s="16">
        <f t="shared" si="5"/>
        <v>-0.41610373410581936</v>
      </c>
      <c r="C11" s="16">
        <f t="shared" si="6"/>
        <v>0.39744946723278995</v>
      </c>
      <c r="D11" s="16">
        <f t="shared" si="7"/>
        <v>-1.3456460435019522</v>
      </c>
      <c r="E11" s="16">
        <f t="shared" si="8"/>
        <v>1.0424318962918531</v>
      </c>
      <c r="F11" s="16">
        <f t="shared" si="9"/>
        <v>1.0424318962918531</v>
      </c>
      <c r="G11" s="16">
        <f t="shared" si="10"/>
        <v>0.26383526379033656</v>
      </c>
      <c r="H11" s="16">
        <f t="shared" si="11"/>
        <v>0.25787927165490948</v>
      </c>
      <c r="I11" s="16">
        <f t="shared" si="12"/>
        <v>1.1822615795886952E-2</v>
      </c>
      <c r="J11" s="16">
        <f t="shared" si="13"/>
        <v>0.30345352449714508</v>
      </c>
      <c r="K11" s="16">
        <f t="shared" si="14"/>
        <v>-0.29452354002834247</v>
      </c>
      <c r="L11" s="16">
        <f t="shared" si="15"/>
        <v>-1.3218040634716717</v>
      </c>
      <c r="M11" s="16">
        <f t="shared" si="16"/>
        <v>-0.86723187254362899</v>
      </c>
      <c r="N11" s="16">
        <f t="shared" si="17"/>
        <v>0.96778908975332301</v>
      </c>
      <c r="O11" s="16">
        <f t="shared" si="18"/>
        <v>-0.51848868796978753</v>
      </c>
      <c r="P11" s="16">
        <f t="shared" si="19"/>
        <v>-0.28068505269134347</v>
      </c>
      <c r="Q11" s="16">
        <f t="shared" si="20"/>
        <v>-21.129804649140894</v>
      </c>
      <c r="R11" s="16">
        <f t="shared" si="0"/>
        <v>-1</v>
      </c>
      <c r="S11" s="16">
        <f t="shared" si="21"/>
        <v>0.90973421875081772</v>
      </c>
      <c r="T11" s="16">
        <f t="shared" si="22"/>
        <v>-1.2488614598857946</v>
      </c>
      <c r="U11" s="16">
        <f t="shared" si="23"/>
        <v>-9.8583107314053772E-2</v>
      </c>
      <c r="V11" s="16">
        <f t="shared" si="1"/>
        <v>-0.31021741155766736</v>
      </c>
      <c r="W11" s="16">
        <f t="shared" si="24"/>
        <v>-0.30063487168415942</v>
      </c>
      <c r="X11" s="16">
        <f t="shared" si="25"/>
        <v>0.42855936616451773</v>
      </c>
      <c r="Y11" s="16">
        <f t="shared" si="26"/>
        <v>0.44551858336442041</v>
      </c>
      <c r="Z11" s="16">
        <f t="shared" si="27"/>
        <v>-0.36448130142308099</v>
      </c>
      <c r="AA11" s="16">
        <f t="shared" si="2"/>
        <v>0.97225924696259325</v>
      </c>
      <c r="AB11" s="16">
        <f t="shared" si="3"/>
        <v>2.4053856297836407E-2</v>
      </c>
      <c r="AC11" s="16">
        <f t="shared" si="4"/>
        <v>4.1588948350323451E-3</v>
      </c>
      <c r="AD11" s="17">
        <v>0.97539398785926001</v>
      </c>
      <c r="AE11" s="17">
        <v>2.03539996715329E-2</v>
      </c>
      <c r="AF11" s="17">
        <v>7.4668309922445502E-3</v>
      </c>
      <c r="AG11" s="18">
        <f t="shared" si="28"/>
        <v>3.4457981164628974E-5</v>
      </c>
      <c r="AH11" s="19">
        <f t="shared" si="33"/>
        <v>-7.0198189573512648E-3</v>
      </c>
      <c r="AI11" s="19">
        <f t="shared" si="29"/>
        <v>9.0831466220404611E-3</v>
      </c>
      <c r="AJ11" s="19">
        <f t="shared" si="29"/>
        <v>-1.7920745634059099E-3</v>
      </c>
      <c r="AK11" s="18">
        <f t="shared" si="30"/>
        <v>2.1808408030248615E-5</v>
      </c>
      <c r="AL11" s="18">
        <f t="shared" si="31"/>
        <v>8.9895134640760432E-7</v>
      </c>
      <c r="AM11" s="18">
        <f t="shared" si="32"/>
        <v>1.1906390379197932E-5</v>
      </c>
      <c r="AN11" s="18">
        <f t="shared" si="34"/>
        <v>2.227822021197035E-7</v>
      </c>
      <c r="AP11" s="22" t="s">
        <v>23</v>
      </c>
      <c r="AQ11" s="22">
        <v>1.8717886603681722</v>
      </c>
      <c r="AR11">
        <v>-1.6063302422259558</v>
      </c>
      <c r="AV11">
        <v>-5.5360950305191494</v>
      </c>
      <c r="AW11">
        <v>1.8717886603681722</v>
      </c>
      <c r="AX11">
        <v>1.8717886603681722</v>
      </c>
    </row>
    <row r="12" spans="1:50">
      <c r="A12" s="6">
        <v>8</v>
      </c>
      <c r="B12" s="16">
        <f t="shared" si="5"/>
        <v>-0.67725997426657347</v>
      </c>
      <c r="C12" s="16">
        <f t="shared" si="6"/>
        <v>0.33687312205881192</v>
      </c>
      <c r="D12" s="16">
        <f t="shared" si="7"/>
        <v>-1.0465768784093066</v>
      </c>
      <c r="E12" s="16">
        <f t="shared" si="8"/>
        <v>0.89005133576958917</v>
      </c>
      <c r="F12" s="16">
        <f t="shared" si="9"/>
        <v>0.89005133576958917</v>
      </c>
      <c r="G12" s="16">
        <f t="shared" si="10"/>
        <v>0.21717870997815736</v>
      </c>
      <c r="H12" s="16">
        <f t="shared" si="11"/>
        <v>0.2138273972667119</v>
      </c>
      <c r="I12" s="16">
        <f t="shared" si="12"/>
        <v>9.9018221533157917E-3</v>
      </c>
      <c r="J12" s="16">
        <f t="shared" si="13"/>
        <v>0.25551592782465909</v>
      </c>
      <c r="K12" s="16">
        <f t="shared" si="14"/>
        <v>-0.24480485320378143</v>
      </c>
      <c r="L12" s="16">
        <f t="shared" si="15"/>
        <v>-1.1499599835133958</v>
      </c>
      <c r="M12" s="16">
        <f t="shared" si="16"/>
        <v>-0.81774082094410427</v>
      </c>
      <c r="N12" s="16">
        <f t="shared" si="17"/>
        <v>0.93005027638240378</v>
      </c>
      <c r="O12" s="16">
        <f t="shared" si="18"/>
        <v>-0.48040613594096626</v>
      </c>
      <c r="P12" s="16">
        <f t="shared" si="19"/>
        <v>-0.28077693033265744</v>
      </c>
      <c r="Q12" s="16">
        <f t="shared" si="20"/>
        <v>-23.147381649599534</v>
      </c>
      <c r="R12" s="16">
        <f t="shared" si="0"/>
        <v>-1</v>
      </c>
      <c r="S12" s="16">
        <f t="shared" si="21"/>
        <v>0.90973421875081772</v>
      </c>
      <c r="T12" s="16">
        <f t="shared" si="22"/>
        <v>-1.2488614598857946</v>
      </c>
      <c r="U12" s="16">
        <f t="shared" si="23"/>
        <v>-9.8583107314053772E-2</v>
      </c>
      <c r="V12" s="16">
        <f t="shared" si="1"/>
        <v>-0.45885472379600889</v>
      </c>
      <c r="W12" s="16">
        <f t="shared" si="24"/>
        <v>-0.42915032012515825</v>
      </c>
      <c r="X12" s="16">
        <f t="shared" si="25"/>
        <v>0.16086527182806576</v>
      </c>
      <c r="Y12" s="16">
        <f t="shared" si="26"/>
        <v>0.61783393386656982</v>
      </c>
      <c r="Z12" s="16">
        <f t="shared" si="27"/>
        <v>-0.26340732112866166</v>
      </c>
      <c r="AA12" s="16">
        <f t="shared" si="2"/>
        <v>0.9639747107052965</v>
      </c>
      <c r="AB12" s="16">
        <f t="shared" si="3"/>
        <v>3.4133601634057209E-2</v>
      </c>
      <c r="AC12" s="16">
        <f t="shared" si="4"/>
        <v>2.4791237904348562E-3</v>
      </c>
      <c r="AD12" s="17">
        <v>0.96249140793574095</v>
      </c>
      <c r="AE12" s="17">
        <v>3.3533967396357001E-2</v>
      </c>
      <c r="AF12" s="17">
        <v>9.1761695406187595E-3</v>
      </c>
      <c r="AG12" s="18">
        <f t="shared" si="28"/>
        <v>4.7410170105249759E-5</v>
      </c>
      <c r="AH12" s="19">
        <f t="shared" si="33"/>
        <v>-8.2845362572967485E-3</v>
      </c>
      <c r="AI12" s="19">
        <f t="shared" si="29"/>
        <v>1.0079745336220802E-2</v>
      </c>
      <c r="AJ12" s="19">
        <f t="shared" si="29"/>
        <v>-1.6797710445974889E-3</v>
      </c>
      <c r="AK12" s="18">
        <f t="shared" si="30"/>
        <v>6.6625874739488126E-5</v>
      </c>
      <c r="AL12" s="18">
        <f t="shared" si="31"/>
        <v>1.6110436633392375E-5</v>
      </c>
      <c r="AM12" s="18">
        <f t="shared" si="32"/>
        <v>1.6267094005691732E-5</v>
      </c>
      <c r="AN12" s="18">
        <f t="shared" si="34"/>
        <v>3.4508120658103363E-7</v>
      </c>
      <c r="AP12" s="22" t="s">
        <v>62</v>
      </c>
      <c r="AQ12" s="22">
        <v>-4.6656553812179188E-2</v>
      </c>
      <c r="AR12">
        <v>4.7732306151299797</v>
      </c>
      <c r="AV12">
        <v>3.7619799083289265</v>
      </c>
      <c r="AW12">
        <v>-7.5060741070273496E-2</v>
      </c>
      <c r="AX12">
        <v>-4.6666046520318305E-2</v>
      </c>
    </row>
    <row r="13" spans="1:50">
      <c r="A13" s="6">
        <v>9</v>
      </c>
      <c r="B13" s="16">
        <f t="shared" si="5"/>
        <v>-0.93841621442732759</v>
      </c>
      <c r="C13" s="16">
        <f t="shared" si="6"/>
        <v>0.28122037087416679</v>
      </c>
      <c r="D13" s="16">
        <f t="shared" si="7"/>
        <v>-0.77181580155499752</v>
      </c>
      <c r="E13" s="16">
        <f t="shared" si="8"/>
        <v>0.7500561380440377</v>
      </c>
      <c r="F13" s="16">
        <f t="shared" si="9"/>
        <v>0.7500561380440377</v>
      </c>
      <c r="G13" s="16">
        <f t="shared" si="10"/>
        <v>0.17052215616597816</v>
      </c>
      <c r="H13" s="16">
        <f t="shared" si="11"/>
        <v>0.16888835312378941</v>
      </c>
      <c r="I13" s="16">
        <f t="shared" si="12"/>
        <v>7.9423452526898135E-3</v>
      </c>
      <c r="J13" s="16">
        <f t="shared" si="13"/>
        <v>0.20661290603751728</v>
      </c>
      <c r="K13" s="16">
        <f t="shared" si="14"/>
        <v>-0.19408487152382581</v>
      </c>
      <c r="L13" s="16">
        <f t="shared" si="15"/>
        <v>-0.9781159035551199</v>
      </c>
      <c r="M13" s="16">
        <f t="shared" si="16"/>
        <v>-0.75224913717228947</v>
      </c>
      <c r="N13" s="16">
        <f t="shared" si="17"/>
        <v>0.88011037105948864</v>
      </c>
      <c r="O13" s="16">
        <f t="shared" si="18"/>
        <v>-0.43001136003527118</v>
      </c>
      <c r="P13" s="16">
        <f t="shared" si="19"/>
        <v>-0.28089851234063995</v>
      </c>
      <c r="Q13" s="16">
        <f t="shared" si="20"/>
        <v>-25.164958650058171</v>
      </c>
      <c r="R13" s="16">
        <f t="shared" si="0"/>
        <v>-1</v>
      </c>
      <c r="S13" s="16">
        <f t="shared" si="21"/>
        <v>0.90973421875081772</v>
      </c>
      <c r="T13" s="16">
        <f t="shared" si="22"/>
        <v>-1.2488614598857946</v>
      </c>
      <c r="U13" s="16">
        <f t="shared" si="23"/>
        <v>-9.8583107314053772E-2</v>
      </c>
      <c r="V13" s="16">
        <f t="shared" si="1"/>
        <v>-0.60749203603435042</v>
      </c>
      <c r="W13" s="16">
        <f t="shared" si="24"/>
        <v>-0.54235926979925153</v>
      </c>
      <c r="X13" s="16">
        <f t="shared" si="25"/>
        <v>-7.4945812531185263E-2</v>
      </c>
      <c r="Y13" s="16">
        <f t="shared" si="26"/>
        <v>0.76962611200325093</v>
      </c>
      <c r="Z13" s="16">
        <f t="shared" si="27"/>
        <v>-0.1743714947955774</v>
      </c>
      <c r="AA13" s="16">
        <f t="shared" si="2"/>
        <v>0.95102532097681336</v>
      </c>
      <c r="AB13" s="16">
        <f t="shared" si="3"/>
        <v>4.7422336163740142E-2</v>
      </c>
      <c r="AC13" s="16">
        <f t="shared" si="4"/>
        <v>2.1181520699407597E-3</v>
      </c>
      <c r="AD13" s="17">
        <v>0.94450237023887595</v>
      </c>
      <c r="AE13" s="17">
        <v>4.7496166004264602E-2</v>
      </c>
      <c r="AF13" s="17">
        <v>7.5225339506602403E-3</v>
      </c>
      <c r="AG13" s="18">
        <f t="shared" si="28"/>
        <v>7.1761680687559045E-5</v>
      </c>
      <c r="AH13" s="19">
        <f t="shared" si="33"/>
        <v>-1.2949389728483141E-2</v>
      </c>
      <c r="AI13" s="19">
        <f t="shared" si="29"/>
        <v>1.3288734529682933E-2</v>
      </c>
      <c r="AJ13" s="19">
        <f t="shared" si="29"/>
        <v>-3.6097172049409654E-4</v>
      </c>
      <c r="AK13" s="18">
        <f t="shared" si="30"/>
        <v>9.2039696351636758E-5</v>
      </c>
      <c r="AL13" s="18">
        <f t="shared" si="31"/>
        <v>3.581621428237949E-5</v>
      </c>
      <c r="AM13" s="18">
        <f t="shared" si="32"/>
        <v>1.3181939877478154E-5</v>
      </c>
      <c r="AN13" s="18">
        <f t="shared" si="34"/>
        <v>3.2014006268020215E-7</v>
      </c>
      <c r="AP13" s="22" t="s">
        <v>63</v>
      </c>
      <c r="AQ13" s="22">
        <v>0.59043114047559087</v>
      </c>
      <c r="AR13">
        <v>3.7281736439772231</v>
      </c>
      <c r="AV13">
        <v>4.6852396836265031</v>
      </c>
      <c r="AW13">
        <v>1.9859149654738175</v>
      </c>
      <c r="AX13">
        <v>0.59632817272439997</v>
      </c>
    </row>
    <row r="14" spans="1:50">
      <c r="A14" s="6">
        <v>10</v>
      </c>
      <c r="B14" s="16">
        <f t="shared" si="5"/>
        <v>-1.1995724545880817</v>
      </c>
      <c r="C14" s="16">
        <f t="shared" si="6"/>
        <v>0.23155128318468066</v>
      </c>
      <c r="D14" s="16">
        <f t="shared" si="7"/>
        <v>-0.5265964416952168</v>
      </c>
      <c r="E14" s="16">
        <f t="shared" si="8"/>
        <v>0.62511292133104535</v>
      </c>
      <c r="F14" s="16">
        <f t="shared" si="9"/>
        <v>0.62511292133104535</v>
      </c>
      <c r="G14" s="16">
        <f t="shared" si="10"/>
        <v>0.12386560235379895</v>
      </c>
      <c r="H14" s="16">
        <f t="shared" si="11"/>
        <v>0.12323598898206253</v>
      </c>
      <c r="I14" s="16">
        <f t="shared" si="12"/>
        <v>5.9517654639835611E-3</v>
      </c>
      <c r="J14" s="16">
        <f t="shared" si="13"/>
        <v>0.15693364380939517</v>
      </c>
      <c r="K14" s="16">
        <f t="shared" si="14"/>
        <v>-0.14255980869536511</v>
      </c>
      <c r="L14" s="16">
        <f t="shared" si="15"/>
        <v>-0.80627182359684424</v>
      </c>
      <c r="M14" s="16">
        <f t="shared" si="16"/>
        <v>-0.6675284778881404</v>
      </c>
      <c r="N14" s="16">
        <f t="shared" si="17"/>
        <v>0.81550763892808176</v>
      </c>
      <c r="O14" s="16">
        <f t="shared" si="18"/>
        <v>-0.36482020303153473</v>
      </c>
      <c r="P14" s="16">
        <f t="shared" si="19"/>
        <v>-0.28105579197188685</v>
      </c>
      <c r="Q14" s="16">
        <f t="shared" si="20"/>
        <v>-27.182535650516812</v>
      </c>
      <c r="R14" s="16">
        <f t="shared" si="0"/>
        <v>-1</v>
      </c>
      <c r="S14" s="16">
        <f t="shared" si="21"/>
        <v>0.90973421875081772</v>
      </c>
      <c r="T14" s="16">
        <f t="shared" si="22"/>
        <v>-1.2488614598857946</v>
      </c>
      <c r="U14" s="16">
        <f t="shared" si="23"/>
        <v>-9.8583107314053772E-2</v>
      </c>
      <c r="V14" s="16">
        <f t="shared" si="1"/>
        <v>-0.75612934827269196</v>
      </c>
      <c r="W14" s="16">
        <f t="shared" si="24"/>
        <v>-0.63879140870511719</v>
      </c>
      <c r="X14" s="16">
        <f t="shared" si="25"/>
        <v>-0.27581126802686406</v>
      </c>
      <c r="Y14" s="16">
        <f t="shared" si="26"/>
        <v>0.89892370242379016</v>
      </c>
      <c r="Z14" s="16">
        <f t="shared" si="27"/>
        <v>-9.8530183686626138E-2</v>
      </c>
      <c r="AA14" s="16">
        <f t="shared" si="2"/>
        <v>0.9287859134208023</v>
      </c>
      <c r="AB14" s="16">
        <f t="shared" si="3"/>
        <v>6.728860464690134E-2</v>
      </c>
      <c r="AC14" s="16">
        <f t="shared" si="4"/>
        <v>4.3840296631134784E-3</v>
      </c>
      <c r="AD14" s="17">
        <v>0.91819898168117797</v>
      </c>
      <c r="AE14" s="17">
        <v>6.7597221336325009E-2</v>
      </c>
      <c r="AF14" s="17">
        <v>3.2927993138720797E-3</v>
      </c>
      <c r="AG14" s="18">
        <f t="shared" si="28"/>
        <v>1.1336915159556132E-4</v>
      </c>
      <c r="AH14" s="19">
        <f t="shared" si="33"/>
        <v>-2.2239407556011059E-2</v>
      </c>
      <c r="AI14" s="19">
        <f t="shared" si="29"/>
        <v>1.9866268483161198E-2</v>
      </c>
      <c r="AJ14" s="19">
        <f t="shared" si="29"/>
        <v>2.2658775931727188E-3</v>
      </c>
      <c r="AK14" s="18">
        <f t="shared" si="30"/>
        <v>8.0991438420003763E-5</v>
      </c>
      <c r="AL14" s="18">
        <f t="shared" si="31"/>
        <v>4.5335736650961461E-5</v>
      </c>
      <c r="AM14" s="18">
        <f t="shared" si="32"/>
        <v>5.6339962382545951E-6</v>
      </c>
      <c r="AN14" s="18">
        <f t="shared" si="34"/>
        <v>2.1026602143761789E-7</v>
      </c>
      <c r="AP14" s="22" t="s">
        <v>64</v>
      </c>
      <c r="AQ14" s="22">
        <v>4.3602994634112151E-2</v>
      </c>
      <c r="AR14">
        <v>-1.7087540746297549</v>
      </c>
      <c r="AV14">
        <v>7.1519440216271315</v>
      </c>
      <c r="AW14">
        <v>2.705188699912555E-2</v>
      </c>
      <c r="AX14">
        <v>4.1988016084207616E-2</v>
      </c>
    </row>
    <row r="15" spans="1:50">
      <c r="A15" s="6">
        <v>11</v>
      </c>
      <c r="B15" s="16">
        <f t="shared" si="5"/>
        <v>-1.4607286947488354</v>
      </c>
      <c r="C15" s="16">
        <f t="shared" si="6"/>
        <v>0.18835589855217197</v>
      </c>
      <c r="D15" s="16">
        <f t="shared" si="7"/>
        <v>-0.31333815447439151</v>
      </c>
      <c r="E15" s="16">
        <f t="shared" si="8"/>
        <v>0.51645438633075347</v>
      </c>
      <c r="F15" s="16">
        <f t="shared" si="9"/>
        <v>0.51645438633075347</v>
      </c>
      <c r="G15" s="16">
        <f t="shared" si="10"/>
        <v>7.7209048541619807E-2</v>
      </c>
      <c r="H15" s="16">
        <f t="shared" si="11"/>
        <v>7.7055993007882906E-2</v>
      </c>
      <c r="I15" s="16">
        <f t="shared" si="12"/>
        <v>3.9381793473180866E-3</v>
      </c>
      <c r="J15" s="16">
        <f t="shared" si="13"/>
        <v>0.10668020846544171</v>
      </c>
      <c r="K15" s="16">
        <f t="shared" si="14"/>
        <v>-9.0439239723278983E-2</v>
      </c>
      <c r="L15" s="16">
        <f t="shared" si="15"/>
        <v>-0.63442774363856835</v>
      </c>
      <c r="M15" s="16">
        <f t="shared" si="16"/>
        <v>-0.56109352651283251</v>
      </c>
      <c r="N15" s="16">
        <f t="shared" si="17"/>
        <v>0.73434693136020734</v>
      </c>
      <c r="O15" s="16">
        <f t="shared" si="18"/>
        <v>-0.28292025460784553</v>
      </c>
      <c r="P15" s="16">
        <f t="shared" si="19"/>
        <v>-0.28125338309128478</v>
      </c>
      <c r="Q15" s="16">
        <f t="shared" si="20"/>
        <v>-29.200112650975449</v>
      </c>
      <c r="R15" s="16">
        <f t="shared" si="0"/>
        <v>-1</v>
      </c>
      <c r="S15" s="16">
        <f t="shared" si="21"/>
        <v>0.90973421875081772</v>
      </c>
      <c r="T15" s="16">
        <f t="shared" si="22"/>
        <v>-1.2488614598857946</v>
      </c>
      <c r="U15" s="16">
        <f t="shared" si="23"/>
        <v>-9.8583107314053772E-2</v>
      </c>
      <c r="V15" s="16">
        <f t="shared" si="1"/>
        <v>-0.90476666051103327</v>
      </c>
      <c r="W15" s="16">
        <f t="shared" si="24"/>
        <v>-0.7186109248628767</v>
      </c>
      <c r="X15" s="16">
        <f t="shared" si="25"/>
        <v>-0.44207309372507853</v>
      </c>
      <c r="Y15" s="16">
        <f t="shared" si="26"/>
        <v>1.0059468507727669</v>
      </c>
      <c r="Z15" s="16">
        <f t="shared" si="27"/>
        <v>-3.5754258293164032E-2</v>
      </c>
      <c r="AA15" s="16">
        <f t="shared" si="2"/>
        <v>0.89260808125887303</v>
      </c>
      <c r="AB15" s="16">
        <f t="shared" si="3"/>
        <v>9.7299731075321971E-2</v>
      </c>
      <c r="AC15" s="16">
        <f t="shared" si="4"/>
        <v>1.0424397908971886E-2</v>
      </c>
      <c r="AD15" s="17">
        <v>0.89021613947898592</v>
      </c>
      <c r="AE15" s="17">
        <v>9.5969397639399309E-2</v>
      </c>
      <c r="AF15" s="17">
        <v>1.96514990734073E-2</v>
      </c>
      <c r="AG15" s="18">
        <f t="shared" si="28"/>
        <v>9.2630568427828677E-5</v>
      </c>
      <c r="AH15" s="19">
        <f t="shared" si="33"/>
        <v>-3.6177832161929269E-2</v>
      </c>
      <c r="AI15" s="19">
        <f t="shared" si="29"/>
        <v>3.0011126428420631E-2</v>
      </c>
      <c r="AJ15" s="19">
        <f t="shared" si="29"/>
        <v>6.0403682458584074E-3</v>
      </c>
      <c r="AK15" s="18">
        <f t="shared" si="30"/>
        <v>5.2335634144200753E-5</v>
      </c>
      <c r="AL15" s="18">
        <f t="shared" si="31"/>
        <v>4.4787203710332006E-5</v>
      </c>
      <c r="AM15" s="18">
        <f t="shared" si="32"/>
        <v>4.4669226966626046E-7</v>
      </c>
      <c r="AN15" s="18">
        <f t="shared" si="34"/>
        <v>1.103636456649942E-7</v>
      </c>
      <c r="AP15" s="22" t="s">
        <v>65</v>
      </c>
      <c r="AQ15" s="22">
        <v>5.78307297669185E-4</v>
      </c>
      <c r="AR15">
        <v>7.2602805692045687</v>
      </c>
      <c r="AV15">
        <v>4.0993020942423222</v>
      </c>
      <c r="AW15">
        <v>0.51920425897022493</v>
      </c>
      <c r="AX15">
        <v>-0.21891027383243225</v>
      </c>
    </row>
    <row r="16" spans="1:50">
      <c r="A16" s="6">
        <v>12</v>
      </c>
      <c r="B16" s="16">
        <f t="shared" si="5"/>
        <v>-1.7218849349095895</v>
      </c>
      <c r="C16" s="16">
        <f t="shared" si="6"/>
        <v>0.15162853142728844</v>
      </c>
      <c r="D16" s="16">
        <f t="shared" si="7"/>
        <v>-0.13201286998350037</v>
      </c>
      <c r="E16" s="16">
        <f t="shared" si="8"/>
        <v>0.42406623097203705</v>
      </c>
      <c r="F16" s="16">
        <f t="shared" si="9"/>
        <v>0.42406623097203705</v>
      </c>
      <c r="G16" s="16">
        <f t="shared" si="10"/>
        <v>3.055249472944066E-2</v>
      </c>
      <c r="H16" s="16">
        <f t="shared" si="11"/>
        <v>3.0542991818654781E-2</v>
      </c>
      <c r="I16" s="16">
        <f t="shared" si="12"/>
        <v>1.9100732060477207E-3</v>
      </c>
      <c r="J16" s="16">
        <f t="shared" si="13"/>
        <v>5.606439422364258E-2</v>
      </c>
      <c r="K16" s="16">
        <f t="shared" si="14"/>
        <v>-3.7942827901645979E-2</v>
      </c>
      <c r="L16" s="16">
        <f t="shared" si="15"/>
        <v>-0.46258366368029247</v>
      </c>
      <c r="M16" s="16">
        <f t="shared" si="16"/>
        <v>-0.4321876265554519</v>
      </c>
      <c r="N16" s="16">
        <f t="shared" si="17"/>
        <v>0.63605126893890851</v>
      </c>
      <c r="O16" s="16">
        <f t="shared" si="18"/>
        <v>-0.18372928001161953</v>
      </c>
      <c r="P16" s="16">
        <f t="shared" si="19"/>
        <v>-0.28149269039344876</v>
      </c>
      <c r="Q16" s="16">
        <f t="shared" si="20"/>
        <v>-31.217689651434085</v>
      </c>
      <c r="R16" s="16">
        <f t="shared" si="0"/>
        <v>-1</v>
      </c>
      <c r="S16" s="16">
        <f t="shared" si="21"/>
        <v>0.90973421875081772</v>
      </c>
      <c r="T16" s="16">
        <f t="shared" si="22"/>
        <v>-1.2488614598857946</v>
      </c>
      <c r="U16" s="16">
        <f t="shared" si="23"/>
        <v>-9.8583107314053772E-2</v>
      </c>
      <c r="V16" s="16">
        <f t="shared" si="1"/>
        <v>-1.0534039727493747</v>
      </c>
      <c r="W16" s="16">
        <f t="shared" si="24"/>
        <v>-0.78312623250325564</v>
      </c>
      <c r="X16" s="16">
        <f t="shared" si="25"/>
        <v>-0.57645667997196925</v>
      </c>
      <c r="Y16" s="16">
        <f t="shared" si="26"/>
        <v>1.0924498975555799</v>
      </c>
      <c r="Z16" s="16">
        <f t="shared" si="27"/>
        <v>1.4985314359268864E-2</v>
      </c>
      <c r="AA16" s="16">
        <f t="shared" si="2"/>
        <v>0.83922601094030425</v>
      </c>
      <c r="AB16" s="16">
        <f t="shared" si="3"/>
        <v>0.13998978285384545</v>
      </c>
      <c r="AC16" s="16">
        <f t="shared" si="4"/>
        <v>2.1032919722157387E-2</v>
      </c>
      <c r="AD16" s="17">
        <v>0.83105634839519704</v>
      </c>
      <c r="AE16" s="17">
        <v>0.139820372745182</v>
      </c>
      <c r="AF16" s="17">
        <v>2.4532806481925299E-2</v>
      </c>
      <c r="AG16" s="18">
        <f t="shared" si="28"/>
        <v>7.902129321704361E-5</v>
      </c>
      <c r="AH16" s="19">
        <f t="shared" si="33"/>
        <v>-5.3382070318568786E-2</v>
      </c>
      <c r="AI16" s="19">
        <f t="shared" si="29"/>
        <v>4.2690051778523475E-2</v>
      </c>
      <c r="AJ16" s="19">
        <f t="shared" si="29"/>
        <v>1.0608521813185501E-2</v>
      </c>
      <c r="AK16" s="18">
        <f t="shared" si="30"/>
        <v>2.853430534730075E-5</v>
      </c>
      <c r="AL16" s="18">
        <f t="shared" si="31"/>
        <v>4.0725008415604287E-5</v>
      </c>
      <c r="AM16" s="18">
        <f t="shared" si="32"/>
        <v>9.1463783576817007E-7</v>
      </c>
      <c r="AN16" s="18">
        <f t="shared" si="34"/>
        <v>6.1858413193879502E-8</v>
      </c>
      <c r="AP16" s="22" t="s">
        <v>66</v>
      </c>
      <c r="AQ16" s="22">
        <v>1.0882078762425926</v>
      </c>
      <c r="AR16">
        <v>-5.256010638150113</v>
      </c>
      <c r="AV16">
        <v>-8.0362948075819212</v>
      </c>
      <c r="AW16">
        <v>0.43396492601132824</v>
      </c>
      <c r="AX16">
        <v>1.0770024379408789</v>
      </c>
    </row>
    <row r="17" spans="1:54">
      <c r="A17" s="6">
        <v>13</v>
      </c>
      <c r="B17" s="16">
        <f t="shared" si="5"/>
        <v>-1.9830411750703436</v>
      </c>
      <c r="C17" s="16">
        <f t="shared" si="6"/>
        <v>0.12099502004284204</v>
      </c>
      <c r="D17" s="16">
        <f t="shared" si="7"/>
        <v>1.9226671578310151E-2</v>
      </c>
      <c r="E17" s="16">
        <f t="shared" si="8"/>
        <v>0.34700724660907289</v>
      </c>
      <c r="F17" s="16">
        <f t="shared" si="9"/>
        <v>0.34700724660907289</v>
      </c>
      <c r="G17" s="16">
        <f t="shared" si="10"/>
        <v>-1.6104059082738598E-2</v>
      </c>
      <c r="H17" s="16">
        <f t="shared" si="11"/>
        <v>-1.6102667081052718E-2</v>
      </c>
      <c r="I17" s="16">
        <f t="shared" si="12"/>
        <v>-1.2381720866085099E-4</v>
      </c>
      <c r="J17" s="16">
        <f t="shared" si="13"/>
        <v>5.3042208164554884E-3</v>
      </c>
      <c r="K17" s="16">
        <f t="shared" si="14"/>
        <v>1.470330665605192E-2</v>
      </c>
      <c r="L17" s="16">
        <f t="shared" si="15"/>
        <v>-0.2907395837220168</v>
      </c>
      <c r="M17" s="16">
        <f t="shared" si="16"/>
        <v>-0.28281538335499362</v>
      </c>
      <c r="N17" s="16">
        <f t="shared" si="17"/>
        <v>0.52214923964778348</v>
      </c>
      <c r="O17" s="16">
        <f t="shared" si="18"/>
        <v>-6.8789790154471037E-2</v>
      </c>
      <c r="P17" s="16">
        <f t="shared" si="19"/>
        <v>-0.28176999242966511</v>
      </c>
      <c r="Q17" s="16">
        <f t="shared" si="20"/>
        <v>-33.235266651892722</v>
      </c>
      <c r="R17" s="16">
        <f t="shared" si="0"/>
        <v>-1</v>
      </c>
      <c r="S17" s="16">
        <f t="shared" si="21"/>
        <v>0.90973421875081772</v>
      </c>
      <c r="T17" s="16">
        <f t="shared" si="22"/>
        <v>-1.2488614598857946</v>
      </c>
      <c r="U17" s="16">
        <f t="shared" si="23"/>
        <v>-9.8583107314053772E-2</v>
      </c>
      <c r="V17" s="16">
        <f t="shared" si="1"/>
        <v>-1.2020412849877165</v>
      </c>
      <c r="W17" s="16">
        <f t="shared" si="24"/>
        <v>-0.83427618113878632</v>
      </c>
      <c r="X17" s="16">
        <f t="shared" si="25"/>
        <v>-0.68300059622053322</v>
      </c>
      <c r="Y17" s="16">
        <f t="shared" si="26"/>
        <v>1.1610324799160565</v>
      </c>
      <c r="Z17" s="16">
        <f t="shared" si="27"/>
        <v>5.5213387817859338E-2</v>
      </c>
      <c r="AA17" s="16">
        <f t="shared" si="2"/>
        <v>0.7679857165477173</v>
      </c>
      <c r="AB17" s="16">
        <f t="shared" si="3"/>
        <v>0.19569269730131933</v>
      </c>
      <c r="AC17" s="16">
        <f t="shared" si="4"/>
        <v>3.6570841339265261E-2</v>
      </c>
      <c r="AD17" s="17">
        <v>0.77338802087821101</v>
      </c>
      <c r="AE17" s="17">
        <v>0.19576330278256401</v>
      </c>
      <c r="AF17" s="17">
        <v>3.84479753657469E-2</v>
      </c>
      <c r="AG17" s="18">
        <f t="shared" si="28"/>
        <v>3.2713509366628083E-5</v>
      </c>
      <c r="AH17" s="19">
        <f t="shared" si="33"/>
        <v>-7.1240294392586945E-2</v>
      </c>
      <c r="AI17" s="19">
        <f t="shared" si="29"/>
        <v>5.5702914447473884E-2</v>
      </c>
      <c r="AJ17" s="19">
        <f t="shared" si="29"/>
        <v>1.5537921617107875E-2</v>
      </c>
      <c r="AK17" s="18">
        <f t="shared" si="30"/>
        <v>1.5067174123656147E-5</v>
      </c>
      <c r="AL17" s="18">
        <f t="shared" si="31"/>
        <v>3.5119976471143846E-5</v>
      </c>
      <c r="AM17" s="18">
        <f t="shared" si="32"/>
        <v>4.1824619950051445E-6</v>
      </c>
      <c r="AN17" s="18">
        <f t="shared" si="34"/>
        <v>6.2128148895459945E-8</v>
      </c>
      <c r="AP17" s="22" t="s">
        <v>67</v>
      </c>
      <c r="AQ17" s="22">
        <v>2.2827269962569376E-2</v>
      </c>
      <c r="AR17">
        <v>8.579731423831829</v>
      </c>
      <c r="AV17">
        <v>-5.1634986230709945</v>
      </c>
      <c r="AW17">
        <v>1.6141091723617336E-2</v>
      </c>
      <c r="AX17">
        <v>2.0163213590130347E-2</v>
      </c>
    </row>
    <row r="18" spans="1:54">
      <c r="A18" s="6">
        <v>14</v>
      </c>
      <c r="B18" s="16">
        <f t="shared" si="5"/>
        <v>-2.2441974152310973</v>
      </c>
      <c r="C18" s="16">
        <f t="shared" si="6"/>
        <v>9.5851160516914419E-2</v>
      </c>
      <c r="D18" s="16">
        <f t="shared" si="7"/>
        <v>0.14336346216923895</v>
      </c>
      <c r="E18" s="16">
        <f t="shared" si="8"/>
        <v>0.28375755075419995</v>
      </c>
      <c r="F18" s="16">
        <f t="shared" si="9"/>
        <v>0.28375755075419995</v>
      </c>
      <c r="G18" s="16">
        <f t="shared" si="10"/>
        <v>-6.2760612894917744E-2</v>
      </c>
      <c r="H18" s="16">
        <f t="shared" si="11"/>
        <v>-6.2678340039829541E-2</v>
      </c>
      <c r="I18" s="16">
        <f t="shared" si="12"/>
        <v>-2.1546560267625592E-3</v>
      </c>
      <c r="J18" s="16">
        <f t="shared" si="13"/>
        <v>-4.5379793338584586E-2</v>
      </c>
      <c r="K18" s="16">
        <f t="shared" si="14"/>
        <v>6.7270452314240323E-2</v>
      </c>
      <c r="L18" s="16">
        <f t="shared" si="15"/>
        <v>-0.11889550376374114</v>
      </c>
      <c r="M18" s="16">
        <f t="shared" si="16"/>
        <v>-0.11833841240607962</v>
      </c>
      <c r="N18" s="16">
        <f t="shared" si="17"/>
        <v>0.39672927967839838</v>
      </c>
      <c r="O18" s="16">
        <f t="shared" si="18"/>
        <v>5.7772539827724789E-2</v>
      </c>
      <c r="P18" s="16">
        <f t="shared" si="19"/>
        <v>-0.28207533563117021</v>
      </c>
      <c r="Q18" s="16">
        <f t="shared" si="20"/>
        <v>-35.252843652351359</v>
      </c>
      <c r="R18" s="16">
        <f t="shared" si="0"/>
        <v>-1</v>
      </c>
      <c r="S18" s="16">
        <f t="shared" si="21"/>
        <v>0.90973421875081772</v>
      </c>
      <c r="T18" s="16">
        <f t="shared" si="22"/>
        <v>-1.2488614598857946</v>
      </c>
      <c r="U18" s="16">
        <f t="shared" si="23"/>
        <v>-9.8583107314053772E-2</v>
      </c>
      <c r="V18" s="16">
        <f t="shared" si="1"/>
        <v>-1.3506785972260578</v>
      </c>
      <c r="W18" s="16">
        <f t="shared" si="24"/>
        <v>-0.87421336279621298</v>
      </c>
      <c r="X18" s="16">
        <f t="shared" si="25"/>
        <v>-0.76618863161880979</v>
      </c>
      <c r="Y18" s="16">
        <f t="shared" si="26"/>
        <v>1.2145808240167029</v>
      </c>
      <c r="Z18" s="16">
        <f t="shared" si="27"/>
        <v>8.6622918429352991E-2</v>
      </c>
      <c r="AA18" s="16">
        <f t="shared" si="2"/>
        <v>0.68148367295288281</v>
      </c>
      <c r="AB18" s="16">
        <f t="shared" si="3"/>
        <v>0.2618696613742485</v>
      </c>
      <c r="AC18" s="16">
        <f t="shared" si="4"/>
        <v>5.6992478552569295E-2</v>
      </c>
      <c r="AD18" s="17">
        <v>0.68790871012265198</v>
      </c>
      <c r="AE18" s="17">
        <v>0.25894601239861498</v>
      </c>
      <c r="AF18" s="17">
        <v>6.3388110834698502E-2</v>
      </c>
      <c r="AG18" s="18">
        <f t="shared" si="28"/>
        <v>9.073293825385155E-5</v>
      </c>
      <c r="AH18" s="19">
        <f t="shared" si="33"/>
        <v>-8.6502043594834488E-2</v>
      </c>
      <c r="AI18" s="19">
        <f t="shared" si="29"/>
        <v>6.6176964072929167E-2</v>
      </c>
      <c r="AJ18" s="19">
        <f t="shared" si="29"/>
        <v>2.0421637213304034E-2</v>
      </c>
      <c r="AK18" s="18">
        <f t="shared" si="30"/>
        <v>7.2954045925655124E-6</v>
      </c>
      <c r="AL18" s="18">
        <f t="shared" si="31"/>
        <v>2.4705176948079766E-5</v>
      </c>
      <c r="AM18" s="18">
        <f t="shared" si="32"/>
        <v>5.5978958289868661E-6</v>
      </c>
      <c r="AN18" s="18">
        <f t="shared" si="34"/>
        <v>1.1958654776689224E-7</v>
      </c>
      <c r="AP18" s="22" t="s">
        <v>68</v>
      </c>
      <c r="AQ18" s="22">
        <v>-1.1286395304414496</v>
      </c>
      <c r="AR18">
        <v>1.6994831292153469</v>
      </c>
      <c r="AV18">
        <v>1.8212362205896027</v>
      </c>
      <c r="AW18">
        <v>-0.4595878954031829</v>
      </c>
      <c r="AX18">
        <v>-1.1166458402593751</v>
      </c>
    </row>
    <row r="19" spans="1:54">
      <c r="A19" s="6">
        <v>15</v>
      </c>
      <c r="B19" s="16">
        <f t="shared" si="5"/>
        <v>-2.5053536553918514</v>
      </c>
      <c r="C19" s="16">
        <f t="shared" si="6"/>
        <v>7.5483720065203805E-2</v>
      </c>
      <c r="D19" s="16">
        <f t="shared" si="7"/>
        <v>0.24391877618616831</v>
      </c>
      <c r="E19" s="16">
        <f t="shared" si="8"/>
        <v>0.23252299734029214</v>
      </c>
      <c r="F19" s="16">
        <f t="shared" si="9"/>
        <v>0.23252299734029214</v>
      </c>
      <c r="G19" s="16">
        <f t="shared" si="10"/>
        <v>-0.109417166707097</v>
      </c>
      <c r="H19" s="16">
        <f t="shared" si="11"/>
        <v>-0.10898259599672448</v>
      </c>
      <c r="I19" s="16">
        <f t="shared" si="12"/>
        <v>-4.1736602507876051E-3</v>
      </c>
      <c r="J19" s="16">
        <f t="shared" si="13"/>
        <v>-9.5768449374430659E-2</v>
      </c>
      <c r="K19" s="16">
        <f t="shared" si="14"/>
        <v>0.11953126601487092</v>
      </c>
      <c r="L19" s="16">
        <f t="shared" si="15"/>
        <v>5.2948576194534969E-2</v>
      </c>
      <c r="M19" s="16">
        <f t="shared" si="16"/>
        <v>5.289915026375102E-2</v>
      </c>
      <c r="N19" s="16">
        <f t="shared" si="17"/>
        <v>0.26615411081797602</v>
      </c>
      <c r="O19" s="16">
        <f t="shared" si="18"/>
        <v>0.18953703419391399</v>
      </c>
      <c r="P19" s="16">
        <f t="shared" si="19"/>
        <v>-0.28239322953024854</v>
      </c>
      <c r="Q19" s="16">
        <f t="shared" si="20"/>
        <v>-37.270420652810003</v>
      </c>
      <c r="R19" s="16">
        <f t="shared" si="0"/>
        <v>-1</v>
      </c>
      <c r="S19" s="16">
        <f t="shared" si="21"/>
        <v>0.90973421875081772</v>
      </c>
      <c r="T19" s="16">
        <f t="shared" si="22"/>
        <v>-1.2488614598857946</v>
      </c>
      <c r="U19" s="16">
        <f t="shared" si="23"/>
        <v>-9.8583107314053772E-2</v>
      </c>
      <c r="V19" s="16">
        <f t="shared" si="1"/>
        <v>-1.4993159094643995</v>
      </c>
      <c r="W19" s="16">
        <f t="shared" si="24"/>
        <v>-0.90502455736960596</v>
      </c>
      <c r="X19" s="16">
        <f t="shared" si="25"/>
        <v>-0.83036749047821967</v>
      </c>
      <c r="Y19" s="16">
        <f t="shared" si="26"/>
        <v>1.2558929141716977</v>
      </c>
      <c r="Z19" s="16">
        <f t="shared" si="27"/>
        <v>0.110855103049464</v>
      </c>
      <c r="AA19" s="16">
        <f t="shared" si="2"/>
        <v>0.58526595502595491</v>
      </c>
      <c r="AB19" s="16">
        <f t="shared" si="3"/>
        <v>0.33332303644567862</v>
      </c>
      <c r="AC19" s="16">
        <f t="shared" si="4"/>
        <v>8.1933029560324735E-2</v>
      </c>
      <c r="AD19" s="17">
        <v>0.59497831839092707</v>
      </c>
      <c r="AE19" s="17">
        <v>0.33076845698165103</v>
      </c>
      <c r="AF19" s="17">
        <v>7.3720662375898097E-2</v>
      </c>
      <c r="AG19" s="18">
        <f t="shared" si="28"/>
        <v>1.6829885314313247E-4</v>
      </c>
      <c r="AH19" s="19">
        <f t="shared" si="33"/>
        <v>-9.6217717926927904E-2</v>
      </c>
      <c r="AI19" s="19">
        <f t="shared" si="29"/>
        <v>7.1453375071430125E-2</v>
      </c>
      <c r="AJ19" s="19">
        <f t="shared" si="29"/>
        <v>2.494055100775544E-2</v>
      </c>
      <c r="AK19" s="18">
        <f t="shared" si="30"/>
        <v>1.6749110416520417E-6</v>
      </c>
      <c r="AL19" s="18">
        <f t="shared" si="31"/>
        <v>9.4632407264163624E-6</v>
      </c>
      <c r="AM19" s="18">
        <f t="shared" si="32"/>
        <v>3.8347927631381115E-6</v>
      </c>
      <c r="AN19" s="18">
        <f t="shared" si="34"/>
        <v>2.7250595780681735E-7</v>
      </c>
      <c r="AP19" s="22" t="s">
        <v>69</v>
      </c>
      <c r="AQ19" s="22">
        <v>-3.4707999571624054E-3</v>
      </c>
      <c r="AR19">
        <v>-0.27470773900536993</v>
      </c>
      <c r="AV19">
        <v>-1.2580319810071363</v>
      </c>
      <c r="AW19">
        <v>-3.3406902819697404E-3</v>
      </c>
      <c r="AX19">
        <v>-3.4576139822131129E-3</v>
      </c>
    </row>
    <row r="20" spans="1:54">
      <c r="A20" s="6">
        <v>16</v>
      </c>
      <c r="B20" s="16">
        <f t="shared" si="5"/>
        <v>-2.7665098955526055</v>
      </c>
      <c r="C20" s="16">
        <f t="shared" si="6"/>
        <v>5.9160977390593707E-2</v>
      </c>
      <c r="D20" s="16">
        <f t="shared" si="7"/>
        <v>0.32450516695796999</v>
      </c>
      <c r="E20" s="16">
        <f t="shared" si="8"/>
        <v>0.19146293221298522</v>
      </c>
      <c r="F20" s="16">
        <f t="shared" si="9"/>
        <v>0.19146293221298522</v>
      </c>
      <c r="G20" s="16">
        <f t="shared" si="10"/>
        <v>-0.15607372051927615</v>
      </c>
      <c r="H20" s="16">
        <f t="shared" si="11"/>
        <v>-0.15481868079998298</v>
      </c>
      <c r="I20" s="16">
        <f t="shared" si="12"/>
        <v>-6.1722508105127947E-3</v>
      </c>
      <c r="J20" s="16">
        <f t="shared" si="13"/>
        <v>-0.14564763787345997</v>
      </c>
      <c r="K20" s="16">
        <f t="shared" si="14"/>
        <v>0.17126368324449506</v>
      </c>
      <c r="L20" s="16">
        <f t="shared" si="15"/>
        <v>0.22479265615281063</v>
      </c>
      <c r="M20" s="16">
        <f t="shared" si="16"/>
        <v>0.22108126742376158</v>
      </c>
      <c r="N20" s="16">
        <f t="shared" si="17"/>
        <v>0.13790883562789183</v>
      </c>
      <c r="O20" s="16">
        <f t="shared" si="18"/>
        <v>0.31895041338193897</v>
      </c>
      <c r="P20" s="16">
        <f t="shared" si="19"/>
        <v>-0.28270545114883305</v>
      </c>
      <c r="Q20" s="16">
        <f t="shared" si="20"/>
        <v>-39.28799765326864</v>
      </c>
      <c r="R20" s="16">
        <f t="shared" si="0"/>
        <v>-1</v>
      </c>
      <c r="S20" s="16">
        <f t="shared" si="21"/>
        <v>0.90973421875081772</v>
      </c>
      <c r="T20" s="16">
        <f t="shared" si="22"/>
        <v>-1.2488614598857946</v>
      </c>
      <c r="U20" s="16">
        <f t="shared" si="23"/>
        <v>-9.8583107314053772E-2</v>
      </c>
      <c r="V20" s="16">
        <f t="shared" si="1"/>
        <v>-1.6479532217027408</v>
      </c>
      <c r="W20" s="16">
        <f t="shared" si="24"/>
        <v>-0.92857622073761936</v>
      </c>
      <c r="X20" s="16">
        <f t="shared" si="25"/>
        <v>-0.87942494833171492</v>
      </c>
      <c r="Y20" s="16">
        <f t="shared" si="26"/>
        <v>1.2874713211056394</v>
      </c>
      <c r="Z20" s="16">
        <f t="shared" si="27"/>
        <v>0.12937785955878933</v>
      </c>
      <c r="AA20" s="16">
        <f t="shared" si="2"/>
        <v>0.48655102219445179</v>
      </c>
      <c r="AB20" s="16">
        <f t="shared" si="3"/>
        <v>0.4033755689413091</v>
      </c>
      <c r="AC20" s="16">
        <f t="shared" si="4"/>
        <v>0.11081591655338281</v>
      </c>
      <c r="AD20" s="17">
        <v>0.48898600704502004</v>
      </c>
      <c r="AE20" s="17">
        <v>0.40789980280525601</v>
      </c>
      <c r="AF20" s="17">
        <v>9.9755417736937704E-2</v>
      </c>
      <c r="AG20" s="18">
        <f t="shared" si="28"/>
        <v>1.4873247734676444E-4</v>
      </c>
      <c r="AH20" s="19">
        <f t="shared" si="33"/>
        <v>-9.8714932831503122E-2</v>
      </c>
      <c r="AI20" s="19">
        <f t="shared" si="29"/>
        <v>7.0052532495630482E-2</v>
      </c>
      <c r="AJ20" s="19">
        <f t="shared" si="29"/>
        <v>2.8882886993058077E-2</v>
      </c>
      <c r="AK20" s="18">
        <f t="shared" si="30"/>
        <v>3.7592130671191231E-7</v>
      </c>
      <c r="AL20" s="18">
        <f t="shared" si="31"/>
        <v>5.6138715021023532E-8</v>
      </c>
      <c r="AM20" s="18">
        <f t="shared" si="32"/>
        <v>1.146070824014491E-6</v>
      </c>
      <c r="AN20" s="18">
        <f t="shared" si="34"/>
        <v>5.5131766843742004E-7</v>
      </c>
      <c r="AP20" s="22" t="s">
        <v>81</v>
      </c>
      <c r="AQ20" s="22">
        <v>0.1718440799582758</v>
      </c>
      <c r="AR20">
        <v>1.3125896574989429</v>
      </c>
      <c r="AV20">
        <v>-8.928918630720363E-2</v>
      </c>
      <c r="AW20">
        <v>0.19820491028290049</v>
      </c>
      <c r="AX20">
        <v>0.17422660331224202</v>
      </c>
    </row>
    <row r="21" spans="1:54">
      <c r="A21" s="6">
        <v>17</v>
      </c>
      <c r="B21" s="16">
        <f t="shared" si="5"/>
        <v>-3.0276661357133596</v>
      </c>
      <c r="C21" s="16">
        <f t="shared" si="6"/>
        <v>4.6191543324555745E-2</v>
      </c>
      <c r="D21" s="16">
        <f t="shared" si="7"/>
        <v>0.38853606559858811</v>
      </c>
      <c r="E21" s="16">
        <f t="shared" si="8"/>
        <v>0.15883815719621239</v>
      </c>
      <c r="F21" s="16">
        <f t="shared" si="9"/>
        <v>0.15883815719621239</v>
      </c>
      <c r="G21" s="16">
        <f t="shared" si="10"/>
        <v>-0.2027302743314553</v>
      </c>
      <c r="H21" s="16">
        <f t="shared" si="11"/>
        <v>-0.19999781146528031</v>
      </c>
      <c r="I21" s="16">
        <f t="shared" si="12"/>
        <v>-8.1421962024856073E-3</v>
      </c>
      <c r="J21" s="16">
        <f t="shared" si="13"/>
        <v>-0.19481192370522976</v>
      </c>
      <c r="K21" s="16">
        <f t="shared" si="14"/>
        <v>0.22225463606432913</v>
      </c>
      <c r="L21" s="16">
        <f t="shared" si="15"/>
        <v>0.3966367361110863</v>
      </c>
      <c r="M21" s="16">
        <f t="shared" si="16"/>
        <v>0.37706755202470787</v>
      </c>
      <c r="N21" s="16">
        <f t="shared" si="17"/>
        <v>1.8963347651339557E-2</v>
      </c>
      <c r="O21" s="16">
        <f t="shared" si="18"/>
        <v>0.43897929955648723</v>
      </c>
      <c r="P21" s="16">
        <f t="shared" si="19"/>
        <v>-0.28299503181934371</v>
      </c>
      <c r="Q21" s="16">
        <f t="shared" si="20"/>
        <v>-41.305574653727277</v>
      </c>
      <c r="R21" s="16">
        <f t="shared" si="0"/>
        <v>-1</v>
      </c>
      <c r="S21" s="16">
        <f t="shared" si="21"/>
        <v>0.90973421875081772</v>
      </c>
      <c r="T21" s="16">
        <f t="shared" si="22"/>
        <v>-1.2488614598857946</v>
      </c>
      <c r="U21" s="16">
        <f t="shared" si="23"/>
        <v>-9.8583107314053772E-2</v>
      </c>
      <c r="V21" s="16">
        <f t="shared" si="1"/>
        <v>-1.7965905339410821</v>
      </c>
      <c r="W21" s="16">
        <f t="shared" si="24"/>
        <v>-0.94645179199603224</v>
      </c>
      <c r="X21" s="16">
        <f t="shared" si="25"/>
        <v>-0.91665926464789238</v>
      </c>
      <c r="Y21" s="16">
        <f t="shared" si="26"/>
        <v>1.3114391425946932</v>
      </c>
      <c r="Z21" s="16">
        <f t="shared" si="27"/>
        <v>0.14343652066951018</v>
      </c>
      <c r="AA21" s="16">
        <f t="shared" si="2"/>
        <v>0.39243217115036733</v>
      </c>
      <c r="AB21" s="16">
        <f t="shared" si="3"/>
        <v>0.46558321575636852</v>
      </c>
      <c r="AC21" s="16">
        <f t="shared" si="4"/>
        <v>0.1429511747966542</v>
      </c>
      <c r="AD21" s="17">
        <v>0.39651123517081099</v>
      </c>
      <c r="AE21" s="17">
        <v>0.47372642816447597</v>
      </c>
      <c r="AF21" s="17">
        <v>0.13353312106332502</v>
      </c>
      <c r="AG21" s="18">
        <f t="shared" si="28"/>
        <v>1.7165040773030896E-4</v>
      </c>
      <c r="AH21" s="19">
        <f t="shared" si="33"/>
        <v>-9.4118851044084462E-2</v>
      </c>
      <c r="AI21" s="19">
        <f t="shared" si="33"/>
        <v>6.2207646815059414E-2</v>
      </c>
      <c r="AJ21" s="19">
        <f t="shared" si="33"/>
        <v>3.2135258243271389E-2</v>
      </c>
      <c r="AK21" s="18">
        <f t="shared" si="30"/>
        <v>7.7923647443718086E-6</v>
      </c>
      <c r="AL21" s="18">
        <f t="shared" si="31"/>
        <v>8.8909598034466304E-6</v>
      </c>
      <c r="AM21" s="18">
        <f t="shared" si="32"/>
        <v>1.1399743095802097E-9</v>
      </c>
      <c r="AN21" s="18">
        <f t="shared" si="34"/>
        <v>9.3424152646026591E-7</v>
      </c>
      <c r="AP21" s="22" t="s">
        <v>82</v>
      </c>
      <c r="AQ21" s="22">
        <v>-2.5247126231796022</v>
      </c>
      <c r="AR21">
        <v>3.0642468078253877</v>
      </c>
      <c r="AV21">
        <v>1.3590206160036671</v>
      </c>
      <c r="AW21">
        <v>-3.0737312434095121</v>
      </c>
      <c r="AX21">
        <v>-2.5704451877485792</v>
      </c>
    </row>
    <row r="22" spans="1:54">
      <c r="A22" s="6">
        <v>18</v>
      </c>
      <c r="B22" s="16">
        <f t="shared" si="5"/>
        <v>-3.2888223758741137</v>
      </c>
      <c r="C22" s="16">
        <f t="shared" si="6"/>
        <v>3.5956644467899042E-2</v>
      </c>
      <c r="D22" s="16">
        <f t="shared" si="7"/>
        <v>0.43906639467467917</v>
      </c>
      <c r="E22" s="16">
        <f t="shared" si="8"/>
        <v>0.13309213999780295</v>
      </c>
      <c r="F22" s="16">
        <f t="shared" si="9"/>
        <v>0.13309213999780295</v>
      </c>
      <c r="G22" s="16">
        <f t="shared" si="10"/>
        <v>-0.24938682814363455</v>
      </c>
      <c r="H22" s="16">
        <f t="shared" si="11"/>
        <v>-0.24434218525236109</v>
      </c>
      <c r="I22" s="16">
        <f t="shared" si="12"/>
        <v>-1.0075743694776753E-2</v>
      </c>
      <c r="J22" s="16">
        <f t="shared" si="13"/>
        <v>-0.24306782052737666</v>
      </c>
      <c r="K22" s="16">
        <f t="shared" si="14"/>
        <v>0.27230344927310007</v>
      </c>
      <c r="L22" s="16">
        <f t="shared" si="15"/>
        <v>0.5684808160693624</v>
      </c>
      <c r="M22" s="16">
        <f t="shared" si="16"/>
        <v>0.51424270868287925</v>
      </c>
      <c r="N22" s="16">
        <f t="shared" si="17"/>
        <v>-8.5637938216246434E-2</v>
      </c>
      <c r="O22" s="16">
        <f t="shared" si="18"/>
        <v>0.54453333148064775</v>
      </c>
      <c r="P22" s="16">
        <f t="shared" si="19"/>
        <v>-0.28324969057952953</v>
      </c>
      <c r="Q22" s="16">
        <f t="shared" si="20"/>
        <v>-43.323151654185914</v>
      </c>
      <c r="R22" s="16">
        <f t="shared" si="0"/>
        <v>-1</v>
      </c>
      <c r="S22" s="16">
        <f t="shared" si="21"/>
        <v>0.90973421875081772</v>
      </c>
      <c r="T22" s="16">
        <f t="shared" si="22"/>
        <v>-1.2488614598857946</v>
      </c>
      <c r="U22" s="16">
        <f t="shared" si="23"/>
        <v>-9.8583107314053772E-2</v>
      </c>
      <c r="V22" s="16">
        <f t="shared" si="1"/>
        <v>-1.9452278461794239</v>
      </c>
      <c r="W22" s="16">
        <f t="shared" si="24"/>
        <v>-0.95994647240168385</v>
      </c>
      <c r="X22" s="16">
        <f t="shared" si="25"/>
        <v>-0.9447683075168456</v>
      </c>
      <c r="Y22" s="16">
        <f t="shared" si="26"/>
        <v>1.3295330029999806</v>
      </c>
      <c r="Z22" s="16">
        <f t="shared" si="27"/>
        <v>0.15404972770373304</v>
      </c>
      <c r="AA22" s="16">
        <f t="shared" si="2"/>
        <v>0.30831862399762811</v>
      </c>
      <c r="AB22" s="16">
        <f t="shared" si="3"/>
        <v>0.51522919406526002</v>
      </c>
      <c r="AC22" s="16">
        <f t="shared" si="4"/>
        <v>0.17761251908105274</v>
      </c>
      <c r="AD22" s="17">
        <v>0.31251275507811599</v>
      </c>
      <c r="AE22" s="17">
        <v>0.52750319456345507</v>
      </c>
      <c r="AF22" s="17">
        <v>0.171732007304878</v>
      </c>
      <c r="AG22" s="18">
        <f t="shared" si="28"/>
        <v>2.0282224249973656E-4</v>
      </c>
      <c r="AH22" s="19">
        <f t="shared" si="33"/>
        <v>-8.4113547152739221E-2</v>
      </c>
      <c r="AI22" s="19">
        <f t="shared" si="33"/>
        <v>4.9645978308891503E-2</v>
      </c>
      <c r="AJ22" s="19">
        <f t="shared" si="33"/>
        <v>3.4661344284398543E-2</v>
      </c>
      <c r="AK22" s="18">
        <f t="shared" si="30"/>
        <v>2.2185215590445183E-5</v>
      </c>
      <c r="AL22" s="18">
        <f t="shared" si="31"/>
        <v>3.3259265038740603E-5</v>
      </c>
      <c r="AM22" s="18">
        <f t="shared" si="32"/>
        <v>7.4509827986570438E-7</v>
      </c>
      <c r="AN22" s="18">
        <f t="shared" si="34"/>
        <v>1.3463822876087276E-6</v>
      </c>
      <c r="AP22" s="22" t="s">
        <v>83</v>
      </c>
      <c r="AQ22" s="22">
        <v>-0.76253811853295927</v>
      </c>
      <c r="AR22">
        <v>4.4064075425088483</v>
      </c>
      <c r="AV22">
        <v>-4.7448828147313113</v>
      </c>
      <c r="AW22">
        <v>-0.48192085850192568</v>
      </c>
      <c r="AX22">
        <v>-0.73044302214574686</v>
      </c>
    </row>
    <row r="23" spans="1:54">
      <c r="A23" s="6">
        <v>19</v>
      </c>
      <c r="B23" s="16">
        <f t="shared" si="5"/>
        <v>-3.5499786160348679</v>
      </c>
      <c r="C23" s="16">
        <f t="shared" si="6"/>
        <v>2.7923154212837756E-2</v>
      </c>
      <c r="D23" s="16">
        <f t="shared" si="7"/>
        <v>0.47872823324319619</v>
      </c>
      <c r="E23" s="16">
        <f t="shared" si="8"/>
        <v>0.11288379390989398</v>
      </c>
      <c r="F23" s="16">
        <f t="shared" si="9"/>
        <v>0.11288379390989398</v>
      </c>
      <c r="G23" s="16">
        <f t="shared" si="10"/>
        <v>-0.2960433819558137</v>
      </c>
      <c r="H23" s="16">
        <f t="shared" si="11"/>
        <v>-0.28768760572285546</v>
      </c>
      <c r="I23" s="16">
        <f t="shared" si="12"/>
        <v>-1.1965733830965055E-2</v>
      </c>
      <c r="J23" s="16">
        <f t="shared" si="13"/>
        <v>-0.29023664848241548</v>
      </c>
      <c r="K23" s="16">
        <f t="shared" si="14"/>
        <v>0.32122480427970607</v>
      </c>
      <c r="L23" s="16">
        <f t="shared" si="15"/>
        <v>0.74032489602763807</v>
      </c>
      <c r="M23" s="16">
        <f t="shared" si="16"/>
        <v>0.62934141579267144</v>
      </c>
      <c r="N23" s="16">
        <f t="shared" si="17"/>
        <v>-0.17340508978132352</v>
      </c>
      <c r="O23" s="16">
        <f t="shared" si="18"/>
        <v>0.63309989776473952</v>
      </c>
      <c r="P23" s="16">
        <f t="shared" si="19"/>
        <v>-0.28346336552450968</v>
      </c>
      <c r="Q23" s="16">
        <f t="shared" si="20"/>
        <v>-45.340728654644558</v>
      </c>
      <c r="R23" s="16">
        <f t="shared" si="0"/>
        <v>-1</v>
      </c>
      <c r="S23" s="16">
        <f t="shared" si="21"/>
        <v>0.90973421875081772</v>
      </c>
      <c r="T23" s="16">
        <f t="shared" si="22"/>
        <v>-1.2488614598857946</v>
      </c>
      <c r="U23" s="16">
        <f t="shared" si="23"/>
        <v>-9.8583107314053772E-2</v>
      </c>
      <c r="V23" s="16">
        <f t="shared" si="1"/>
        <v>-2.0938651584177652</v>
      </c>
      <c r="W23" s="16">
        <f t="shared" si="24"/>
        <v>-0.97009261274289205</v>
      </c>
      <c r="X23" s="16">
        <f t="shared" si="25"/>
        <v>-0.96590243483459903</v>
      </c>
      <c r="Y23" s="16">
        <f t="shared" si="26"/>
        <v>1.343137093016769</v>
      </c>
      <c r="Z23" s="16">
        <f t="shared" si="27"/>
        <v>0.16202939708474517</v>
      </c>
      <c r="AA23" s="16">
        <f t="shared" si="2"/>
        <v>0.23718919354712642</v>
      </c>
      <c r="AB23" s="16">
        <f t="shared" si="3"/>
        <v>0.55002267632319246</v>
      </c>
      <c r="AC23" s="16">
        <f t="shared" si="4"/>
        <v>0.21409152243578172</v>
      </c>
      <c r="AD23" s="17">
        <v>0.23552071001902899</v>
      </c>
      <c r="AE23" s="17">
        <v>0.55793614971574401</v>
      </c>
      <c r="AF23" s="17">
        <v>0.208737490794312</v>
      </c>
      <c r="AG23" s="18">
        <f t="shared" si="28"/>
        <v>9.4072553236012723E-5</v>
      </c>
      <c r="AH23" s="19">
        <f t="shared" si="33"/>
        <v>-7.1129430450501685E-2</v>
      </c>
      <c r="AI23" s="19">
        <f t="shared" si="33"/>
        <v>3.479348225793244E-2</v>
      </c>
      <c r="AJ23" s="19">
        <f t="shared" si="33"/>
        <v>3.6479003354728978E-2</v>
      </c>
      <c r="AK23" s="18">
        <f t="shared" si="30"/>
        <v>3.5039075404296279E-5</v>
      </c>
      <c r="AL23" s="18">
        <f t="shared" si="31"/>
        <v>5.6354205392732278E-5</v>
      </c>
      <c r="AM23" s="18">
        <f t="shared" si="32"/>
        <v>2.0866013782001825E-6</v>
      </c>
      <c r="AN23" s="18">
        <f t="shared" si="34"/>
        <v>1.6988315036021049E-6</v>
      </c>
      <c r="AP23" s="22" t="s">
        <v>84</v>
      </c>
      <c r="AQ23" s="22">
        <v>0.30649172933208901</v>
      </c>
      <c r="AR23">
        <v>7.1542313646184947</v>
      </c>
      <c r="AV23">
        <v>3.9249102036149544</v>
      </c>
      <c r="AW23">
        <v>6.7675242947319872E-2</v>
      </c>
      <c r="AX23">
        <v>0.17132877135125008</v>
      </c>
    </row>
    <row r="24" spans="1:54">
      <c r="A24" s="6">
        <v>20</v>
      </c>
      <c r="B24" s="16">
        <f t="shared" si="5"/>
        <v>-3.811134856195622</v>
      </c>
      <c r="C24" s="16">
        <f t="shared" si="6"/>
        <v>2.1644221836119693E-2</v>
      </c>
      <c r="D24" s="16">
        <f t="shared" si="7"/>
        <v>0.50972771097967939</v>
      </c>
      <c r="E24" s="16">
        <f t="shared" si="8"/>
        <v>9.7089060300631941E-2</v>
      </c>
      <c r="F24" s="16">
        <f t="shared" si="9"/>
        <v>9.7089060300631941E-2</v>
      </c>
      <c r="G24" s="16">
        <f t="shared" si="10"/>
        <v>-0.34269993576799296</v>
      </c>
      <c r="H24" s="16">
        <f t="shared" si="11"/>
        <v>-0.32988565041177786</v>
      </c>
      <c r="I24" s="16">
        <f t="shared" si="12"/>
        <v>-1.3805694947106163E-2</v>
      </c>
      <c r="J24" s="16">
        <f t="shared" si="13"/>
        <v>-0.33615689307493773</v>
      </c>
      <c r="K24" s="16">
        <f t="shared" si="14"/>
        <v>0.36885118562295871</v>
      </c>
      <c r="L24" s="16">
        <f t="shared" si="15"/>
        <v>0.91216897598591373</v>
      </c>
      <c r="M24" s="16">
        <f t="shared" si="16"/>
        <v>0.72217166633900276</v>
      </c>
      <c r="N24" s="16">
        <f t="shared" si="17"/>
        <v>-0.24419169437586619</v>
      </c>
      <c r="O24" s="16">
        <f t="shared" si="18"/>
        <v>0.70453125216160428</v>
      </c>
      <c r="P24" s="16">
        <f t="shared" si="19"/>
        <v>-0.28363570020294404</v>
      </c>
      <c r="Q24" s="16">
        <f t="shared" si="20"/>
        <v>-47.358305655103194</v>
      </c>
      <c r="R24" s="16">
        <f t="shared" si="0"/>
        <v>-1</v>
      </c>
      <c r="S24" s="16">
        <f t="shared" si="21"/>
        <v>0.90973421875081772</v>
      </c>
      <c r="T24" s="16">
        <f t="shared" si="22"/>
        <v>-1.2488614598857946</v>
      </c>
      <c r="U24" s="16">
        <f t="shared" si="23"/>
        <v>-9.8583107314053772E-2</v>
      </c>
      <c r="V24" s="16">
        <f t="shared" si="1"/>
        <v>-2.242502470656107</v>
      </c>
      <c r="W24" s="16">
        <f t="shared" si="24"/>
        <v>-0.97769783417621936</v>
      </c>
      <c r="X24" s="16">
        <f t="shared" si="25"/>
        <v>-0.98174389894276337</v>
      </c>
      <c r="Y24" s="16">
        <f t="shared" si="26"/>
        <v>1.3533342826373764</v>
      </c>
      <c r="Z24" s="16">
        <f t="shared" si="27"/>
        <v>0.16801070136070329</v>
      </c>
      <c r="AA24" s="16">
        <f t="shared" si="2"/>
        <v>0.17972064146476141</v>
      </c>
      <c r="AB24" s="16">
        <f t="shared" si="3"/>
        <v>0.56993624213888039</v>
      </c>
      <c r="AC24" s="16">
        <f t="shared" si="4"/>
        <v>0.25173213976729608</v>
      </c>
      <c r="AD24" s="17">
        <v>0.188024971201353</v>
      </c>
      <c r="AE24" s="17">
        <v>0.5772776209197521</v>
      </c>
      <c r="AF24" s="17">
        <v>0.245867937524964</v>
      </c>
      <c r="AG24" s="18">
        <f t="shared" si="28"/>
        <v>1.5724660271724543E-4</v>
      </c>
      <c r="AH24" s="19">
        <f t="shared" si="33"/>
        <v>-5.746855208236501E-2</v>
      </c>
      <c r="AI24" s="19">
        <f t="shared" si="33"/>
        <v>1.9913565815687928E-2</v>
      </c>
      <c r="AJ24" s="19">
        <f t="shared" si="33"/>
        <v>3.7640617331514359E-2</v>
      </c>
      <c r="AK24" s="18">
        <f t="shared" si="30"/>
        <v>3.9304637490415411E-5</v>
      </c>
      <c r="AL24" s="18">
        <f t="shared" si="31"/>
        <v>6.4174291636523402E-5</v>
      </c>
      <c r="AM24" s="18">
        <f t="shared" si="32"/>
        <v>2.7420501257524789E-6</v>
      </c>
      <c r="AN24" s="18">
        <f t="shared" si="34"/>
        <v>1.9293859250117875E-6</v>
      </c>
      <c r="AP24" s="22" t="s">
        <v>85</v>
      </c>
      <c r="AQ24" s="22">
        <v>0.76948358941693829</v>
      </c>
      <c r="AR24">
        <v>-5.3242286821337208</v>
      </c>
      <c r="AV24">
        <v>0.47532114472736725</v>
      </c>
      <c r="AW24">
        <v>0.45196789995576114</v>
      </c>
      <c r="AX24">
        <v>0.74392550607767149</v>
      </c>
    </row>
    <row r="25" spans="1:54">
      <c r="A25" s="6">
        <v>21</v>
      </c>
      <c r="B25" s="16">
        <f t="shared" si="5"/>
        <v>-4.0722910963563752</v>
      </c>
      <c r="C25" s="16">
        <f t="shared" si="6"/>
        <v>1.6752866856818691E-2</v>
      </c>
      <c r="D25" s="16">
        <f t="shared" si="7"/>
        <v>0.53387663323026946</v>
      </c>
      <c r="E25" s="16">
        <f t="shared" si="8"/>
        <v>8.4784795140385311E-2</v>
      </c>
      <c r="F25" s="16">
        <f t="shared" si="9"/>
        <v>8.4784795140385311E-2</v>
      </c>
      <c r="G25" s="16">
        <f t="shared" si="10"/>
        <v>-0.3893564895801721</v>
      </c>
      <c r="H25" s="16">
        <f t="shared" si="11"/>
        <v>-0.37080533043162639</v>
      </c>
      <c r="I25" s="16">
        <f t="shared" si="12"/>
        <v>-1.5589915535441205E-2</v>
      </c>
      <c r="J25" s="16">
        <f t="shared" si="13"/>
        <v>-0.38068601116586354</v>
      </c>
      <c r="K25" s="16">
        <f t="shared" si="14"/>
        <v>0.41503475406637497</v>
      </c>
      <c r="L25" s="16">
        <f t="shared" si="15"/>
        <v>1.0840130559441898</v>
      </c>
      <c r="M25" s="16">
        <f t="shared" si="16"/>
        <v>0.79468254943829908</v>
      </c>
      <c r="N25" s="16">
        <f t="shared" si="17"/>
        <v>-0.29948400674756692</v>
      </c>
      <c r="O25" s="16">
        <f t="shared" si="18"/>
        <v>0.76032718676064281</v>
      </c>
      <c r="P25" s="16">
        <f t="shared" si="19"/>
        <v>-0.28377031300047895</v>
      </c>
      <c r="Q25" s="16">
        <f t="shared" si="20"/>
        <v>-49.375882655561831</v>
      </c>
      <c r="R25" s="16">
        <f t="shared" si="0"/>
        <v>-1</v>
      </c>
      <c r="S25" s="16">
        <f t="shared" si="21"/>
        <v>0.90973421875081772</v>
      </c>
      <c r="T25" s="16">
        <f t="shared" si="22"/>
        <v>-1.2488614598857946</v>
      </c>
      <c r="U25" s="16">
        <f t="shared" si="23"/>
        <v>-9.8583107314053772E-2</v>
      </c>
      <c r="V25" s="16">
        <f t="shared" si="1"/>
        <v>-2.3911397828944483</v>
      </c>
      <c r="W25" s="16">
        <f t="shared" si="24"/>
        <v>-0.98338541534045221</v>
      </c>
      <c r="X25" s="16">
        <f t="shared" si="25"/>
        <v>-0.99359097186040857</v>
      </c>
      <c r="Y25" s="16">
        <f t="shared" si="26"/>
        <v>1.3609602727709607</v>
      </c>
      <c r="Z25" s="16">
        <f t="shared" si="27"/>
        <v>0.17248383259504285</v>
      </c>
      <c r="AA25" s="16">
        <f t="shared" si="2"/>
        <v>0.13494595783767038</v>
      </c>
      <c r="AB25" s="16">
        <f t="shared" si="3"/>
        <v>0.57652478362033066</v>
      </c>
      <c r="AC25" s="16">
        <f t="shared" si="4"/>
        <v>0.28994996148727042</v>
      </c>
      <c r="AD25" s="17">
        <v>0.137907399961987</v>
      </c>
      <c r="AE25" s="17">
        <v>0.57947852857229998</v>
      </c>
      <c r="AF25" s="17">
        <v>0.28965693379235602</v>
      </c>
      <c r="AG25" s="18">
        <f t="shared" si="28"/>
        <v>1.7580613926948013E-5</v>
      </c>
      <c r="AH25" s="19">
        <f t="shared" si="33"/>
        <v>-4.4774683627091028E-2</v>
      </c>
      <c r="AI25" s="19">
        <f t="shared" si="33"/>
        <v>6.5885414814502719E-3</v>
      </c>
      <c r="AJ25" s="19">
        <f t="shared" si="33"/>
        <v>3.8217821719974343E-2</v>
      </c>
      <c r="AK25" s="18">
        <f t="shared" si="30"/>
        <v>3.4651686790053048E-5</v>
      </c>
      <c r="AL25" s="18">
        <f t="shared" si="31"/>
        <v>5.5520836244734331E-5</v>
      </c>
      <c r="AM25" s="18">
        <f t="shared" si="32"/>
        <v>2.3500356738736163E-6</v>
      </c>
      <c r="AN25" s="18">
        <f t="shared" si="34"/>
        <v>2.018396858703182E-6</v>
      </c>
      <c r="AP25" s="22" t="s">
        <v>86</v>
      </c>
      <c r="AQ25" s="22">
        <v>0.14883200617185688</v>
      </c>
      <c r="AR25">
        <v>6.8603842297015829</v>
      </c>
      <c r="AV25">
        <v>1.7605231609365932</v>
      </c>
      <c r="AW25">
        <v>5.4982082298761295E-2</v>
      </c>
      <c r="AX25">
        <v>9.4786352285014266E-2</v>
      </c>
    </row>
    <row r="26" spans="1:54">
      <c r="A26" s="6">
        <v>22</v>
      </c>
      <c r="B26" s="16">
        <f t="shared" si="5"/>
        <v>-4.3334473365171293</v>
      </c>
      <c r="C26" s="16">
        <f t="shared" si="6"/>
        <v>1.295226997507417E-2</v>
      </c>
      <c r="D26" s="16">
        <f t="shared" si="7"/>
        <v>0.55264041524802832</v>
      </c>
      <c r="E26" s="16">
        <f t="shared" si="8"/>
        <v>7.5224345735653314E-2</v>
      </c>
      <c r="F26" s="16">
        <f t="shared" si="9"/>
        <v>7.5224345735653314E-2</v>
      </c>
      <c r="G26" s="16">
        <f t="shared" si="10"/>
        <v>-0.43601304339235125</v>
      </c>
      <c r="H26" s="16">
        <f t="shared" si="11"/>
        <v>-0.41033421910854484</v>
      </c>
      <c r="I26" s="16">
        <f t="shared" si="12"/>
        <v>-1.7313493456313295E-2</v>
      </c>
      <c r="J26" s="16">
        <f t="shared" si="13"/>
        <v>-0.42370165916320285</v>
      </c>
      <c r="K26" s="16">
        <f t="shared" si="14"/>
        <v>0.45964862042156451</v>
      </c>
      <c r="L26" s="16">
        <f t="shared" si="15"/>
        <v>1.2558571359024655</v>
      </c>
      <c r="M26" s="16">
        <f t="shared" si="16"/>
        <v>0.84991792926223864</v>
      </c>
      <c r="N26" s="16">
        <f t="shared" si="17"/>
        <v>-0.34160308935496719</v>
      </c>
      <c r="O26" s="16">
        <f t="shared" si="18"/>
        <v>0.80282990509037566</v>
      </c>
      <c r="P26" s="16">
        <f t="shared" si="19"/>
        <v>-0.28387285469743806</v>
      </c>
      <c r="Q26" s="16">
        <f t="shared" si="20"/>
        <v>-51.393459656020468</v>
      </c>
      <c r="R26" s="16">
        <f t="shared" si="0"/>
        <v>-1</v>
      </c>
      <c r="S26" s="16">
        <f t="shared" si="21"/>
        <v>0.90973421875081772</v>
      </c>
      <c r="T26" s="16">
        <f t="shared" si="22"/>
        <v>-1.2488614598857946</v>
      </c>
      <c r="U26" s="16">
        <f t="shared" si="23"/>
        <v>-9.8583107314053772E-2</v>
      </c>
      <c r="V26" s="16">
        <f t="shared" si="1"/>
        <v>-2.5397770951327896</v>
      </c>
      <c r="W26" s="16">
        <f t="shared" si="24"/>
        <v>-0.9876315995690611</v>
      </c>
      <c r="X26" s="16">
        <f t="shared" si="25"/>
        <v>-1.0024356551669842</v>
      </c>
      <c r="Y26" s="16">
        <f t="shared" si="26"/>
        <v>1.3666536172873232</v>
      </c>
      <c r="Z26" s="16">
        <f t="shared" si="27"/>
        <v>0.17582334349630169</v>
      </c>
      <c r="AA26" s="16">
        <f t="shared" si="2"/>
        <v>0.10102239602058138</v>
      </c>
      <c r="AB26" s="16">
        <f t="shared" si="3"/>
        <v>0.57214474906435475</v>
      </c>
      <c r="AC26" s="16">
        <f t="shared" si="4"/>
        <v>0.32824034764202764</v>
      </c>
      <c r="AD26" s="17">
        <v>9.9076317792327895E-2</v>
      </c>
      <c r="AE26" s="17">
        <v>0.57261055388682602</v>
      </c>
      <c r="AF26" s="17">
        <v>0.33141838551950203</v>
      </c>
      <c r="AG26" s="18">
        <f t="shared" si="28"/>
        <v>1.4104119353781681E-5</v>
      </c>
      <c r="AH26" s="19">
        <f t="shared" si="33"/>
        <v>-3.3923561817088999E-2</v>
      </c>
      <c r="AI26" s="19">
        <f t="shared" si="33"/>
        <v>-4.3800345559759091E-3</v>
      </c>
      <c r="AJ26" s="19">
        <f t="shared" si="33"/>
        <v>3.8290386154757217E-2</v>
      </c>
      <c r="AK26" s="18">
        <f t="shared" si="30"/>
        <v>2.5326651075805138E-5</v>
      </c>
      <c r="AL26" s="18">
        <f t="shared" si="31"/>
        <v>3.8164818353884138E-5</v>
      </c>
      <c r="AM26" s="18">
        <f t="shared" si="32"/>
        <v>1.3419350253514051E-6</v>
      </c>
      <c r="AN26" s="18">
        <f t="shared" si="34"/>
        <v>1.9810357764560861E-6</v>
      </c>
      <c r="AP26" s="22" t="s">
        <v>87</v>
      </c>
      <c r="AQ26" s="22">
        <v>-1.8564495670337416E-3</v>
      </c>
      <c r="AR26">
        <v>-3.459281967448808</v>
      </c>
      <c r="AV26">
        <v>4.1197063135313847</v>
      </c>
      <c r="AW26">
        <v>3.1604597277335049E-2</v>
      </c>
      <c r="AX26">
        <v>-1.6777591460894893E-2</v>
      </c>
      <c r="BB26" s="4"/>
    </row>
    <row r="27" spans="1:54">
      <c r="A27" s="6">
        <v>23</v>
      </c>
      <c r="B27" s="16">
        <f t="shared" si="5"/>
        <v>-4.5946035766778834</v>
      </c>
      <c r="C27" s="16">
        <f t="shared" si="6"/>
        <v>1.000511240041219E-2</v>
      </c>
      <c r="D27" s="16">
        <f t="shared" si="7"/>
        <v>0.567190714588789</v>
      </c>
      <c r="E27" s="16">
        <f t="shared" si="8"/>
        <v>6.7810733674961599E-2</v>
      </c>
      <c r="F27" s="16">
        <f t="shared" si="9"/>
        <v>6.7810733674961599E-2</v>
      </c>
      <c r="G27" s="16">
        <f t="shared" si="10"/>
        <v>-0.48266959720453051</v>
      </c>
      <c r="H27" s="16">
        <f t="shared" si="11"/>
        <v>-0.44837905258745386</v>
      </c>
      <c r="I27" s="16">
        <f t="shared" si="12"/>
        <v>-1.8972362126349857E-2</v>
      </c>
      <c r="J27" s="16">
        <f t="shared" si="13"/>
        <v>-0.46510234660528954</v>
      </c>
      <c r="K27" s="16">
        <f t="shared" si="14"/>
        <v>0.50258752341492363</v>
      </c>
      <c r="L27" s="16">
        <f t="shared" si="15"/>
        <v>1.4277012158607412</v>
      </c>
      <c r="M27" s="16">
        <f t="shared" si="16"/>
        <v>0.89119454088028505</v>
      </c>
      <c r="N27" s="16">
        <f t="shared" si="17"/>
        <v>-0.37307807911760804</v>
      </c>
      <c r="O27" s="16">
        <f t="shared" si="18"/>
        <v>0.83459158035719894</v>
      </c>
      <c r="P27" s="16">
        <f t="shared" si="19"/>
        <v>-0.28394948264520498</v>
      </c>
      <c r="Q27" s="16">
        <f t="shared" si="20"/>
        <v>-53.411036656479105</v>
      </c>
      <c r="R27" s="16">
        <f t="shared" si="0"/>
        <v>-1</v>
      </c>
      <c r="S27" s="16">
        <f t="shared" si="21"/>
        <v>0.90973421875081772</v>
      </c>
      <c r="T27" s="16">
        <f t="shared" si="22"/>
        <v>-1.2488614598857946</v>
      </c>
      <c r="U27" s="16">
        <f t="shared" si="23"/>
        <v>-9.8583107314053772E-2</v>
      </c>
      <c r="V27" s="16">
        <f t="shared" si="1"/>
        <v>-2.6884144073711314</v>
      </c>
      <c r="W27" s="16">
        <f t="shared" si="24"/>
        <v>-0.99079762283511463</v>
      </c>
      <c r="X27" s="16">
        <f t="shared" si="25"/>
        <v>-1.0090303933181992</v>
      </c>
      <c r="Y27" s="16">
        <f t="shared" si="26"/>
        <v>1.3708986665433154</v>
      </c>
      <c r="Z27" s="16">
        <f t="shared" si="27"/>
        <v>0.17831333654450465</v>
      </c>
      <c r="AA27" s="16">
        <f t="shared" si="2"/>
        <v>7.5844098777449576E-2</v>
      </c>
      <c r="AB27" s="16">
        <f t="shared" si="3"/>
        <v>0.55933717408439176</v>
      </c>
      <c r="AC27" s="16">
        <f t="shared" si="4"/>
        <v>0.36617900367513112</v>
      </c>
      <c r="AD27" s="17">
        <v>7.6771548896384309E-2</v>
      </c>
      <c r="AE27" s="17">
        <v>0.554625055849157</v>
      </c>
      <c r="AF27" s="17">
        <v>0.37486334043008496</v>
      </c>
      <c r="AG27" s="18">
        <f t="shared" si="28"/>
        <v>9.8481926859386151E-5</v>
      </c>
      <c r="AH27" s="19">
        <f t="shared" si="33"/>
        <v>-2.5178297243131809E-2</v>
      </c>
      <c r="AI27" s="19">
        <f t="shared" si="33"/>
        <v>-1.2807574979962988E-2</v>
      </c>
      <c r="AJ27" s="19">
        <f t="shared" si="33"/>
        <v>3.7938656033103479E-2</v>
      </c>
      <c r="AK27" s="18">
        <f t="shared" si="30"/>
        <v>1.5788551388553233E-5</v>
      </c>
      <c r="AL27" s="18">
        <f t="shared" si="31"/>
        <v>2.0732948134260357E-5</v>
      </c>
      <c r="AM27" s="18">
        <f t="shared" si="32"/>
        <v>3.9322919213679822E-7</v>
      </c>
      <c r="AN27" s="18">
        <f t="shared" si="34"/>
        <v>1.8503522570377885E-6</v>
      </c>
      <c r="AP27" s="22" t="s">
        <v>88</v>
      </c>
      <c r="AQ27" s="22">
        <v>-0.28229502492564496</v>
      </c>
      <c r="AR27">
        <v>4.9816326549705414E-2</v>
      </c>
      <c r="AV27">
        <v>-8.3560108036064378</v>
      </c>
      <c r="AW27">
        <v>-8.3128093043605425E-2</v>
      </c>
      <c r="AX27">
        <v>-0.19228380359493491</v>
      </c>
      <c r="BB27" s="4"/>
    </row>
    <row r="28" spans="1:54">
      <c r="A28" s="6">
        <v>24</v>
      </c>
      <c r="B28" s="16">
        <f t="shared" si="5"/>
        <v>-4.8557598168386376</v>
      </c>
      <c r="C28" s="16">
        <f t="shared" si="6"/>
        <v>7.7233034422260665E-3</v>
      </c>
      <c r="D28" s="16">
        <f t="shared" si="7"/>
        <v>0.57845614663269507</v>
      </c>
      <c r="E28" s="16">
        <f t="shared" si="8"/>
        <v>6.2070814453118413E-2</v>
      </c>
      <c r="F28" s="16">
        <f t="shared" si="9"/>
        <v>6.2070814453118413E-2</v>
      </c>
      <c r="G28" s="16">
        <f t="shared" si="10"/>
        <v>-0.52932615101670955</v>
      </c>
      <c r="H28" s="16">
        <f t="shared" si="11"/>
        <v>-0.48486582849000742</v>
      </c>
      <c r="I28" s="16">
        <f t="shared" si="12"/>
        <v>-2.0563294820244951E-2</v>
      </c>
      <c r="J28" s="16">
        <f t="shared" si="13"/>
        <v>-0.50480754352114676</v>
      </c>
      <c r="K28" s="16">
        <f t="shared" si="14"/>
        <v>0.54376794103690407</v>
      </c>
      <c r="L28" s="16">
        <f t="shared" si="15"/>
        <v>1.5995452958190173</v>
      </c>
      <c r="M28" s="16">
        <f t="shared" si="16"/>
        <v>0.92160008042393982</v>
      </c>
      <c r="N28" s="16">
        <f t="shared" si="17"/>
        <v>-0.39626346203420604</v>
      </c>
      <c r="O28" s="16">
        <f t="shared" si="18"/>
        <v>0.85798814406340906</v>
      </c>
      <c r="P28" s="16">
        <f t="shared" si="19"/>
        <v>-0.28400592899592625</v>
      </c>
      <c r="Q28" s="16">
        <f t="shared" si="20"/>
        <v>-55.428613656937742</v>
      </c>
      <c r="R28" s="16">
        <f t="shared" si="0"/>
        <v>-1</v>
      </c>
      <c r="S28" s="16">
        <f t="shared" si="21"/>
        <v>0.90973421875081772</v>
      </c>
      <c r="T28" s="16">
        <f t="shared" si="22"/>
        <v>-1.2488614598857946</v>
      </c>
      <c r="U28" s="16">
        <f t="shared" si="23"/>
        <v>-9.8583107314053772E-2</v>
      </c>
      <c r="V28" s="16">
        <f t="shared" si="1"/>
        <v>-2.8370517196094727</v>
      </c>
      <c r="W28" s="16">
        <f t="shared" si="24"/>
        <v>-0.9931560082129316</v>
      </c>
      <c r="X28" s="16">
        <f t="shared" si="25"/>
        <v>-1.0139428442761933</v>
      </c>
      <c r="Y28" s="16">
        <f t="shared" si="26"/>
        <v>1.3740608233729221</v>
      </c>
      <c r="Z28" s="16">
        <f t="shared" si="27"/>
        <v>0.18016814388553459</v>
      </c>
      <c r="AA28" s="16">
        <f t="shared" si="2"/>
        <v>5.742076425286835E-2</v>
      </c>
      <c r="AB28" s="16">
        <f t="shared" si="3"/>
        <v>0.54045077848250833</v>
      </c>
      <c r="AC28" s="16">
        <f t="shared" si="4"/>
        <v>0.40341786306557709</v>
      </c>
      <c r="AD28" s="17">
        <v>5.50331848909218E-2</v>
      </c>
      <c r="AE28" s="17">
        <v>0.53385373128166391</v>
      </c>
      <c r="AF28" s="17">
        <v>0.41205954274061996</v>
      </c>
      <c r="AG28" s="18">
        <f t="shared" si="28"/>
        <v>1.2390019458581128E-4</v>
      </c>
      <c r="AH28" s="19">
        <f t="shared" si="33"/>
        <v>-1.8423334524581225E-2</v>
      </c>
      <c r="AI28" s="19">
        <f t="shared" si="33"/>
        <v>-1.8886395601883432E-2</v>
      </c>
      <c r="AJ28" s="19">
        <f t="shared" si="33"/>
        <v>3.7238859390445966E-2</v>
      </c>
      <c r="AK28" s="18">
        <f t="shared" si="30"/>
        <v>8.4766271853414255E-6</v>
      </c>
      <c r="AL28" s="18">
        <f t="shared" si="31"/>
        <v>8.20978701656326E-6</v>
      </c>
      <c r="AM28" s="18">
        <f t="shared" si="32"/>
        <v>6.0903047612429247E-10</v>
      </c>
      <c r="AN28" s="18">
        <f t="shared" si="34"/>
        <v>1.6625673195333738E-6</v>
      </c>
      <c r="AP28" s="22" t="s">
        <v>89</v>
      </c>
      <c r="AQ28" s="22">
        <v>-2.0175770004586382</v>
      </c>
      <c r="AR28">
        <v>0.24302269412522728</v>
      </c>
      <c r="AV28">
        <v>5.1800580080535239</v>
      </c>
      <c r="AW28">
        <v>-1.1631763919777596</v>
      </c>
      <c r="AX28">
        <v>-2.0176133846299114</v>
      </c>
    </row>
    <row r="29" spans="1:54">
      <c r="A29" s="6">
        <v>25</v>
      </c>
      <c r="B29" s="16">
        <f t="shared" si="5"/>
        <v>-5.1169160569993917</v>
      </c>
      <c r="C29" s="16">
        <f t="shared" si="6"/>
        <v>5.9587613741376201E-3</v>
      </c>
      <c r="D29" s="16">
        <f t="shared" si="7"/>
        <v>0.58716780002740587</v>
      </c>
      <c r="E29" s="16">
        <f t="shared" si="8"/>
        <v>5.7632086619205838E-2</v>
      </c>
      <c r="F29" s="16">
        <f t="shared" si="9"/>
        <v>5.7632086619205838E-2</v>
      </c>
      <c r="G29" s="16">
        <f t="shared" si="10"/>
        <v>-0.5759827048288888</v>
      </c>
      <c r="H29" s="16">
        <f t="shared" si="11"/>
        <v>-0.5197394478530124</v>
      </c>
      <c r="I29" s="16">
        <f t="shared" si="12"/>
        <v>-2.2083889058202126E-2</v>
      </c>
      <c r="J29" s="16">
        <f t="shared" si="13"/>
        <v>-0.54275729078505497</v>
      </c>
      <c r="K29" s="16">
        <f t="shared" si="14"/>
        <v>0.58312768641955981</v>
      </c>
      <c r="L29" s="16">
        <f t="shared" si="15"/>
        <v>1.7713893757772929</v>
      </c>
      <c r="M29" s="16">
        <f t="shared" si="16"/>
        <v>0.94376150191214103</v>
      </c>
      <c r="N29" s="16">
        <f t="shared" si="17"/>
        <v>-0.41316239067983485</v>
      </c>
      <c r="O29" s="16">
        <f t="shared" si="18"/>
        <v>0.87504099421673187</v>
      </c>
      <c r="P29" s="16">
        <f t="shared" si="19"/>
        <v>-0.28404707055725287</v>
      </c>
      <c r="Q29" s="16">
        <f t="shared" si="20"/>
        <v>-57.446190657396386</v>
      </c>
      <c r="R29" s="16">
        <f t="shared" si="0"/>
        <v>-1</v>
      </c>
      <c r="S29" s="16">
        <f t="shared" si="21"/>
        <v>0.90973421875081772</v>
      </c>
      <c r="T29" s="16">
        <f t="shared" si="22"/>
        <v>-1.2488614598857946</v>
      </c>
      <c r="U29" s="16">
        <f t="shared" si="23"/>
        <v>-9.8583107314053772E-2</v>
      </c>
      <c r="V29" s="16">
        <f t="shared" si="1"/>
        <v>-2.985689031847814</v>
      </c>
      <c r="W29" s="16">
        <f t="shared" si="24"/>
        <v>-0.99491153140696076</v>
      </c>
      <c r="X29" s="16">
        <f t="shared" si="25"/>
        <v>-1.0175995501213897</v>
      </c>
      <c r="Y29" s="16">
        <f t="shared" si="26"/>
        <v>1.3764146539681028</v>
      </c>
      <c r="Z29" s="16">
        <f t="shared" si="27"/>
        <v>0.18154881616168639</v>
      </c>
      <c r="AA29" s="16">
        <f t="shared" si="2"/>
        <v>4.4056188918796924E-2</v>
      </c>
      <c r="AB29" s="16">
        <f t="shared" si="3"/>
        <v>0.51746898413319098</v>
      </c>
      <c r="AC29" s="16">
        <f t="shared" si="4"/>
        <v>0.43967841132914537</v>
      </c>
      <c r="AD29" s="17">
        <v>4.1882891498532304E-2</v>
      </c>
      <c r="AE29" s="17">
        <v>0.51004856673586696</v>
      </c>
      <c r="AF29" s="17">
        <v>0.44388223355148898</v>
      </c>
      <c r="AG29" s="18">
        <f t="shared" si="28"/>
        <v>7.7457937304507813E-5</v>
      </c>
      <c r="AH29" s="19">
        <f t="shared" si="33"/>
        <v>-1.3364575334071427E-2</v>
      </c>
      <c r="AI29" s="19">
        <f t="shared" si="33"/>
        <v>-2.2981794349317353E-2</v>
      </c>
      <c r="AJ29" s="19">
        <f t="shared" si="33"/>
        <v>3.6260548263568282E-2</v>
      </c>
      <c r="AK29" s="18">
        <f t="shared" si="30"/>
        <v>3.8775781622816767E-6</v>
      </c>
      <c r="AL29" s="18">
        <f t="shared" si="31"/>
        <v>1.6945617673727612E-6</v>
      </c>
      <c r="AM29" s="18">
        <f t="shared" si="32"/>
        <v>3.3823756473614241E-7</v>
      </c>
      <c r="AN29" s="18">
        <f t="shared" si="34"/>
        <v>1.4486153625080936E-6</v>
      </c>
      <c r="AP29" s="22" t="s">
        <v>90</v>
      </c>
      <c r="AQ29" s="22">
        <v>-7.0067656459304279</v>
      </c>
      <c r="AR29">
        <v>-3.6837562969425819</v>
      </c>
      <c r="AV29">
        <v>7.2118759022578756</v>
      </c>
      <c r="AW29">
        <v>-2.0063677540001486</v>
      </c>
      <c r="AX29">
        <v>-7.0631313569445</v>
      </c>
    </row>
    <row r="30" spans="1:54">
      <c r="A30" s="6">
        <v>26</v>
      </c>
      <c r="B30" s="16">
        <f t="shared" si="5"/>
        <v>-5.3780722971601458</v>
      </c>
      <c r="C30" s="16">
        <f t="shared" si="6"/>
        <v>4.5954969179371136E-3</v>
      </c>
      <c r="D30" s="16">
        <f t="shared" si="7"/>
        <v>0.59389832101782547</v>
      </c>
      <c r="E30" s="16">
        <f t="shared" si="8"/>
        <v>5.4202777680555148E-2</v>
      </c>
      <c r="F30" s="16">
        <f t="shared" si="9"/>
        <v>5.4202777680555148E-2</v>
      </c>
      <c r="G30" s="16">
        <f t="shared" si="10"/>
        <v>-0.62263925864106806</v>
      </c>
      <c r="H30" s="16">
        <f t="shared" si="11"/>
        <v>-0.5529629599114334</v>
      </c>
      <c r="I30" s="16">
        <f t="shared" si="12"/>
        <v>-2.3532533676211817E-2</v>
      </c>
      <c r="J30" s="16">
        <f t="shared" si="13"/>
        <v>-0.5789113782834695</v>
      </c>
      <c r="K30" s="16">
        <f t="shared" si="14"/>
        <v>0.62062505546879199</v>
      </c>
      <c r="L30" s="16">
        <f t="shared" si="15"/>
        <v>1.9432334557355686</v>
      </c>
      <c r="M30" s="16">
        <f t="shared" si="16"/>
        <v>0.95978960711525818</v>
      </c>
      <c r="N30" s="16">
        <f t="shared" si="17"/>
        <v>-0.42538443186506814</v>
      </c>
      <c r="O30" s="16">
        <f t="shared" si="18"/>
        <v>0.88737435813997867</v>
      </c>
      <c r="P30" s="16">
        <f t="shared" si="19"/>
        <v>-0.28407682592621758</v>
      </c>
      <c r="Q30" s="16">
        <f t="shared" si="20"/>
        <v>-59.463767657855023</v>
      </c>
      <c r="R30" s="16">
        <f t="shared" si="0"/>
        <v>-1</v>
      </c>
      <c r="S30" s="16">
        <f t="shared" si="21"/>
        <v>0.90973421875081772</v>
      </c>
      <c r="T30" s="16">
        <f t="shared" si="22"/>
        <v>-1.2488614598857946</v>
      </c>
      <c r="U30" s="16">
        <f t="shared" si="23"/>
        <v>-9.8583107314053772E-2</v>
      </c>
      <c r="V30" s="16">
        <f t="shared" si="1"/>
        <v>-3.1343263440861557</v>
      </c>
      <c r="W30" s="16">
        <f t="shared" si="24"/>
        <v>-0.99621760735416021</v>
      </c>
      <c r="X30" s="16">
        <f t="shared" si="25"/>
        <v>-1.0203200698881687</v>
      </c>
      <c r="Y30" s="16">
        <f t="shared" si="26"/>
        <v>1.3781658592695216</v>
      </c>
      <c r="Z30" s="16">
        <f t="shared" si="27"/>
        <v>0.18257601013837665</v>
      </c>
      <c r="AA30" s="16">
        <f t="shared" si="2"/>
        <v>3.4395504339194582E-2</v>
      </c>
      <c r="AB30" s="16">
        <f t="shared" si="3"/>
        <v>0.49197015692079138</v>
      </c>
      <c r="AC30" s="16">
        <f t="shared" si="4"/>
        <v>0.47474391004745242</v>
      </c>
      <c r="AD30" s="17">
        <v>2.6899076645389701E-2</v>
      </c>
      <c r="AE30" s="17">
        <v>0.48054748715594703</v>
      </c>
      <c r="AF30" s="17">
        <v>0.487722954635535</v>
      </c>
      <c r="AG30" s="18">
        <f t="shared" si="28"/>
        <v>3.5512941114456971E-4</v>
      </c>
      <c r="AH30" s="19">
        <f t="shared" si="33"/>
        <v>-9.6606845796023411E-3</v>
      </c>
      <c r="AI30" s="19">
        <f t="shared" si="33"/>
        <v>-2.54988272123996E-2</v>
      </c>
      <c r="AJ30" s="19">
        <f t="shared" si="33"/>
        <v>3.5065498718307053E-2</v>
      </c>
      <c r="AK30" s="18">
        <f t="shared" si="30"/>
        <v>1.4458977487471016E-6</v>
      </c>
      <c r="AL30" s="18">
        <f t="shared" si="31"/>
        <v>1.3110989240343603E-9</v>
      </c>
      <c r="AM30" s="18">
        <f t="shared" si="32"/>
        <v>1.310225707159431E-6</v>
      </c>
      <c r="AN30" s="18">
        <f t="shared" si="34"/>
        <v>1.2311484862902783E-6</v>
      </c>
      <c r="AP30" s="22" t="s">
        <v>91</v>
      </c>
      <c r="AQ30" s="22">
        <v>-0.40505735096459605</v>
      </c>
      <c r="AR30">
        <v>-0.36311749744769273</v>
      </c>
      <c r="AV30">
        <v>-7.7375685310313456</v>
      </c>
      <c r="AW30">
        <v>9.2057355769132362E-2</v>
      </c>
      <c r="AX30">
        <v>-0.17763813014355226</v>
      </c>
    </row>
    <row r="31" spans="1:54">
      <c r="A31" s="6">
        <v>27</v>
      </c>
      <c r="B31" s="16">
        <f t="shared" si="5"/>
        <v>-5.6392285373208999</v>
      </c>
      <c r="C31" s="16">
        <f t="shared" si="6"/>
        <v>3.5430127960898259E-3</v>
      </c>
      <c r="D31" s="16">
        <f t="shared" si="7"/>
        <v>0.59909450026386801</v>
      </c>
      <c r="E31" s="16">
        <f t="shared" si="8"/>
        <v>5.1555240593805216E-2</v>
      </c>
      <c r="F31" s="16">
        <f t="shared" si="9"/>
        <v>5.1555240593805216E-2</v>
      </c>
      <c r="G31" s="16">
        <f t="shared" si="10"/>
        <v>-0.66929581245324732</v>
      </c>
      <c r="H31" s="16">
        <f t="shared" si="11"/>
        <v>-0.58451647852683641</v>
      </c>
      <c r="I31" s="16">
        <f t="shared" si="12"/>
        <v>-2.4908361579086595E-2</v>
      </c>
      <c r="J31" s="16">
        <f t="shared" si="13"/>
        <v>-0.61324816576391827</v>
      </c>
      <c r="K31" s="16">
        <f t="shared" si="14"/>
        <v>0.65623760390265595</v>
      </c>
      <c r="L31" s="16">
        <f t="shared" si="15"/>
        <v>2.1150775356938443</v>
      </c>
      <c r="M31" s="16">
        <f t="shared" si="16"/>
        <v>0.97131707231519682</v>
      </c>
      <c r="N31" s="16">
        <f t="shared" si="17"/>
        <v>-0.43417456349008354</v>
      </c>
      <c r="O31" s="16">
        <f t="shared" si="18"/>
        <v>0.8962445534389063</v>
      </c>
      <c r="P31" s="16">
        <f t="shared" si="19"/>
        <v>-0.28409822608399699</v>
      </c>
      <c r="Q31" s="16">
        <f t="shared" si="20"/>
        <v>-61.48134465831366</v>
      </c>
      <c r="R31" s="16">
        <f t="shared" si="0"/>
        <v>-1</v>
      </c>
      <c r="S31" s="16">
        <f t="shared" si="21"/>
        <v>0.90973421875081772</v>
      </c>
      <c r="T31" s="16">
        <f t="shared" si="22"/>
        <v>-1.2488614598857946</v>
      </c>
      <c r="U31" s="16">
        <f t="shared" si="23"/>
        <v>-9.8583107314053772E-2</v>
      </c>
      <c r="V31" s="16">
        <f t="shared" si="1"/>
        <v>-3.2829636563244975</v>
      </c>
      <c r="W31" s="16">
        <f t="shared" si="24"/>
        <v>-0.99718892037319973</v>
      </c>
      <c r="X31" s="16">
        <f t="shared" si="25"/>
        <v>-1.0223432878133536</v>
      </c>
      <c r="Y31" s="16">
        <f t="shared" si="26"/>
        <v>1.3794682096511566</v>
      </c>
      <c r="Z31" s="16">
        <f t="shared" si="27"/>
        <v>0.18333992198039295</v>
      </c>
      <c r="AA31" s="16">
        <f t="shared" si="2"/>
        <v>2.7402506132162108E-2</v>
      </c>
      <c r="AB31" s="16">
        <f t="shared" si="3"/>
        <v>0.46515837803415527</v>
      </c>
      <c r="AC31" s="16">
        <f t="shared" si="4"/>
        <v>0.50845143307880336</v>
      </c>
      <c r="AD31" s="17">
        <v>2.8643066551244298E-2</v>
      </c>
      <c r="AE31" s="17">
        <v>0.45621581041098197</v>
      </c>
      <c r="AF31" s="17">
        <v>0.51359201939365806</v>
      </c>
      <c r="AG31" s="18">
        <f t="shared" si="28"/>
        <v>1.0793413350889223E-4</v>
      </c>
      <c r="AH31" s="19">
        <f t="shared" si="33"/>
        <v>-6.9929982070324748E-3</v>
      </c>
      <c r="AI31" s="19">
        <f t="shared" si="33"/>
        <v>-2.6811778886636106E-2</v>
      </c>
      <c r="AJ31" s="19">
        <f t="shared" si="33"/>
        <v>3.3707523031350939E-2</v>
      </c>
      <c r="AK31" s="18">
        <f t="shared" si="30"/>
        <v>3.8647016943512466E-7</v>
      </c>
      <c r="AL31" s="18">
        <f t="shared" si="31"/>
        <v>1.2341148961735012E-6</v>
      </c>
      <c r="AM31" s="18">
        <f t="shared" si="32"/>
        <v>2.6742729008646384E-6</v>
      </c>
      <c r="AN31" s="18">
        <f t="shared" si="34"/>
        <v>1.0247862047686234E-6</v>
      </c>
      <c r="AP31" s="22" t="s">
        <v>92</v>
      </c>
      <c r="AQ31" s="22">
        <v>0.50467686778622167</v>
      </c>
      <c r="AR31">
        <v>-8.742944161217105</v>
      </c>
      <c r="AV31">
        <v>5.8990568562928063</v>
      </c>
      <c r="AW31">
        <v>-0.51612924180728281</v>
      </c>
      <c r="AX31">
        <v>1.0547523481860521</v>
      </c>
    </row>
    <row r="32" spans="1:54">
      <c r="A32" s="6">
        <v>28</v>
      </c>
      <c r="B32" s="16">
        <f t="shared" si="5"/>
        <v>-5.9003847774816531</v>
      </c>
      <c r="C32" s="16">
        <f t="shared" si="6"/>
        <v>2.730912638416121E-3</v>
      </c>
      <c r="D32" s="16">
        <f t="shared" si="7"/>
        <v>0.60310388900182399</v>
      </c>
      <c r="E32" s="16">
        <f t="shared" si="8"/>
        <v>4.9512392401641639E-2</v>
      </c>
      <c r="F32" s="16">
        <f t="shared" si="9"/>
        <v>4.9512392401641639E-2</v>
      </c>
      <c r="G32" s="16">
        <f t="shared" si="10"/>
        <v>-0.71595236626542635</v>
      </c>
      <c r="H32" s="16">
        <f t="shared" si="11"/>
        <v>-0.61439584336268183</v>
      </c>
      <c r="I32" s="16">
        <f t="shared" si="12"/>
        <v>-2.6211191363694642E-2</v>
      </c>
      <c r="J32" s="16">
        <f t="shared" si="13"/>
        <v>-0.6457631259154113</v>
      </c>
      <c r="K32" s="16">
        <f t="shared" si="14"/>
        <v>0.68996063620087322</v>
      </c>
      <c r="L32" s="16">
        <f t="shared" si="15"/>
        <v>2.2869216156521199</v>
      </c>
      <c r="M32" s="16">
        <f t="shared" si="16"/>
        <v>0.97957430086157393</v>
      </c>
      <c r="N32" s="16">
        <f t="shared" si="17"/>
        <v>-0.44047101501013453</v>
      </c>
      <c r="O32" s="16">
        <f t="shared" si="18"/>
        <v>0.90259835529940857</v>
      </c>
      <c r="P32" s="16">
        <f t="shared" si="19"/>
        <v>-0.28411355521235682</v>
      </c>
      <c r="Q32" s="16">
        <f t="shared" si="20"/>
        <v>-63.498921658772296</v>
      </c>
      <c r="R32" s="16">
        <f t="shared" si="0"/>
        <v>-1</v>
      </c>
      <c r="S32" s="16">
        <f t="shared" si="21"/>
        <v>0.90973421875081772</v>
      </c>
      <c r="T32" s="16">
        <f t="shared" si="22"/>
        <v>-1.2488614598857946</v>
      </c>
      <c r="U32" s="16">
        <f t="shared" si="23"/>
        <v>-9.8583107314053772E-2</v>
      </c>
      <c r="V32" s="16">
        <f t="shared" si="1"/>
        <v>-3.4316009685628384</v>
      </c>
      <c r="W32" s="16">
        <f t="shared" si="24"/>
        <v>-0.99791106261618356</v>
      </c>
      <c r="X32" s="16">
        <f t="shared" si="25"/>
        <v>-1.0238474899622989</v>
      </c>
      <c r="Y32" s="16">
        <f t="shared" si="26"/>
        <v>1.3804364682941577</v>
      </c>
      <c r="Z32" s="16">
        <f t="shared" si="27"/>
        <v>0.18390786763768585</v>
      </c>
      <c r="AA32" s="16">
        <f t="shared" si="2"/>
        <v>2.230841141651374E-2</v>
      </c>
      <c r="AB32" s="16">
        <f t="shared" si="3"/>
        <v>0.43792263019400202</v>
      </c>
      <c r="AC32" s="16">
        <f t="shared" si="4"/>
        <v>0.54068423371379004</v>
      </c>
      <c r="AD32" s="17">
        <v>1.8585382566350301E-2</v>
      </c>
      <c r="AE32" s="17">
        <v>0.43462182741029998</v>
      </c>
      <c r="AF32" s="17">
        <v>0.547713142498501</v>
      </c>
      <c r="AG32" s="18">
        <f t="shared" si="28"/>
        <v>7.4161801539831385E-5</v>
      </c>
      <c r="AH32" s="19">
        <f t="shared" si="33"/>
        <v>-5.0940947156483674E-3</v>
      </c>
      <c r="AI32" s="19">
        <f t="shared" si="33"/>
        <v>-2.7235747840153257E-2</v>
      </c>
      <c r="AJ32" s="19">
        <f t="shared" si="33"/>
        <v>3.223280063498668E-2</v>
      </c>
      <c r="AK32" s="18">
        <f t="shared" si="30"/>
        <v>4.4473945844149731E-8</v>
      </c>
      <c r="AL32" s="18">
        <f t="shared" si="31"/>
        <v>3.7041964849416067E-6</v>
      </c>
      <c r="AM32" s="18">
        <f t="shared" si="32"/>
        <v>4.1553822349847027E-6</v>
      </c>
      <c r="AN32" s="18">
        <f t="shared" si="34"/>
        <v>8.3772891928308298E-7</v>
      </c>
      <c r="AP32" s="22" t="s">
        <v>93</v>
      </c>
      <c r="AQ32" s="22">
        <v>-0.69708261131433225</v>
      </c>
      <c r="AR32">
        <v>0.35171447122824773</v>
      </c>
      <c r="AV32">
        <v>9.5238981409850769</v>
      </c>
      <c r="AW32">
        <v>-8.0345558514604537E-2</v>
      </c>
      <c r="AX32">
        <v>-0.23255843593841266</v>
      </c>
    </row>
    <row r="33" spans="1:50">
      <c r="A33" s="6">
        <v>29</v>
      </c>
      <c r="B33" s="16">
        <f t="shared" si="5"/>
        <v>-6.1615410176424072</v>
      </c>
      <c r="C33" s="16">
        <f t="shared" si="6"/>
        <v>2.1045622355572564E-3</v>
      </c>
      <c r="D33" s="16">
        <f t="shared" si="7"/>
        <v>0.60619621970451742</v>
      </c>
      <c r="E33" s="16">
        <f t="shared" si="8"/>
        <v>4.7936800061151946E-2</v>
      </c>
      <c r="F33" s="16">
        <f t="shared" si="9"/>
        <v>4.7936800061151946E-2</v>
      </c>
      <c r="G33" s="16">
        <f t="shared" si="10"/>
        <v>-0.76260892007760561</v>
      </c>
      <c r="H33" s="16">
        <f t="shared" si="11"/>
        <v>-0.64261109879567468</v>
      </c>
      <c r="I33" s="16">
        <f t="shared" si="12"/>
        <v>-2.7441460994939531E-2</v>
      </c>
      <c r="J33" s="16">
        <f t="shared" si="13"/>
        <v>-0.67646718910779069</v>
      </c>
      <c r="K33" s="16">
        <f t="shared" si="14"/>
        <v>0.72180548884405193</v>
      </c>
      <c r="L33" s="16">
        <f t="shared" si="15"/>
        <v>2.4587656956103965</v>
      </c>
      <c r="M33" s="16">
        <f t="shared" si="16"/>
        <v>0.98547196055231889</v>
      </c>
      <c r="N33" s="16">
        <f t="shared" si="17"/>
        <v>-0.44496820533446291</v>
      </c>
      <c r="O33" s="16">
        <f t="shared" si="18"/>
        <v>0.90713650764740261</v>
      </c>
      <c r="P33" s="16">
        <f t="shared" si="19"/>
        <v>-0.28412450392013622</v>
      </c>
      <c r="Q33" s="16">
        <f t="shared" si="20"/>
        <v>-65.516498659230933</v>
      </c>
      <c r="R33" s="16">
        <f t="shared" si="0"/>
        <v>-1</v>
      </c>
      <c r="S33" s="16">
        <f t="shared" si="21"/>
        <v>0.90973421875081772</v>
      </c>
      <c r="T33" s="16">
        <f t="shared" si="22"/>
        <v>-1.2488614598857946</v>
      </c>
      <c r="U33" s="16">
        <f t="shared" si="23"/>
        <v>-9.8583107314053772E-2</v>
      </c>
      <c r="V33" s="16">
        <f t="shared" si="1"/>
        <v>-3.5802382808011801</v>
      </c>
      <c r="W33" s="16">
        <f t="shared" si="24"/>
        <v>-0.99844783688660466</v>
      </c>
      <c r="X33" s="16">
        <f t="shared" si="25"/>
        <v>-1.0249655757949874</v>
      </c>
      <c r="Y33" s="16">
        <f t="shared" si="26"/>
        <v>1.3811561829095613</v>
      </c>
      <c r="Z33" s="16">
        <f t="shared" si="27"/>
        <v>0.18433002631735629</v>
      </c>
      <c r="AA33" s="16">
        <f t="shared" si="2"/>
        <v>1.8555196330945378E-2</v>
      </c>
      <c r="AB33" s="16">
        <f t="shared" si="3"/>
        <v>0.41090084162453067</v>
      </c>
      <c r="AC33" s="16">
        <f t="shared" si="4"/>
        <v>0.57136470398837025</v>
      </c>
      <c r="AD33" s="17">
        <v>1.6441050975567299E-2</v>
      </c>
      <c r="AE33" s="17">
        <v>0.40770546813070097</v>
      </c>
      <c r="AF33" s="17">
        <v>0.57331041777418701</v>
      </c>
      <c r="AG33" s="18">
        <f t="shared" si="28"/>
        <v>1.8465824485053523E-5</v>
      </c>
      <c r="AH33" s="19">
        <f t="shared" si="33"/>
        <v>-3.7532150855683621E-3</v>
      </c>
      <c r="AI33" s="19">
        <f t="shared" si="33"/>
        <v>-2.702178856947135E-2</v>
      </c>
      <c r="AJ33" s="19">
        <f t="shared" si="33"/>
        <v>3.0680470274580207E-2</v>
      </c>
      <c r="AK33" s="18">
        <f t="shared" si="30"/>
        <v>3.3418045039984752E-9</v>
      </c>
      <c r="AL33" s="18">
        <f t="shared" si="31"/>
        <v>6.2580625570474134E-6</v>
      </c>
      <c r="AM33" s="18">
        <f t="shared" si="32"/>
        <v>5.5190707939338789E-6</v>
      </c>
      <c r="AN33" s="18">
        <f t="shared" si="34"/>
        <v>6.7361733838877319E-7</v>
      </c>
      <c r="AP33" s="22" t="s">
        <v>94</v>
      </c>
      <c r="AQ33" s="22">
        <v>-1.9459440712001268</v>
      </c>
      <c r="AR33">
        <v>-1.8570578026948572</v>
      </c>
      <c r="AV33">
        <v>4.309362779832461</v>
      </c>
      <c r="AW33">
        <v>-0.3505183862714436</v>
      </c>
      <c r="AX33">
        <v>-1.0199107912464231</v>
      </c>
    </row>
    <row r="34" spans="1:50">
      <c r="A34" s="6">
        <v>30</v>
      </c>
      <c r="B34" s="16">
        <f t="shared" si="5"/>
        <v>-6.4226972578031614</v>
      </c>
      <c r="C34" s="16">
        <f t="shared" si="6"/>
        <v>1.6216352758168288E-3</v>
      </c>
      <c r="D34" s="16">
        <f t="shared" si="7"/>
        <v>0.60858045999229793</v>
      </c>
      <c r="E34" s="16">
        <f t="shared" si="8"/>
        <v>4.6721991201270928E-2</v>
      </c>
      <c r="F34" s="16">
        <f t="shared" si="9"/>
        <v>4.6721991201270928E-2</v>
      </c>
      <c r="G34" s="16">
        <f t="shared" si="10"/>
        <v>-0.80926547388978487</v>
      </c>
      <c r="H34" s="16">
        <f t="shared" si="11"/>
        <v>-0.66918485979413023</v>
      </c>
      <c r="I34" s="16">
        <f t="shared" si="12"/>
        <v>-2.8600156553163367E-2</v>
      </c>
      <c r="J34" s="16">
        <f t="shared" si="13"/>
        <v>-0.70538496512769822</v>
      </c>
      <c r="K34" s="16">
        <f t="shared" si="14"/>
        <v>0.7517976859794121</v>
      </c>
      <c r="L34" s="16">
        <f t="shared" si="15"/>
        <v>2.6306097755686721</v>
      </c>
      <c r="M34" s="16">
        <f t="shared" si="16"/>
        <v>0.98967562760418004</v>
      </c>
      <c r="N34" s="16">
        <f t="shared" si="17"/>
        <v>-0.44817366169912809</v>
      </c>
      <c r="O34" s="16">
        <f t="shared" si="18"/>
        <v>0.91037116045918243</v>
      </c>
      <c r="P34" s="16">
        <f t="shared" si="19"/>
        <v>-0.28413230781601456</v>
      </c>
      <c r="Q34" s="16">
        <f t="shared" si="20"/>
        <v>-67.534075659689577</v>
      </c>
      <c r="R34" s="16">
        <f t="shared" si="0"/>
        <v>-1</v>
      </c>
      <c r="S34" s="16">
        <f t="shared" si="21"/>
        <v>0.90973421875081772</v>
      </c>
      <c r="T34" s="16">
        <f t="shared" si="22"/>
        <v>-1.2488614598857946</v>
      </c>
      <c r="U34" s="16">
        <f t="shared" si="23"/>
        <v>-9.8583107314053772E-2</v>
      </c>
      <c r="V34" s="16">
        <f t="shared" si="1"/>
        <v>-3.7288755930395219</v>
      </c>
      <c r="W34" s="16">
        <f t="shared" si="24"/>
        <v>-0.99884676102016412</v>
      </c>
      <c r="X34" s="16">
        <f t="shared" si="25"/>
        <v>-1.025796523637738</v>
      </c>
      <c r="Y34" s="16">
        <f t="shared" si="26"/>
        <v>1.3816910660907815</v>
      </c>
      <c r="Z34" s="16">
        <f t="shared" si="27"/>
        <v>0.18464376953269324</v>
      </c>
      <c r="AA34" s="16">
        <f t="shared" si="2"/>
        <v>1.5744336853086294E-2</v>
      </c>
      <c r="AB34" s="16">
        <f t="shared" si="3"/>
        <v>0.38453779273774213</v>
      </c>
      <c r="AC34" s="16">
        <f t="shared" si="4"/>
        <v>0.60044803158330806</v>
      </c>
      <c r="AD34" s="17">
        <v>1.6927265894710001E-2</v>
      </c>
      <c r="AE34" s="17">
        <v>0.38076372682378795</v>
      </c>
      <c r="AF34" s="17">
        <v>0.602138744531867</v>
      </c>
      <c r="AG34" s="18">
        <f t="shared" si="28"/>
        <v>1.8501404914812462E-5</v>
      </c>
      <c r="AH34" s="19">
        <f t="shared" si="33"/>
        <v>-2.8108594778590845E-3</v>
      </c>
      <c r="AI34" s="19">
        <f t="shared" si="33"/>
        <v>-2.6363048886788532E-2</v>
      </c>
      <c r="AJ34" s="19">
        <f t="shared" si="33"/>
        <v>2.9083327594937813E-2</v>
      </c>
      <c r="AK34" s="18">
        <f t="shared" si="30"/>
        <v>4.6385973744777863E-8</v>
      </c>
      <c r="AL34" s="18">
        <f t="shared" si="31"/>
        <v>8.2701572659230071E-6</v>
      </c>
      <c r="AM34" s="18">
        <f t="shared" si="32"/>
        <v>6.6040432423818659E-6</v>
      </c>
      <c r="AN34" s="18">
        <f t="shared" si="34"/>
        <v>5.3313534021653974E-7</v>
      </c>
      <c r="AP34" s="22" t="s">
        <v>95</v>
      </c>
      <c r="AQ34" s="22">
        <v>6.753264162589645E-2</v>
      </c>
      <c r="AR34">
        <v>2.3228991078540526E-2</v>
      </c>
      <c r="AV34">
        <v>3.7615689700686992</v>
      </c>
      <c r="AW34">
        <v>-0.16714699843058228</v>
      </c>
      <c r="AX34">
        <v>6.4796567617445761E-2</v>
      </c>
    </row>
    <row r="35" spans="1:50">
      <c r="A35" s="6">
        <v>31</v>
      </c>
      <c r="B35" s="16">
        <f t="shared" si="5"/>
        <v>-6.6838534979639164</v>
      </c>
      <c r="C35" s="16">
        <f t="shared" si="6"/>
        <v>1.2493852304027359E-3</v>
      </c>
      <c r="D35" s="16">
        <f t="shared" si="7"/>
        <v>0.61041828150444022</v>
      </c>
      <c r="E35" s="16">
        <f t="shared" si="8"/>
        <v>4.5785591515688631E-2</v>
      </c>
      <c r="F35" s="16">
        <f t="shared" si="9"/>
        <v>4.5785591515688631E-2</v>
      </c>
      <c r="G35" s="16">
        <f t="shared" si="10"/>
        <v>-0.85592202770196391</v>
      </c>
      <c r="H35" s="16">
        <f t="shared" si="11"/>
        <v>-0.69415062748218315</v>
      </c>
      <c r="I35" s="16">
        <f t="shared" si="12"/>
        <v>-2.9688738787702031E-2</v>
      </c>
      <c r="J35" s="16">
        <f t="shared" si="13"/>
        <v>-0.73255291016228019</v>
      </c>
      <c r="K35" s="16">
        <f t="shared" si="14"/>
        <v>0.77997503829996639</v>
      </c>
      <c r="L35" s="16">
        <f t="shared" si="15"/>
        <v>2.8024538555269478</v>
      </c>
      <c r="M35" s="16">
        <f t="shared" si="16"/>
        <v>0.99266746172246689</v>
      </c>
      <c r="N35" s="16">
        <f t="shared" si="17"/>
        <v>-0.45045504925864921</v>
      </c>
      <c r="O35" s="16">
        <f t="shared" si="18"/>
        <v>0.91267332771546195</v>
      </c>
      <c r="P35" s="16">
        <f t="shared" si="19"/>
        <v>-0.28413786200516811</v>
      </c>
      <c r="Q35" s="16">
        <f t="shared" si="20"/>
        <v>-69.551652660148207</v>
      </c>
      <c r="R35" s="16">
        <f t="shared" si="0"/>
        <v>-1</v>
      </c>
      <c r="S35" s="16">
        <f t="shared" si="21"/>
        <v>0.90973421875081772</v>
      </c>
      <c r="T35" s="16">
        <f t="shared" si="22"/>
        <v>-1.2488614598857946</v>
      </c>
      <c r="U35" s="16">
        <f t="shared" si="23"/>
        <v>-9.8583107314053772E-2</v>
      </c>
      <c r="V35" s="16">
        <f t="shared" si="1"/>
        <v>-3.8775129052778627</v>
      </c>
      <c r="W35" s="16">
        <f t="shared" si="24"/>
        <v>-0.99914320092747744</v>
      </c>
      <c r="X35" s="16">
        <f t="shared" si="25"/>
        <v>-1.0264139996958777</v>
      </c>
      <c r="Y35" s="16">
        <f t="shared" si="26"/>
        <v>1.3820885369563558</v>
      </c>
      <c r="Z35" s="16">
        <f t="shared" si="27"/>
        <v>0.18487691163127928</v>
      </c>
      <c r="AA35" s="16">
        <f t="shared" si="2"/>
        <v>1.3594712513029128E-2</v>
      </c>
      <c r="AB35" s="16">
        <f t="shared" si="3"/>
        <v>0.35913308613943151</v>
      </c>
      <c r="AC35" s="16">
        <f t="shared" si="4"/>
        <v>0.62791657212771246</v>
      </c>
      <c r="AD35" s="17">
        <v>5.5360201456173194E-3</v>
      </c>
      <c r="AE35" s="17">
        <v>0.35516465630493699</v>
      </c>
      <c r="AF35" s="17">
        <v>0.624921752972462</v>
      </c>
      <c r="AG35" s="18">
        <f t="shared" si="28"/>
        <v>8.9659899796542671E-5</v>
      </c>
      <c r="AH35" s="19">
        <f t="shared" si="33"/>
        <v>-2.1496243400571657E-3</v>
      </c>
      <c r="AI35" s="19">
        <f t="shared" si="33"/>
        <v>-2.5404706598310622E-2</v>
      </c>
      <c r="AJ35" s="19">
        <f t="shared" si="33"/>
        <v>2.7468540544404396E-2</v>
      </c>
      <c r="AK35" s="18">
        <f t="shared" si="30"/>
        <v>8.4561801894948283E-8</v>
      </c>
      <c r="AL35" s="18">
        <f t="shared" si="31"/>
        <v>9.5064969005195392E-6</v>
      </c>
      <c r="AM35" s="18">
        <f t="shared" si="32"/>
        <v>7.3260908748000436E-6</v>
      </c>
      <c r="AN35" s="18">
        <f t="shared" si="34"/>
        <v>4.1521370234088699E-7</v>
      </c>
      <c r="AP35" s="22" t="s">
        <v>96</v>
      </c>
      <c r="AQ35" s="22">
        <v>-3.1050465688157322E-2</v>
      </c>
      <c r="AR35">
        <v>4.2352209910184406</v>
      </c>
      <c r="AV35">
        <v>6.6325998254285867</v>
      </c>
      <c r="AW35">
        <v>9.3634608476603209E-2</v>
      </c>
      <c r="AX35">
        <v>-2.9907552410257058E-2</v>
      </c>
    </row>
    <row r="36" spans="1:50">
      <c r="A36" s="6">
        <v>32</v>
      </c>
      <c r="B36" s="16">
        <f t="shared" si="5"/>
        <v>-6.9450097381246696</v>
      </c>
      <c r="C36" s="16">
        <f t="shared" si="6"/>
        <v>9.6250364454111186E-4</v>
      </c>
      <c r="D36" s="16">
        <f t="shared" si="7"/>
        <v>0.61183463364846069</v>
      </c>
      <c r="E36" s="16">
        <f t="shared" si="8"/>
        <v>4.5063937267127444E-2</v>
      </c>
      <c r="F36" s="16">
        <f t="shared" si="9"/>
        <v>4.5063937267127444E-2</v>
      </c>
      <c r="G36" s="16">
        <f t="shared" si="10"/>
        <v>-0.90257858151414316</v>
      </c>
      <c r="H36" s="16">
        <f t="shared" si="11"/>
        <v>-0.71755110875549177</v>
      </c>
      <c r="I36" s="16">
        <f t="shared" si="12"/>
        <v>-3.0709069847097748E-2</v>
      </c>
      <c r="J36" s="16">
        <f t="shared" si="13"/>
        <v>-0.75801749819176201</v>
      </c>
      <c r="K36" s="16">
        <f t="shared" si="14"/>
        <v>0.8063857464963774</v>
      </c>
      <c r="L36" s="16">
        <f t="shared" si="15"/>
        <v>2.9742979354852235</v>
      </c>
      <c r="M36" s="16">
        <f t="shared" si="16"/>
        <v>0.99479457950584127</v>
      </c>
      <c r="N36" s="16">
        <f t="shared" si="17"/>
        <v>-0.45207705765108153</v>
      </c>
      <c r="O36" s="16">
        <f t="shared" si="18"/>
        <v>0.91431010994252537</v>
      </c>
      <c r="P36" s="16">
        <f t="shared" si="19"/>
        <v>-0.28414181089205609</v>
      </c>
      <c r="Q36" s="16">
        <f t="shared" si="20"/>
        <v>-71.569229660606851</v>
      </c>
      <c r="R36" s="16">
        <f t="shared" ref="R36:R63" si="35">TANH(Q36)</f>
        <v>-1</v>
      </c>
      <c r="S36" s="16">
        <f t="shared" si="21"/>
        <v>0.90973421875081772</v>
      </c>
      <c r="T36" s="16">
        <f t="shared" si="22"/>
        <v>-1.2488614598857946</v>
      </c>
      <c r="U36" s="16">
        <f t="shared" si="23"/>
        <v>-9.8583107314053772E-2</v>
      </c>
      <c r="V36" s="16">
        <f t="shared" ref="V36:V63" si="36">$AQ$36*A36+$AQ$37</f>
        <v>-4.0261502175162045</v>
      </c>
      <c r="W36" s="16">
        <f t="shared" si="24"/>
        <v>-0.99936346526685782</v>
      </c>
      <c r="X36" s="16">
        <f t="shared" si="25"/>
        <v>-1.0268728041708288</v>
      </c>
      <c r="Y36" s="16">
        <f t="shared" si="26"/>
        <v>1.3823838705314544</v>
      </c>
      <c r="Z36" s="16">
        <f t="shared" si="27"/>
        <v>0.18505014367278227</v>
      </c>
      <c r="AA36" s="16">
        <f t="shared" ref="AA36:AA63" si="37">SUM(D36,I36,N36,S36,X36)</f>
        <v>1.1909920730270196E-2</v>
      </c>
      <c r="AB36" s="16">
        <f t="shared" ref="AB36:AB63" si="38">SUM(E36,J36,O36,T36,Y36)</f>
        <v>0.33487895966355063</v>
      </c>
      <c r="AC36" s="16">
        <f t="shared" ref="AC36:AC63" si="39">SUM(F36,K36,P36,U36,Z36)</f>
        <v>0.65377490923017723</v>
      </c>
      <c r="AD36" s="17">
        <v>5.5516744239331806E-3</v>
      </c>
      <c r="AE36" s="17">
        <v>0.33275256354035898</v>
      </c>
      <c r="AF36" s="17">
        <v>0.65513191440359508</v>
      </c>
      <c r="AG36" s="18">
        <f t="shared" si="28"/>
        <v>4.6790319605455624E-5</v>
      </c>
      <c r="AH36" s="19">
        <f t="shared" si="33"/>
        <v>-1.684791782758932E-3</v>
      </c>
      <c r="AI36" s="19">
        <f t="shared" si="33"/>
        <v>-2.4254126475880877E-2</v>
      </c>
      <c r="AJ36" s="19">
        <f t="shared" si="33"/>
        <v>2.5858337102464768E-2</v>
      </c>
      <c r="AK36" s="18">
        <f t="shared" si="30"/>
        <v>9.5356112428089756E-8</v>
      </c>
      <c r="AL36" s="18">
        <f t="shared" si="31"/>
        <v>9.9739016286012383E-6</v>
      </c>
      <c r="AM36" s="18">
        <f t="shared" si="32"/>
        <v>7.6660842275086067E-6</v>
      </c>
      <c r="AN36" s="18">
        <f t="shared" si="34"/>
        <v>3.178587401278701E-7</v>
      </c>
      <c r="AP36" s="22" t="s">
        <v>107</v>
      </c>
      <c r="AQ36" s="22">
        <v>-0.14863731223834148</v>
      </c>
      <c r="AR36">
        <v>-8.0337058197564634E-2</v>
      </c>
      <c r="AV36">
        <v>7.1641033651608829E-2</v>
      </c>
      <c r="AW36">
        <v>-2.5505349563610769</v>
      </c>
      <c r="AX36">
        <v>-0.15391343825243761</v>
      </c>
    </row>
    <row r="37" spans="1:50">
      <c r="A37" s="6">
        <v>33</v>
      </c>
      <c r="B37" s="16">
        <f t="shared" si="5"/>
        <v>-7.2061659782854228</v>
      </c>
      <c r="C37" s="16">
        <f t="shared" si="6"/>
        <v>7.4144638904453616E-4</v>
      </c>
      <c r="D37" s="16">
        <f t="shared" si="7"/>
        <v>0.61292600699971123</v>
      </c>
      <c r="E37" s="16">
        <f t="shared" si="8"/>
        <v>4.4507864952045756E-2</v>
      </c>
      <c r="F37" s="16">
        <f t="shared" si="9"/>
        <v>4.4507864952045756E-2</v>
      </c>
      <c r="G37" s="16">
        <f t="shared" si="10"/>
        <v>-0.94923513532632242</v>
      </c>
      <c r="H37" s="16">
        <f t="shared" si="11"/>
        <v>-0.73943658497091169</v>
      </c>
      <c r="I37" s="16">
        <f t="shared" si="12"/>
        <v>-3.1663342149083687E-2</v>
      </c>
      <c r="J37" s="16">
        <f t="shared" si="13"/>
        <v>-0.78183344578470182</v>
      </c>
      <c r="K37" s="16">
        <f t="shared" si="14"/>
        <v>0.83108656009563642</v>
      </c>
      <c r="L37" s="16">
        <f t="shared" si="15"/>
        <v>3.1461420154434991</v>
      </c>
      <c r="M37" s="16">
        <f t="shared" si="16"/>
        <v>0.99630577935616826</v>
      </c>
      <c r="N37" s="16">
        <f t="shared" si="17"/>
        <v>-0.4532294051416772</v>
      </c>
      <c r="O37" s="16">
        <f t="shared" si="18"/>
        <v>0.91547295342768131</v>
      </c>
      <c r="P37" s="16">
        <f t="shared" si="19"/>
        <v>-0.28414461635836391</v>
      </c>
      <c r="Q37" s="16">
        <f t="shared" si="20"/>
        <v>-73.586806661065495</v>
      </c>
      <c r="R37" s="16">
        <f t="shared" si="35"/>
        <v>-1</v>
      </c>
      <c r="S37" s="16">
        <f t="shared" si="21"/>
        <v>0.90973421875081772</v>
      </c>
      <c r="T37" s="16">
        <f t="shared" si="22"/>
        <v>-1.2488614598857946</v>
      </c>
      <c r="U37" s="16">
        <f t="shared" si="23"/>
        <v>-9.8583107314053772E-2</v>
      </c>
      <c r="V37" s="16">
        <f t="shared" si="36"/>
        <v>-4.1747875297545463</v>
      </c>
      <c r="W37" s="16">
        <f t="shared" si="24"/>
        <v>-0.99952711784675241</v>
      </c>
      <c r="X37" s="16">
        <f t="shared" si="25"/>
        <v>-1.0272136879298797</v>
      </c>
      <c r="Y37" s="16">
        <f t="shared" si="26"/>
        <v>1.3826032982501233</v>
      </c>
      <c r="Z37" s="16">
        <f t="shared" si="27"/>
        <v>0.18517885207193618</v>
      </c>
      <c r="AA37" s="16">
        <f t="shared" si="37"/>
        <v>1.0553790529888252E-2</v>
      </c>
      <c r="AB37" s="16">
        <f t="shared" si="38"/>
        <v>0.31188921095935385</v>
      </c>
      <c r="AC37" s="16">
        <f t="shared" si="39"/>
        <v>0.67804555344720074</v>
      </c>
      <c r="AD37" s="17">
        <v>1.2931474477337201E-2</v>
      </c>
      <c r="AE37" s="17">
        <v>0.31162242112024097</v>
      </c>
      <c r="AF37" s="17">
        <v>0.68166378325101906</v>
      </c>
      <c r="AG37" s="18">
        <f t="shared" si="28"/>
        <v>1.881614468544944E-5</v>
      </c>
      <c r="AH37" s="19">
        <f t="shared" si="33"/>
        <v>-1.3561302003819442E-3</v>
      </c>
      <c r="AI37" s="19">
        <f t="shared" si="33"/>
        <v>-2.2989748704196789E-2</v>
      </c>
      <c r="AJ37" s="19">
        <f t="shared" si="33"/>
        <v>2.4270644217023518E-2</v>
      </c>
      <c r="AK37" s="18">
        <f t="shared" ref="AK37:AK63" si="40">(AH37+$AQ$45*AA37*AB37)^2</f>
        <v>8.362521583172261E-8</v>
      </c>
      <c r="AL37" s="18">
        <f t="shared" ref="AL37:AL63" si="41">(AI37-$AQ$45*AA37*AB37+$AQ$44*AB37)^2</f>
        <v>9.8007287243262513E-6</v>
      </c>
      <c r="AM37" s="18">
        <f t="shared" ref="AM37:AM63" si="42">(AJ37-$AQ$44*AB37)^2</f>
        <v>7.6518437516044158E-6</v>
      </c>
      <c r="AN37" s="18">
        <f t="shared" si="34"/>
        <v>2.3868592592266946E-7</v>
      </c>
      <c r="AP37" s="22" t="s">
        <v>108</v>
      </c>
      <c r="AQ37" s="22">
        <v>0.73024377411072294</v>
      </c>
      <c r="AR37">
        <v>2.2415366918871547</v>
      </c>
      <c r="AV37">
        <v>-1.227214239152262</v>
      </c>
      <c r="AW37">
        <v>-1.2935814736586655</v>
      </c>
      <c r="AX37">
        <v>0.78109259877811277</v>
      </c>
    </row>
    <row r="38" spans="1:50">
      <c r="A38" s="6">
        <v>34</v>
      </c>
      <c r="B38" s="16">
        <f t="shared" si="5"/>
        <v>-7.4673222184461778</v>
      </c>
      <c r="C38" s="16">
        <f t="shared" si="6"/>
        <v>5.711301095174036E-4</v>
      </c>
      <c r="D38" s="16">
        <f t="shared" si="7"/>
        <v>0.61376686901232647</v>
      </c>
      <c r="E38" s="16">
        <f t="shared" si="8"/>
        <v>4.4079432202168339E-2</v>
      </c>
      <c r="F38" s="16">
        <f t="shared" si="9"/>
        <v>4.4079432202168339E-2</v>
      </c>
      <c r="G38" s="16">
        <f t="shared" si="10"/>
        <v>-0.99589168913850146</v>
      </c>
      <c r="H38" s="16">
        <f t="shared" si="11"/>
        <v>-0.75986336513233588</v>
      </c>
      <c r="I38" s="16">
        <f t="shared" si="12"/>
        <v>-3.2554010934854452E-2</v>
      </c>
      <c r="J38" s="16">
        <f t="shared" si="13"/>
        <v>-0.80406202884263955</v>
      </c>
      <c r="K38" s="16">
        <f t="shared" si="14"/>
        <v>0.85414103166545696</v>
      </c>
      <c r="L38" s="16">
        <f t="shared" si="15"/>
        <v>3.3179860954017748</v>
      </c>
      <c r="M38" s="16">
        <f t="shared" si="16"/>
        <v>0.99737883512763248</v>
      </c>
      <c r="N38" s="16">
        <f t="shared" si="17"/>
        <v>-0.45404765107073042</v>
      </c>
      <c r="O38" s="16">
        <f t="shared" si="18"/>
        <v>0.91629865223435225</v>
      </c>
      <c r="P38" s="16">
        <f t="shared" si="19"/>
        <v>-0.28414660843228629</v>
      </c>
      <c r="Q38" s="16">
        <f t="shared" si="20"/>
        <v>-75.604383661524125</v>
      </c>
      <c r="R38" s="16">
        <f t="shared" si="35"/>
        <v>-1</v>
      </c>
      <c r="S38" s="16">
        <f t="shared" si="21"/>
        <v>0.90973421875081772</v>
      </c>
      <c r="T38" s="16">
        <f t="shared" si="22"/>
        <v>-1.2488614598857946</v>
      </c>
      <c r="U38" s="16">
        <f t="shared" si="23"/>
        <v>-9.8583107314053772E-2</v>
      </c>
      <c r="V38" s="16">
        <f t="shared" si="36"/>
        <v>-4.3234248419928871</v>
      </c>
      <c r="W38" s="16">
        <f t="shared" si="24"/>
        <v>-0.99964870286966179</v>
      </c>
      <c r="X38" s="16">
        <f t="shared" si="25"/>
        <v>-1.0274669461411488</v>
      </c>
      <c r="Y38" s="16">
        <f t="shared" si="26"/>
        <v>1.3827663211869965</v>
      </c>
      <c r="Z38" s="16">
        <f t="shared" si="27"/>
        <v>0.18527447545697451</v>
      </c>
      <c r="AA38" s="16">
        <f t="shared" si="37"/>
        <v>9.4324796164106939E-3</v>
      </c>
      <c r="AB38" s="16">
        <f t="shared" si="38"/>
        <v>0.29022091689508289</v>
      </c>
      <c r="AC38" s="16">
        <f t="shared" si="39"/>
        <v>0.70076522357825988</v>
      </c>
      <c r="AD38" s="17">
        <v>8.6066661943624695E-3</v>
      </c>
      <c r="AE38" s="17">
        <v>0.29035002727487702</v>
      </c>
      <c r="AF38" s="17">
        <v>0.69814062804294097</v>
      </c>
      <c r="AG38" s="18">
        <f t="shared" si="28"/>
        <v>7.5871390222215271E-6</v>
      </c>
      <c r="AH38" s="19">
        <f t="shared" si="33"/>
        <v>-1.1213109134775578E-3</v>
      </c>
      <c r="AI38" s="19">
        <f t="shared" si="33"/>
        <v>-2.1668294064270954E-2</v>
      </c>
      <c r="AJ38" s="19">
        <f t="shared" si="33"/>
        <v>2.2719670131059133E-2</v>
      </c>
      <c r="AK38" s="18">
        <f t="shared" si="40"/>
        <v>6.1022741367477651E-8</v>
      </c>
      <c r="AL38" s="18">
        <f t="shared" si="41"/>
        <v>9.1578397953295859E-6</v>
      </c>
      <c r="AM38" s="18">
        <f t="shared" si="42"/>
        <v>7.33992519634912E-6</v>
      </c>
      <c r="AN38" s="18">
        <f t="shared" si="34"/>
        <v>1.7524277954529045E-7</v>
      </c>
      <c r="AP38" s="22" t="s">
        <v>109</v>
      </c>
      <c r="AQ38" s="22">
        <v>2.0829721063405828</v>
      </c>
      <c r="AR38">
        <v>-4.2700269126349752</v>
      </c>
      <c r="AV38">
        <v>-1.2276815742688856</v>
      </c>
      <c r="AW38">
        <v>0.26070645634249168</v>
      </c>
      <c r="AX38">
        <v>1.4234095966775542</v>
      </c>
    </row>
    <row r="39" spans="1:50">
      <c r="A39" s="6">
        <v>35</v>
      </c>
      <c r="B39" s="16">
        <f t="shared" si="5"/>
        <v>-7.7284784586069311</v>
      </c>
      <c r="C39" s="16">
        <f t="shared" si="6"/>
        <v>4.3991964398202373E-4</v>
      </c>
      <c r="D39" s="16">
        <f t="shared" si="7"/>
        <v>0.61441466320107097</v>
      </c>
      <c r="E39" s="16">
        <f t="shared" si="8"/>
        <v>4.3749370620749968E-2</v>
      </c>
      <c r="F39" s="16">
        <f t="shared" si="9"/>
        <v>4.3749370620749968E-2</v>
      </c>
      <c r="G39" s="16">
        <f t="shared" si="10"/>
        <v>-1.0425482429506807</v>
      </c>
      <c r="H39" s="16">
        <f t="shared" si="11"/>
        <v>-0.77889234972137189</v>
      </c>
      <c r="I39" s="16">
        <f t="shared" si="12"/>
        <v>-3.3383731647782793E-2</v>
      </c>
      <c r="J39" s="16">
        <f t="shared" si="13"/>
        <v>-0.82476951974932755</v>
      </c>
      <c r="K39" s="16">
        <f t="shared" si="14"/>
        <v>0.87561789589680417</v>
      </c>
      <c r="L39" s="16">
        <f t="shared" si="15"/>
        <v>3.4898301753600505</v>
      </c>
      <c r="M39" s="16">
        <f t="shared" si="16"/>
        <v>0.99814049202651578</v>
      </c>
      <c r="N39" s="16">
        <f t="shared" si="17"/>
        <v>-0.45462844348937259</v>
      </c>
      <c r="O39" s="16">
        <f t="shared" si="18"/>
        <v>0.91688473471880916</v>
      </c>
      <c r="P39" s="16">
        <f t="shared" si="19"/>
        <v>-0.28414802240990644</v>
      </c>
      <c r="Q39" s="16">
        <f t="shared" si="20"/>
        <v>-77.621960661982769</v>
      </c>
      <c r="R39" s="16">
        <f t="shared" si="35"/>
        <v>-1</v>
      </c>
      <c r="S39" s="16">
        <f t="shared" si="21"/>
        <v>0.90973421875081772</v>
      </c>
      <c r="T39" s="16">
        <f t="shared" si="22"/>
        <v>-1.2488614598857946</v>
      </c>
      <c r="U39" s="16">
        <f t="shared" si="23"/>
        <v>-9.8583107314053772E-2</v>
      </c>
      <c r="V39" s="16">
        <f t="shared" si="36"/>
        <v>-4.4720621542312289</v>
      </c>
      <c r="W39" s="16">
        <f t="shared" si="24"/>
        <v>-0.99973903065798564</v>
      </c>
      <c r="X39" s="16">
        <f t="shared" si="25"/>
        <v>-1.0276550964046549</v>
      </c>
      <c r="Y39" s="16">
        <f t="shared" si="26"/>
        <v>1.38288743397689</v>
      </c>
      <c r="Z39" s="16">
        <f t="shared" si="27"/>
        <v>0.18534551585879255</v>
      </c>
      <c r="AA39" s="16">
        <f t="shared" si="37"/>
        <v>8.481610410078444E-3</v>
      </c>
      <c r="AB39" s="16">
        <f t="shared" si="38"/>
        <v>0.26989055968132702</v>
      </c>
      <c r="AC39" s="16">
        <f t="shared" si="39"/>
        <v>0.72198165265238656</v>
      </c>
      <c r="AD39" s="17">
        <v>7.3575980325581393E-3</v>
      </c>
      <c r="AE39" s="17">
        <v>0.272509543831852</v>
      </c>
      <c r="AF39" s="17">
        <v>0.71941411557586699</v>
      </c>
      <c r="AG39" s="18">
        <f t="shared" si="28"/>
        <v>1.4714728444822556E-5</v>
      </c>
      <c r="AH39" s="19">
        <f t="shared" si="33"/>
        <v>-9.5086920633224992E-4</v>
      </c>
      <c r="AI39" s="19">
        <f t="shared" si="33"/>
        <v>-2.0330357213755867E-2</v>
      </c>
      <c r="AJ39" s="19">
        <f t="shared" si="33"/>
        <v>2.1216429074126686E-2</v>
      </c>
      <c r="AK39" s="18">
        <f t="shared" si="40"/>
        <v>3.7379958228477662E-8</v>
      </c>
      <c r="AL39" s="18">
        <f t="shared" si="41"/>
        <v>8.2132830047409043E-6</v>
      </c>
      <c r="AM39" s="18">
        <f t="shared" si="42"/>
        <v>6.8003406039374952E-6</v>
      </c>
      <c r="AN39" s="18">
        <f t="shared" si="34"/>
        <v>1.2519053402452163E-7</v>
      </c>
      <c r="AP39" s="22" t="s">
        <v>110</v>
      </c>
      <c r="AQ39" s="22">
        <v>1.0547734180759021</v>
      </c>
      <c r="AR39">
        <v>0.61403036638574915</v>
      </c>
      <c r="AV39">
        <v>-1.7976533110692574</v>
      </c>
      <c r="AW39">
        <v>0.35133762254431516</v>
      </c>
      <c r="AX39">
        <v>0.71259000195653832</v>
      </c>
    </row>
    <row r="40" spans="1:50">
      <c r="A40" s="6">
        <v>36</v>
      </c>
      <c r="B40" s="16">
        <f t="shared" si="5"/>
        <v>-7.9896346987676861</v>
      </c>
      <c r="C40" s="16">
        <f t="shared" si="6"/>
        <v>3.3884302896664502E-4</v>
      </c>
      <c r="D40" s="16">
        <f t="shared" si="7"/>
        <v>0.61491368470486452</v>
      </c>
      <c r="E40" s="16">
        <f t="shared" si="8"/>
        <v>4.3495111120486277E-2</v>
      </c>
      <c r="F40" s="16">
        <f t="shared" si="9"/>
        <v>4.3495111120486277E-2</v>
      </c>
      <c r="G40" s="16">
        <f t="shared" si="10"/>
        <v>-1.08920479676286</v>
      </c>
      <c r="H40" s="16">
        <f t="shared" si="11"/>
        <v>-0.79658772280061629</v>
      </c>
      <c r="I40" s="16">
        <f t="shared" si="12"/>
        <v>-3.4155302905205701E-2</v>
      </c>
      <c r="J40" s="16">
        <f t="shared" si="13"/>
        <v>-0.84402576410721242</v>
      </c>
      <c r="K40" s="16">
        <f t="shared" si="14"/>
        <v>0.89558959345994882</v>
      </c>
      <c r="L40" s="16">
        <f t="shared" si="15"/>
        <v>3.661674255318327</v>
      </c>
      <c r="M40" s="16">
        <f t="shared" si="16"/>
        <v>0.99868097316575577</v>
      </c>
      <c r="N40" s="16">
        <f t="shared" si="17"/>
        <v>-0.45504058096039113</v>
      </c>
      <c r="O40" s="16">
        <f t="shared" si="18"/>
        <v>0.91730062608584362</v>
      </c>
      <c r="P40" s="16">
        <f t="shared" si="19"/>
        <v>-0.28414902578588336</v>
      </c>
      <c r="Q40" s="16">
        <f t="shared" si="20"/>
        <v>-79.639537662441398</v>
      </c>
      <c r="R40" s="16">
        <f t="shared" si="35"/>
        <v>-1</v>
      </c>
      <c r="S40" s="16">
        <f t="shared" si="21"/>
        <v>0.90973421875081772</v>
      </c>
      <c r="T40" s="16">
        <f t="shared" si="22"/>
        <v>-1.2488614598857946</v>
      </c>
      <c r="U40" s="16">
        <f t="shared" si="23"/>
        <v>-9.8583107314053772E-2</v>
      </c>
      <c r="V40" s="16">
        <f t="shared" si="36"/>
        <v>-4.6206994664695706</v>
      </c>
      <c r="W40" s="16">
        <f t="shared" si="24"/>
        <v>-0.99980613503337123</v>
      </c>
      <c r="X40" s="16">
        <f t="shared" si="25"/>
        <v>-1.0277948729467965</v>
      </c>
      <c r="Y40" s="16">
        <f t="shared" si="26"/>
        <v>1.3829774084827184</v>
      </c>
      <c r="Z40" s="16">
        <f t="shared" si="27"/>
        <v>0.18539829166432942</v>
      </c>
      <c r="AA40" s="16">
        <f t="shared" si="37"/>
        <v>7.6571466432888702E-3</v>
      </c>
      <c r="AB40" s="16">
        <f t="shared" si="38"/>
        <v>0.25088592169604129</v>
      </c>
      <c r="AC40" s="16">
        <f t="shared" si="39"/>
        <v>0.74175086314482741</v>
      </c>
      <c r="AD40" s="17">
        <v>2.8505374714209897E-3</v>
      </c>
      <c r="AE40" s="17">
        <v>0.25622929206750999</v>
      </c>
      <c r="AF40" s="17">
        <v>0.73983758563310398</v>
      </c>
      <c r="AG40" s="18">
        <f t="shared" si="28"/>
        <v>5.5315729494640626E-5</v>
      </c>
      <c r="AH40" s="19">
        <f t="shared" si="33"/>
        <v>-8.2446376678957378E-4</v>
      </c>
      <c r="AI40" s="19">
        <f t="shared" si="33"/>
        <v>-1.9004637985285733E-2</v>
      </c>
      <c r="AJ40" s="19">
        <f t="shared" si="33"/>
        <v>1.9769210492440847E-2</v>
      </c>
      <c r="AK40" s="18">
        <f t="shared" si="40"/>
        <v>1.8436684796363211E-8</v>
      </c>
      <c r="AL40" s="18">
        <f t="shared" si="41"/>
        <v>7.1104963025871474E-6</v>
      </c>
      <c r="AM40" s="18">
        <f t="shared" si="42"/>
        <v>6.1052399374133215E-6</v>
      </c>
      <c r="AN40" s="18">
        <f t="shared" si="34"/>
        <v>8.6395717379007983E-8</v>
      </c>
      <c r="AP40" s="22" t="s">
        <v>111</v>
      </c>
      <c r="AQ40" s="22">
        <v>-1.3408142958101952</v>
      </c>
      <c r="AR40">
        <v>2.2875238083962333</v>
      </c>
      <c r="AV40">
        <v>-1.5099180545149034</v>
      </c>
      <c r="AW40">
        <v>-0.42695634560761764</v>
      </c>
      <c r="AX40">
        <v>-0.96474347960221107</v>
      </c>
    </row>
    <row r="41" spans="1:50">
      <c r="A41" s="6">
        <v>37</v>
      </c>
      <c r="B41" s="16">
        <f t="shared" si="5"/>
        <v>-8.2507909389284393</v>
      </c>
      <c r="C41" s="16">
        <f t="shared" si="6"/>
        <v>2.6098386907556353E-4</v>
      </c>
      <c r="D41" s="16">
        <f t="shared" si="7"/>
        <v>0.61529808019582</v>
      </c>
      <c r="E41" s="16">
        <f t="shared" si="8"/>
        <v>4.3299255421501454E-2</v>
      </c>
      <c r="F41" s="16">
        <f t="shared" si="9"/>
        <v>4.3299255421501454E-2</v>
      </c>
      <c r="G41" s="16">
        <f t="shared" si="10"/>
        <v>-1.135861350575039</v>
      </c>
      <c r="H41" s="16">
        <f t="shared" si="11"/>
        <v>-0.81301578252465601</v>
      </c>
      <c r="I41" s="16">
        <f t="shared" si="12"/>
        <v>-3.4871615505201882E-2</v>
      </c>
      <c r="J41" s="16">
        <f t="shared" si="13"/>
        <v>-0.86190290809029613</v>
      </c>
      <c r="K41" s="16">
        <f t="shared" si="14"/>
        <v>0.91413095107295306</v>
      </c>
      <c r="L41" s="16">
        <f t="shared" si="15"/>
        <v>3.8335183352766027</v>
      </c>
      <c r="M41" s="16">
        <f t="shared" si="16"/>
        <v>0.9990644326143322</v>
      </c>
      <c r="N41" s="16">
        <f t="shared" si="17"/>
        <v>-0.45533298340684236</v>
      </c>
      <c r="O41" s="16">
        <f t="shared" si="18"/>
        <v>0.91759569183873013</v>
      </c>
      <c r="P41" s="16">
        <f t="shared" si="19"/>
        <v>-0.28414973765901064</v>
      </c>
      <c r="Q41" s="16">
        <f t="shared" si="20"/>
        <v>-81.657114662900042</v>
      </c>
      <c r="R41" s="16">
        <f t="shared" si="35"/>
        <v>-1</v>
      </c>
      <c r="S41" s="16">
        <f t="shared" si="21"/>
        <v>0.90973421875081772</v>
      </c>
      <c r="T41" s="16">
        <f t="shared" si="22"/>
        <v>-1.2488614598857946</v>
      </c>
      <c r="U41" s="16">
        <f t="shared" si="23"/>
        <v>-9.8583107314053772E-2</v>
      </c>
      <c r="V41" s="16">
        <f t="shared" si="36"/>
        <v>-4.7693367787079115</v>
      </c>
      <c r="W41" s="16">
        <f t="shared" si="24"/>
        <v>-0.99985598576175405</v>
      </c>
      <c r="X41" s="16">
        <f t="shared" si="25"/>
        <v>-1.0278987106234985</v>
      </c>
      <c r="Y41" s="16">
        <f t="shared" si="26"/>
        <v>1.3830442490519907</v>
      </c>
      <c r="Z41" s="16">
        <f t="shared" si="27"/>
        <v>0.18543749793563258</v>
      </c>
      <c r="AA41" s="16">
        <f t="shared" si="37"/>
        <v>6.9289894110948769E-3</v>
      </c>
      <c r="AB41" s="16">
        <f t="shared" si="38"/>
        <v>0.23317482833613168</v>
      </c>
      <c r="AC41" s="16">
        <f t="shared" si="39"/>
        <v>0.76013485945702275</v>
      </c>
      <c r="AD41" s="17">
        <v>-2.1838521820841201E-4</v>
      </c>
      <c r="AE41" s="17">
        <v>0.23591031536785101</v>
      </c>
      <c r="AF41" s="17">
        <v>0.75684413386429605</v>
      </c>
      <c r="AG41" s="18">
        <f t="shared" si="28"/>
        <v>6.9396728318939417E-5</v>
      </c>
      <c r="AH41" s="19">
        <f t="shared" si="33"/>
        <v>-7.2815723219399331E-4</v>
      </c>
      <c r="AI41" s="19">
        <f t="shared" si="33"/>
        <v>-1.7711093359909613E-2</v>
      </c>
      <c r="AJ41" s="19">
        <f t="shared" si="33"/>
        <v>1.8383996312195339E-2</v>
      </c>
      <c r="AK41" s="18">
        <f t="shared" si="40"/>
        <v>6.3094655141040274E-9</v>
      </c>
      <c r="AL41" s="18">
        <f t="shared" si="41"/>
        <v>5.9609842738945695E-6</v>
      </c>
      <c r="AM41" s="18">
        <f t="shared" si="42"/>
        <v>5.3214474767721843E-6</v>
      </c>
      <c r="AN41" s="18">
        <f t="shared" si="34"/>
        <v>5.696680782826427E-8</v>
      </c>
      <c r="AP41" s="22" t="s">
        <v>112</v>
      </c>
      <c r="AQ41" s="22">
        <v>4.2423049591235842E-2</v>
      </c>
      <c r="AR41">
        <v>-2.644369418133639</v>
      </c>
      <c r="AV41">
        <v>-1.7975175662393299</v>
      </c>
      <c r="AW41">
        <v>-0.20786890988047585</v>
      </c>
      <c r="AX41">
        <v>3.4668461599557651E-2</v>
      </c>
    </row>
    <row r="42" spans="1:50">
      <c r="A42" s="6">
        <v>38</v>
      </c>
      <c r="B42" s="16">
        <f t="shared" si="5"/>
        <v>-8.5119471790891943</v>
      </c>
      <c r="C42" s="16">
        <f t="shared" si="6"/>
        <v>2.0101154558362387E-4</v>
      </c>
      <c r="D42" s="16">
        <f t="shared" si="7"/>
        <v>0.61559416726848659</v>
      </c>
      <c r="E42" s="16">
        <f t="shared" si="8"/>
        <v>4.3148394285140751E-2</v>
      </c>
      <c r="F42" s="16">
        <f t="shared" si="9"/>
        <v>4.3148394285140751E-2</v>
      </c>
      <c r="G42" s="16">
        <f t="shared" si="10"/>
        <v>-1.1825179043872183</v>
      </c>
      <c r="H42" s="16">
        <f t="shared" si="11"/>
        <v>-0.82824391387370189</v>
      </c>
      <c r="I42" s="16">
        <f t="shared" si="12"/>
        <v>-3.5535607634701885E-2</v>
      </c>
      <c r="J42" s="16">
        <f t="shared" si="13"/>
        <v>-0.8784742805647846</v>
      </c>
      <c r="K42" s="16">
        <f t="shared" si="14"/>
        <v>0.93131802208824099</v>
      </c>
      <c r="L42" s="16">
        <f t="shared" si="15"/>
        <v>4.0053624152348783</v>
      </c>
      <c r="M42" s="16">
        <f t="shared" si="16"/>
        <v>0.99933645207680188</v>
      </c>
      <c r="N42" s="16">
        <f t="shared" si="17"/>
        <v>-0.45554040861595835</v>
      </c>
      <c r="O42" s="16">
        <f t="shared" si="18"/>
        <v>0.91780500635110251</v>
      </c>
      <c r="P42" s="16">
        <f t="shared" si="19"/>
        <v>-0.28415024264942396</v>
      </c>
      <c r="Q42" s="16">
        <f t="shared" si="20"/>
        <v>-83.674691663358686</v>
      </c>
      <c r="R42" s="16">
        <f t="shared" si="35"/>
        <v>-1</v>
      </c>
      <c r="S42" s="16">
        <f t="shared" si="21"/>
        <v>0.90973421875081772</v>
      </c>
      <c r="T42" s="16">
        <f t="shared" si="22"/>
        <v>-1.2488614598857946</v>
      </c>
      <c r="U42" s="16">
        <f t="shared" si="23"/>
        <v>-9.8583107314053772E-2</v>
      </c>
      <c r="V42" s="16">
        <f t="shared" si="36"/>
        <v>-4.9179740909462533</v>
      </c>
      <c r="W42" s="16">
        <f t="shared" si="24"/>
        <v>-0.99989301848479506</v>
      </c>
      <c r="X42" s="16">
        <f t="shared" si="25"/>
        <v>-1.0279758487526147</v>
      </c>
      <c r="Y42" s="16">
        <f t="shared" si="26"/>
        <v>1.3830939030564569</v>
      </c>
      <c r="Z42" s="16">
        <f t="shared" si="27"/>
        <v>0.18546662318683227</v>
      </c>
      <c r="AA42" s="16">
        <f t="shared" si="37"/>
        <v>6.2765210160293794E-3</v>
      </c>
      <c r="AB42" s="16">
        <f t="shared" si="38"/>
        <v>0.21671156324212104</v>
      </c>
      <c r="AC42" s="16">
        <f t="shared" si="39"/>
        <v>0.77719968959673635</v>
      </c>
      <c r="AD42" s="17">
        <v>8.2348707294253292E-3</v>
      </c>
      <c r="AE42" s="17">
        <v>0.22078107592961702</v>
      </c>
      <c r="AF42" s="17">
        <v>0.7750441208199299</v>
      </c>
      <c r="AG42" s="18">
        <f t="shared" si="28"/>
        <v>2.5042543865191555E-5</v>
      </c>
      <c r="AH42" s="19">
        <f t="shared" si="33"/>
        <v>-6.5246839506549748E-4</v>
      </c>
      <c r="AI42" s="19">
        <f t="shared" si="33"/>
        <v>-1.6463265094010637E-2</v>
      </c>
      <c r="AJ42" s="19">
        <f t="shared" si="33"/>
        <v>1.7064830139713605E-2</v>
      </c>
      <c r="AK42" s="18">
        <f t="shared" si="40"/>
        <v>7.5206914114987118E-10</v>
      </c>
      <c r="AL42" s="18">
        <f t="shared" si="41"/>
        <v>4.8448980592892717E-6</v>
      </c>
      <c r="AM42" s="18">
        <f t="shared" si="42"/>
        <v>4.5062190661557156E-6</v>
      </c>
      <c r="AN42" s="18">
        <f t="shared" si="34"/>
        <v>3.525902057903951E-8</v>
      </c>
      <c r="AP42" s="22" t="s">
        <v>113</v>
      </c>
      <c r="AQ42" s="22">
        <v>-0.7864733891569633</v>
      </c>
      <c r="AR42">
        <v>1.502806988855905</v>
      </c>
      <c r="AV42">
        <v>2.6839574668169695</v>
      </c>
      <c r="AW42">
        <v>-5.8710496565633319E-2</v>
      </c>
      <c r="AX42">
        <v>-0.42548442713080414</v>
      </c>
    </row>
    <row r="43" spans="1:50">
      <c r="A43" s="6">
        <v>39</v>
      </c>
      <c r="B43" s="16">
        <f t="shared" si="5"/>
        <v>-8.7731034192499475</v>
      </c>
      <c r="C43" s="16">
        <f t="shared" si="6"/>
        <v>1.5481832123870188E-4</v>
      </c>
      <c r="D43" s="16">
        <f t="shared" si="7"/>
        <v>0.61582222607589887</v>
      </c>
      <c r="E43" s="16">
        <f t="shared" si="8"/>
        <v>4.3032194646522845E-2</v>
      </c>
      <c r="F43" s="16">
        <f t="shared" si="9"/>
        <v>4.3032194646522845E-2</v>
      </c>
      <c r="G43" s="16">
        <f t="shared" si="10"/>
        <v>-1.2291744581993975</v>
      </c>
      <c r="H43" s="16">
        <f t="shared" si="11"/>
        <v>-0.84233970231438915</v>
      </c>
      <c r="I43" s="16">
        <f t="shared" si="12"/>
        <v>-3.6150226222444751E-2</v>
      </c>
      <c r="J43" s="16">
        <f t="shared" si="13"/>
        <v>-0.89381342856778978</v>
      </c>
      <c r="K43" s="16">
        <f t="shared" si="14"/>
        <v>0.94722708613514028</v>
      </c>
      <c r="L43" s="16">
        <f t="shared" si="15"/>
        <v>4.177206495193154</v>
      </c>
      <c r="M43" s="16">
        <f t="shared" si="16"/>
        <v>0.9995293995557839</v>
      </c>
      <c r="N43" s="16">
        <f t="shared" si="17"/>
        <v>-0.45568753842355691</v>
      </c>
      <c r="O43" s="16">
        <f t="shared" si="18"/>
        <v>0.91795347626979851</v>
      </c>
      <c r="P43" s="16">
        <f t="shared" si="19"/>
        <v>-0.28415060084668781</v>
      </c>
      <c r="Q43" s="16">
        <f t="shared" si="20"/>
        <v>-85.692268663817316</v>
      </c>
      <c r="R43" s="16">
        <f t="shared" si="35"/>
        <v>-1</v>
      </c>
      <c r="S43" s="16">
        <f t="shared" si="21"/>
        <v>0.90973421875081772</v>
      </c>
      <c r="T43" s="16">
        <f t="shared" si="22"/>
        <v>-1.2488614598857946</v>
      </c>
      <c r="U43" s="16">
        <f t="shared" si="23"/>
        <v>-9.8583107314053772E-2</v>
      </c>
      <c r="V43" s="16">
        <f t="shared" si="36"/>
        <v>-5.066611403184595</v>
      </c>
      <c r="W43" s="16">
        <f t="shared" si="24"/>
        <v>-0.99992052875995696</v>
      </c>
      <c r="X43" s="16">
        <f t="shared" si="25"/>
        <v>-1.0280331518884147</v>
      </c>
      <c r="Y43" s="16">
        <f t="shared" si="26"/>
        <v>1.3831307892266755</v>
      </c>
      <c r="Z43" s="16">
        <f t="shared" si="27"/>
        <v>0.18548825928617552</v>
      </c>
      <c r="AA43" s="16">
        <f t="shared" si="37"/>
        <v>5.6855282923000683E-3</v>
      </c>
      <c r="AB43" s="16">
        <f t="shared" si="38"/>
        <v>0.20144157168941268</v>
      </c>
      <c r="AC43" s="16">
        <f t="shared" si="39"/>
        <v>0.79301383190709718</v>
      </c>
      <c r="AD43" s="17">
        <v>3.9663387236011597E-3</v>
      </c>
      <c r="AE43" s="17">
        <v>0.204823212440885</v>
      </c>
      <c r="AF43" s="17">
        <v>0.78395269848070492</v>
      </c>
      <c r="AG43" s="18">
        <f t="shared" si="28"/>
        <v>9.6495245916024445E-5</v>
      </c>
      <c r="AH43" s="19">
        <f t="shared" si="33"/>
        <v>-5.9099272372931111E-4</v>
      </c>
      <c r="AI43" s="19">
        <f t="shared" si="33"/>
        <v>-1.5269991552708362E-2</v>
      </c>
      <c r="AJ43" s="19">
        <f t="shared" si="33"/>
        <v>1.5814142310360824E-2</v>
      </c>
      <c r="AK43" s="18">
        <f t="shared" si="40"/>
        <v>3.4278725941944443E-10</v>
      </c>
      <c r="AL43" s="18">
        <f t="shared" si="41"/>
        <v>3.81528664764745E-6</v>
      </c>
      <c r="AM43" s="18">
        <f t="shared" si="42"/>
        <v>3.7054264378482304E-6</v>
      </c>
      <c r="AN43" s="18">
        <f t="shared" si="34"/>
        <v>1.9861797283533163E-8</v>
      </c>
      <c r="AP43" s="22" t="s">
        <v>114</v>
      </c>
      <c r="AQ43" s="22">
        <v>-0.6009226278552906</v>
      </c>
      <c r="AR43">
        <v>-1.4983673951622454</v>
      </c>
      <c r="AV43">
        <v>-1.6888971750322606</v>
      </c>
      <c r="AW43">
        <v>0.17112685445309472</v>
      </c>
      <c r="AX43">
        <v>-0.30032614603450281</v>
      </c>
    </row>
    <row r="44" spans="1:50">
      <c r="A44" s="6">
        <v>40</v>
      </c>
      <c r="B44" s="16">
        <f t="shared" si="5"/>
        <v>-9.0342596594107025</v>
      </c>
      <c r="C44" s="16">
        <f t="shared" si="6"/>
        <v>1.1923921104198042E-4</v>
      </c>
      <c r="D44" s="16">
        <f t="shared" si="7"/>
        <v>0.61599788234487174</v>
      </c>
      <c r="E44" s="16">
        <f t="shared" si="8"/>
        <v>4.2942694945953444E-2</v>
      </c>
      <c r="F44" s="16">
        <f t="shared" si="9"/>
        <v>4.2942694945953444E-2</v>
      </c>
      <c r="G44" s="16">
        <f t="shared" si="10"/>
        <v>-1.2758310120115768</v>
      </c>
      <c r="H44" s="16">
        <f t="shared" si="11"/>
        <v>-0.85537018314885338</v>
      </c>
      <c r="I44" s="16">
        <f t="shared" si="12"/>
        <v>-3.671839420834979E-2</v>
      </c>
      <c r="J44" s="16">
        <f t="shared" si="13"/>
        <v>-0.90799330044308191</v>
      </c>
      <c r="K44" s="16">
        <f t="shared" si="14"/>
        <v>0.9619338019055762</v>
      </c>
      <c r="L44" s="16">
        <f t="shared" si="15"/>
        <v>4.3490505751514297</v>
      </c>
      <c r="M44" s="16">
        <f t="shared" si="16"/>
        <v>0.9996662508377111</v>
      </c>
      <c r="N44" s="16">
        <f t="shared" si="17"/>
        <v>-0.45579189274259657</v>
      </c>
      <c r="O44" s="16">
        <f t="shared" si="18"/>
        <v>0.91805878108543215</v>
      </c>
      <c r="P44" s="16">
        <f t="shared" si="19"/>
        <v>-0.28415085490419084</v>
      </c>
      <c r="Q44" s="16">
        <f t="shared" si="20"/>
        <v>-87.70984566427596</v>
      </c>
      <c r="R44" s="16">
        <f t="shared" si="35"/>
        <v>-1</v>
      </c>
      <c r="S44" s="16">
        <f t="shared" si="21"/>
        <v>0.90973421875081772</v>
      </c>
      <c r="T44" s="16">
        <f t="shared" si="22"/>
        <v>-1.2488614598857946</v>
      </c>
      <c r="U44" s="16">
        <f t="shared" si="23"/>
        <v>-9.8583107314053772E-2</v>
      </c>
      <c r="V44" s="16">
        <f t="shared" si="36"/>
        <v>-5.2152487154229368</v>
      </c>
      <c r="W44" s="16">
        <f t="shared" si="24"/>
        <v>-0.9999409649822083</v>
      </c>
      <c r="X44" s="16">
        <f t="shared" si="25"/>
        <v>-1.0280757199693233</v>
      </c>
      <c r="Y44" s="16">
        <f t="shared" si="26"/>
        <v>1.3831581904056225</v>
      </c>
      <c r="Z44" s="16">
        <f t="shared" si="27"/>
        <v>0.18550433183115111</v>
      </c>
      <c r="AA44" s="16">
        <f t="shared" si="37"/>
        <v>5.1460941754197798E-3</v>
      </c>
      <c r="AB44" s="16">
        <f t="shared" si="38"/>
        <v>0.18730490610813155</v>
      </c>
      <c r="AC44" s="16">
        <f t="shared" si="39"/>
        <v>0.80764686646443606</v>
      </c>
      <c r="AD44" s="17">
        <v>7.9785242352294391E-3</v>
      </c>
      <c r="AE44" s="17">
        <v>0.19286137258476199</v>
      </c>
      <c r="AF44" s="17">
        <v>0.80233719563429595</v>
      </c>
      <c r="AG44" s="18">
        <f t="shared" si="28"/>
        <v>6.708958407407202E-5</v>
      </c>
      <c r="AH44" s="19">
        <f t="shared" si="33"/>
        <v>-5.3943411688028853E-4</v>
      </c>
      <c r="AI44" s="19">
        <f t="shared" si="33"/>
        <v>-1.4136665581281127E-2</v>
      </c>
      <c r="AJ44" s="19">
        <f t="shared" si="33"/>
        <v>1.4633034557338886E-2</v>
      </c>
      <c r="AK44" s="18">
        <f t="shared" si="40"/>
        <v>3.321803835319104E-9</v>
      </c>
      <c r="AL44" s="18">
        <f t="shared" si="41"/>
        <v>2.9035464860836493E-6</v>
      </c>
      <c r="AM44" s="18">
        <f t="shared" si="42"/>
        <v>2.9534125689587174E-6</v>
      </c>
      <c r="AN44" s="18">
        <f t="shared" si="34"/>
        <v>9.5779003616285285E-9</v>
      </c>
      <c r="AP44" s="1" t="s">
        <v>70</v>
      </c>
      <c r="AQ44">
        <v>6.8948994833356911E-2</v>
      </c>
      <c r="AR44">
        <v>6.7650993959300909E-2</v>
      </c>
      <c r="AV44">
        <v>6.6872179179403468E-2</v>
      </c>
      <c r="AW44">
        <v>6.703574747823153E-2</v>
      </c>
      <c r="AX44">
        <v>6.8925087388265485E-2</v>
      </c>
    </row>
    <row r="45" spans="1:50">
      <c r="A45" s="6">
        <v>41</v>
      </c>
      <c r="B45" s="16">
        <f t="shared" si="5"/>
        <v>-9.2954158995714558</v>
      </c>
      <c r="C45" s="16">
        <f t="shared" si="6"/>
        <v>9.1835856800518139E-5</v>
      </c>
      <c r="D45" s="16">
        <f t="shared" si="7"/>
        <v>0.61613317440070958</v>
      </c>
      <c r="E45" s="16">
        <f t="shared" si="8"/>
        <v>4.2873761462635634E-2</v>
      </c>
      <c r="F45" s="16">
        <f t="shared" si="9"/>
        <v>4.2873761462635634E-2</v>
      </c>
      <c r="G45" s="16">
        <f t="shared" si="10"/>
        <v>-1.3224875658237558</v>
      </c>
      <c r="H45" s="16">
        <f t="shared" si="11"/>
        <v>-0.86740121843869356</v>
      </c>
      <c r="I45" s="16">
        <f t="shared" si="12"/>
        <v>-3.7242983375535506E-2</v>
      </c>
      <c r="J45" s="16">
        <f t="shared" si="13"/>
        <v>-0.92108556780483852</v>
      </c>
      <c r="K45" s="16">
        <f t="shared" si="14"/>
        <v>0.975512503925826</v>
      </c>
      <c r="L45" s="16">
        <f t="shared" si="15"/>
        <v>4.5208946551097053</v>
      </c>
      <c r="M45" s="16">
        <f t="shared" si="16"/>
        <v>0.99976331028204291</v>
      </c>
      <c r="N45" s="16">
        <f t="shared" si="17"/>
        <v>-0.45586590426866314</v>
      </c>
      <c r="O45" s="16">
        <f t="shared" si="18"/>
        <v>0.91813346673504348</v>
      </c>
      <c r="P45" s="16">
        <f t="shared" si="19"/>
        <v>-0.28415103509015427</v>
      </c>
      <c r="Q45" s="16">
        <f t="shared" si="20"/>
        <v>-89.72742266473459</v>
      </c>
      <c r="R45" s="16">
        <f t="shared" si="35"/>
        <v>-1</v>
      </c>
      <c r="S45" s="16">
        <f t="shared" si="21"/>
        <v>0.90973421875081772</v>
      </c>
      <c r="T45" s="16">
        <f t="shared" si="22"/>
        <v>-1.2488614598857946</v>
      </c>
      <c r="U45" s="16">
        <f t="shared" si="23"/>
        <v>-9.8583107314053772E-2</v>
      </c>
      <c r="V45" s="16">
        <f t="shared" si="36"/>
        <v>-5.3638860276612776</v>
      </c>
      <c r="W45" s="16">
        <f t="shared" si="24"/>
        <v>-0.9999561460955454</v>
      </c>
      <c r="X45" s="16">
        <f t="shared" si="25"/>
        <v>-1.0281073418049476</v>
      </c>
      <c r="Y45" s="16">
        <f t="shared" si="26"/>
        <v>1.3831785454594112</v>
      </c>
      <c r="Z45" s="16">
        <f t="shared" si="27"/>
        <v>0.18551627137280846</v>
      </c>
      <c r="AA45" s="16">
        <f t="shared" si="37"/>
        <v>4.6511637023811669E-3</v>
      </c>
      <c r="AB45" s="16">
        <f t="shared" si="38"/>
        <v>0.17423874596645716</v>
      </c>
      <c r="AC45" s="16">
        <f t="shared" si="39"/>
        <v>0.82116839435706213</v>
      </c>
      <c r="AD45" s="17">
        <v>3.1396670372780401E-3</v>
      </c>
      <c r="AE45" s="17">
        <v>0.17630438116484701</v>
      </c>
      <c r="AF45" s="17">
        <v>0.81844367482675706</v>
      </c>
      <c r="AG45" s="18">
        <f t="shared" si="28"/>
        <v>1.3975567460270767E-5</v>
      </c>
      <c r="AH45" s="19">
        <f t="shared" si="33"/>
        <v>-4.9493047303861282E-4</v>
      </c>
      <c r="AI45" s="19">
        <f t="shared" si="33"/>
        <v>-1.3066160141674388E-2</v>
      </c>
      <c r="AJ45" s="19">
        <f t="shared" si="33"/>
        <v>1.3521527892626062E-2</v>
      </c>
      <c r="AK45" s="18">
        <f t="shared" si="40"/>
        <v>8.0723374238901055E-9</v>
      </c>
      <c r="AL45" s="18">
        <f t="shared" si="41"/>
        <v>2.124766937421253E-6</v>
      </c>
      <c r="AM45" s="18">
        <f t="shared" si="42"/>
        <v>2.2738875590206632E-6</v>
      </c>
      <c r="AN45" s="18">
        <f t="shared" si="34"/>
        <v>3.3993594362141616E-9</v>
      </c>
      <c r="AP45" s="1" t="s">
        <v>71</v>
      </c>
      <c r="AQ45">
        <v>0.49984923742281573</v>
      </c>
      <c r="AR45">
        <v>0.52549051189413742</v>
      </c>
      <c r="AV45">
        <v>0.46907788146705215</v>
      </c>
      <c r="AW45">
        <v>0.52593676241416421</v>
      </c>
      <c r="AX45">
        <v>0.49922753084959554</v>
      </c>
    </row>
    <row r="46" spans="1:50">
      <c r="A46" s="6">
        <v>42</v>
      </c>
      <c r="B46" s="16">
        <f t="shared" si="5"/>
        <v>-9.556572139732209</v>
      </c>
      <c r="C46" s="16">
        <f t="shared" si="6"/>
        <v>7.0729849687098208E-5</v>
      </c>
      <c r="D46" s="16">
        <f t="shared" si="7"/>
        <v>0.61623737606404405</v>
      </c>
      <c r="E46" s="16">
        <f t="shared" si="8"/>
        <v>4.2820669035466365E-2</v>
      </c>
      <c r="F46" s="16">
        <f t="shared" si="9"/>
        <v>4.2820669035466365E-2</v>
      </c>
      <c r="G46" s="16">
        <f t="shared" si="10"/>
        <v>-1.3691441196359351</v>
      </c>
      <c r="H46" s="16">
        <f t="shared" si="11"/>
        <v>-0.87849699145364768</v>
      </c>
      <c r="I46" s="16">
        <f t="shared" si="12"/>
        <v>-3.7726792306767877E-2</v>
      </c>
      <c r="J46" s="16">
        <f t="shared" si="13"/>
        <v>-0.93316007539271162</v>
      </c>
      <c r="K46" s="16">
        <f t="shared" si="14"/>
        <v>0.98803563197130873</v>
      </c>
      <c r="L46" s="16">
        <f t="shared" si="15"/>
        <v>4.6927387350679819</v>
      </c>
      <c r="M46" s="16">
        <f t="shared" si="16"/>
        <v>0.99983214570058643</v>
      </c>
      <c r="N46" s="16">
        <f t="shared" si="17"/>
        <v>-0.45591839389920774</v>
      </c>
      <c r="O46" s="16">
        <f t="shared" si="18"/>
        <v>0.91818643445998338</v>
      </c>
      <c r="P46" s="16">
        <f t="shared" si="19"/>
        <v>-0.28415116287963721</v>
      </c>
      <c r="Q46" s="16">
        <f t="shared" si="20"/>
        <v>-91.744999665193234</v>
      </c>
      <c r="R46" s="16">
        <f t="shared" si="35"/>
        <v>-1</v>
      </c>
      <c r="S46" s="16">
        <f t="shared" si="21"/>
        <v>0.90973421875081772</v>
      </c>
      <c r="T46" s="16">
        <f t="shared" si="22"/>
        <v>-1.2488614598857946</v>
      </c>
      <c r="U46" s="16">
        <f t="shared" si="23"/>
        <v>-9.8583107314053772E-2</v>
      </c>
      <c r="V46" s="16">
        <f t="shared" si="36"/>
        <v>-5.5125233398996194</v>
      </c>
      <c r="W46" s="16">
        <f t="shared" si="24"/>
        <v>-0.99996742338269995</v>
      </c>
      <c r="X46" s="16">
        <f t="shared" si="25"/>
        <v>-1.0281308320795259</v>
      </c>
      <c r="Y46" s="16">
        <f t="shared" si="26"/>
        <v>1.3831936662072459</v>
      </c>
      <c r="Z46" s="16">
        <f t="shared" si="27"/>
        <v>0.18552514065905745</v>
      </c>
      <c r="AA46" s="16">
        <f t="shared" si="37"/>
        <v>4.195576529360201E-3</v>
      </c>
      <c r="AB46" s="16">
        <f t="shared" si="38"/>
        <v>0.16217923442418947</v>
      </c>
      <c r="AC46" s="16">
        <f t="shared" si="39"/>
        <v>0.83364717147214162</v>
      </c>
      <c r="AD46" s="17">
        <v>2.6118371468564702E-3</v>
      </c>
      <c r="AE46" s="17">
        <v>0.16677826328596299</v>
      </c>
      <c r="AF46" s="17">
        <v>0.83017491401183396</v>
      </c>
      <c r="AG46" s="18">
        <f t="shared" si="28"/>
        <v>3.5715868773781328E-5</v>
      </c>
      <c r="AH46" s="19">
        <f t="shared" si="33"/>
        <v>-4.5558717302096596E-4</v>
      </c>
      <c r="AI46" s="19">
        <f t="shared" si="33"/>
        <v>-1.2059511542267698E-2</v>
      </c>
      <c r="AJ46" s="19">
        <f t="shared" si="33"/>
        <v>1.2478777115079498E-2</v>
      </c>
      <c r="AK46" s="18">
        <f t="shared" si="40"/>
        <v>1.3333797209696076E-8</v>
      </c>
      <c r="AL46" s="18">
        <f t="shared" si="41"/>
        <v>1.48238284740488E-6</v>
      </c>
      <c r="AM46" s="18">
        <f t="shared" si="42"/>
        <v>1.681383998253117E-6</v>
      </c>
      <c r="AN46" s="18">
        <f t="shared" si="34"/>
        <v>4.8322703927315241E-10</v>
      </c>
    </row>
    <row r="47" spans="1:50">
      <c r="A47" s="6">
        <v>43</v>
      </c>
      <c r="B47" s="16">
        <f t="shared" si="5"/>
        <v>-9.817728379892964</v>
      </c>
      <c r="C47" s="16">
        <f t="shared" si="6"/>
        <v>5.4474227633279685E-5</v>
      </c>
      <c r="D47" s="16">
        <f t="shared" si="7"/>
        <v>0.616317631076157</v>
      </c>
      <c r="E47" s="16">
        <f t="shared" si="8"/>
        <v>4.2779777813107461E-2</v>
      </c>
      <c r="F47" s="16">
        <f t="shared" si="9"/>
        <v>4.2779777813107461E-2</v>
      </c>
      <c r="G47" s="16">
        <f t="shared" si="10"/>
        <v>-1.4158006734481141</v>
      </c>
      <c r="H47" s="16">
        <f t="shared" si="11"/>
        <v>-0.88871960744921119</v>
      </c>
      <c r="I47" s="16">
        <f t="shared" si="12"/>
        <v>-3.8172528977169023E-2</v>
      </c>
      <c r="J47" s="16">
        <f t="shared" si="13"/>
        <v>-0.94428440663488733</v>
      </c>
      <c r="K47" s="16">
        <f t="shared" si="14"/>
        <v>0.99957328048842475</v>
      </c>
      <c r="L47" s="16">
        <f t="shared" si="15"/>
        <v>4.8645828150262576</v>
      </c>
      <c r="M47" s="16">
        <f t="shared" si="16"/>
        <v>0.99988096321198672</v>
      </c>
      <c r="N47" s="16">
        <f t="shared" si="17"/>
        <v>-0.45595561911250237</v>
      </c>
      <c r="O47" s="16">
        <f t="shared" si="18"/>
        <v>0.91822399873388205</v>
      </c>
      <c r="P47" s="16">
        <f t="shared" si="19"/>
        <v>-0.28415125350688514</v>
      </c>
      <c r="Q47" s="16">
        <f t="shared" si="20"/>
        <v>-93.762576665651878</v>
      </c>
      <c r="R47" s="16">
        <f t="shared" si="35"/>
        <v>-1</v>
      </c>
      <c r="S47" s="16">
        <f t="shared" si="21"/>
        <v>0.90973421875081772</v>
      </c>
      <c r="T47" s="16">
        <f t="shared" si="22"/>
        <v>-1.2488614598857946</v>
      </c>
      <c r="U47" s="16">
        <f t="shared" si="23"/>
        <v>-9.8583107314053772E-2</v>
      </c>
      <c r="V47" s="16">
        <f t="shared" si="36"/>
        <v>-5.6611606521379612</v>
      </c>
      <c r="W47" s="16">
        <f t="shared" si="24"/>
        <v>-0.9999758006848174</v>
      </c>
      <c r="X47" s="16">
        <f t="shared" si="25"/>
        <v>-1.0281482817661629</v>
      </c>
      <c r="Y47" s="16">
        <f t="shared" si="26"/>
        <v>1.3832048986136853</v>
      </c>
      <c r="Z47" s="16">
        <f t="shared" si="27"/>
        <v>0.18553172918424576</v>
      </c>
      <c r="AA47" s="16">
        <f t="shared" si="37"/>
        <v>3.7754199711403924E-3</v>
      </c>
      <c r="AB47" s="16">
        <f t="shared" si="38"/>
        <v>0.151062808639993</v>
      </c>
      <c r="AC47" s="16">
        <f t="shared" si="39"/>
        <v>0.84515042666483908</v>
      </c>
      <c r="AD47" s="17">
        <v>2.39128185473625E-3</v>
      </c>
      <c r="AE47" s="17">
        <v>0.157909899247861</v>
      </c>
      <c r="AF47" s="17">
        <v>0.83969352077445703</v>
      </c>
      <c r="AG47" s="18">
        <f t="shared" si="28"/>
        <v>7.8576310014123464E-5</v>
      </c>
      <c r="AH47" s="19">
        <f t="shared" si="33"/>
        <v>-4.2015655821980857E-4</v>
      </c>
      <c r="AI47" s="19">
        <f t="shared" si="33"/>
        <v>-1.1116425784196471E-2</v>
      </c>
      <c r="AJ47" s="19">
        <f t="shared" si="33"/>
        <v>1.1503255192697459E-2</v>
      </c>
      <c r="AK47" s="18">
        <f t="shared" si="40"/>
        <v>1.824654416890169E-8</v>
      </c>
      <c r="AL47" s="18">
        <f t="shared" si="41"/>
        <v>9.7194707131561542E-7</v>
      </c>
      <c r="AM47" s="18">
        <f t="shared" si="42"/>
        <v>1.182931143050953E-6</v>
      </c>
      <c r="AN47" s="18">
        <f t="shared" si="34"/>
        <v>1.287027632607902E-10</v>
      </c>
      <c r="AQ47" s="10"/>
    </row>
    <row r="48" spans="1:50">
      <c r="A48" s="6">
        <v>44</v>
      </c>
      <c r="B48" s="16">
        <f t="shared" si="5"/>
        <v>-10.078884620053717</v>
      </c>
      <c r="C48" s="16">
        <f t="shared" si="6"/>
        <v>4.1954428043146573E-5</v>
      </c>
      <c r="D48" s="16">
        <f t="shared" si="7"/>
        <v>0.61637944210156292</v>
      </c>
      <c r="E48" s="16">
        <f t="shared" si="8"/>
        <v>4.2748284099287458E-2</v>
      </c>
      <c r="F48" s="16">
        <f t="shared" si="9"/>
        <v>4.2748284099287458E-2</v>
      </c>
      <c r="G48" s="16">
        <f t="shared" si="10"/>
        <v>-1.4624572272602934</v>
      </c>
      <c r="H48" s="16">
        <f t="shared" si="11"/>
        <v>-0.898128789074779</v>
      </c>
      <c r="I48" s="16">
        <f t="shared" si="12"/>
        <v>-3.8582797473100047E-2</v>
      </c>
      <c r="J48" s="16">
        <f t="shared" si="13"/>
        <v>-0.95452355218882734</v>
      </c>
      <c r="K48" s="16">
        <f t="shared" si="14"/>
        <v>1.010192854820144</v>
      </c>
      <c r="L48" s="16">
        <f t="shared" si="15"/>
        <v>5.0364268949845332</v>
      </c>
      <c r="M48" s="16">
        <f t="shared" si="16"/>
        <v>0.99991558359629051</v>
      </c>
      <c r="N48" s="16">
        <f t="shared" si="17"/>
        <v>-0.45598201847521236</v>
      </c>
      <c r="O48" s="16">
        <f t="shared" si="18"/>
        <v>0.91825063855146316</v>
      </c>
      <c r="P48" s="16">
        <f t="shared" si="19"/>
        <v>-0.28415131777788261</v>
      </c>
      <c r="Q48" s="16">
        <f t="shared" si="20"/>
        <v>-95.780153666110508</v>
      </c>
      <c r="R48" s="16">
        <f t="shared" si="35"/>
        <v>-1</v>
      </c>
      <c r="S48" s="16">
        <f t="shared" si="21"/>
        <v>0.90973421875081772</v>
      </c>
      <c r="T48" s="16">
        <f t="shared" si="22"/>
        <v>-1.2488614598857946</v>
      </c>
      <c r="U48" s="16">
        <f t="shared" si="23"/>
        <v>-9.8583107314053772E-2</v>
      </c>
      <c r="V48" s="16">
        <f t="shared" si="36"/>
        <v>-5.809797964376302</v>
      </c>
      <c r="W48" s="16">
        <f t="shared" si="24"/>
        <v>-0.99998202372520417</v>
      </c>
      <c r="X48" s="16">
        <f t="shared" si="25"/>
        <v>-1.0281612441857051</v>
      </c>
      <c r="Y48" s="16">
        <f t="shared" si="26"/>
        <v>1.3832132425551995</v>
      </c>
      <c r="Z48" s="16">
        <f t="shared" si="27"/>
        <v>0.18553662343990962</v>
      </c>
      <c r="AA48" s="16">
        <f t="shared" si="37"/>
        <v>3.3876007183633039E-3</v>
      </c>
      <c r="AB48" s="16">
        <f t="shared" si="38"/>
        <v>0.14082715313132832</v>
      </c>
      <c r="AC48" s="16">
        <f t="shared" si="39"/>
        <v>0.8557433372674047</v>
      </c>
      <c r="AD48" s="17">
        <v>1.2757458204968699E-3</v>
      </c>
      <c r="AE48" s="17">
        <v>0.14923463373831</v>
      </c>
      <c r="AF48" s="17">
        <v>0.84673055231667504</v>
      </c>
      <c r="AG48" s="18">
        <f t="shared" si="28"/>
        <v>1.5637595383451451E-4</v>
      </c>
      <c r="AH48" s="19">
        <f t="shared" si="33"/>
        <v>-3.8781925277708851E-4</v>
      </c>
      <c r="AI48" s="19">
        <f t="shared" si="33"/>
        <v>-1.0235655508664676E-2</v>
      </c>
      <c r="AJ48" s="19">
        <f t="shared" si="33"/>
        <v>1.0592910602565619E-2</v>
      </c>
      <c r="AK48" s="18">
        <f t="shared" si="40"/>
        <v>2.2307840226959592E-8</v>
      </c>
      <c r="AL48" s="18">
        <f t="shared" si="41"/>
        <v>5.8404140024229619E-7</v>
      </c>
      <c r="AM48" s="18">
        <f t="shared" si="42"/>
        <v>7.7972423018591319E-7</v>
      </c>
      <c r="AN48" s="18">
        <f t="shared" si="34"/>
        <v>1.7563544662338594E-9</v>
      </c>
    </row>
    <row r="49" spans="1:40">
      <c r="A49" s="6">
        <v>45</v>
      </c>
      <c r="B49" s="16">
        <f t="shared" si="5"/>
        <v>-10.340040860214472</v>
      </c>
      <c r="C49" s="16">
        <f t="shared" si="6"/>
        <v>3.2311958220883292E-5</v>
      </c>
      <c r="D49" s="16">
        <f t="shared" si="7"/>
        <v>0.61642704757183175</v>
      </c>
      <c r="E49" s="16">
        <f t="shared" si="8"/>
        <v>4.2724028344799207E-2</v>
      </c>
      <c r="F49" s="16">
        <f t="shared" si="9"/>
        <v>4.2724028344799207E-2</v>
      </c>
      <c r="G49" s="16">
        <f t="shared" si="10"/>
        <v>-1.5091137810724726</v>
      </c>
      <c r="H49" s="16">
        <f t="shared" si="11"/>
        <v>-0.90678165471359085</v>
      </c>
      <c r="I49" s="16">
        <f t="shared" si="12"/>
        <v>-3.896008832711885E-2</v>
      </c>
      <c r="J49" s="16">
        <f t="shared" si="13"/>
        <v>-0.96393966872905124</v>
      </c>
      <c r="K49" s="16">
        <f t="shared" si="14"/>
        <v>1.0199588210317054</v>
      </c>
      <c r="L49" s="16">
        <f t="shared" si="15"/>
        <v>5.2082709749428089</v>
      </c>
      <c r="M49" s="16">
        <f t="shared" si="16"/>
        <v>0.99994013536944326</v>
      </c>
      <c r="N49" s="16">
        <f t="shared" si="17"/>
        <v>-0.45600074013811887</v>
      </c>
      <c r="O49" s="16">
        <f t="shared" si="18"/>
        <v>0.91826953073799522</v>
      </c>
      <c r="P49" s="16">
        <f t="shared" si="19"/>
        <v>-0.28415136335701124</v>
      </c>
      <c r="Q49" s="16">
        <f t="shared" si="20"/>
        <v>-97.797730666569151</v>
      </c>
      <c r="R49" s="16">
        <f t="shared" si="35"/>
        <v>-1</v>
      </c>
      <c r="S49" s="16">
        <f t="shared" si="21"/>
        <v>0.90973421875081772</v>
      </c>
      <c r="T49" s="16">
        <f t="shared" si="22"/>
        <v>-1.2488614598857946</v>
      </c>
      <c r="U49" s="16">
        <f t="shared" si="23"/>
        <v>-9.8583107314053772E-2</v>
      </c>
      <c r="V49" s="16">
        <f t="shared" si="36"/>
        <v>-5.9584352766146438</v>
      </c>
      <c r="W49" s="16">
        <f t="shared" si="24"/>
        <v>-0.99998664647348323</v>
      </c>
      <c r="X49" s="16">
        <f t="shared" si="25"/>
        <v>-1.028170873241425</v>
      </c>
      <c r="Y49" s="16">
        <f t="shared" si="26"/>
        <v>1.3832194408021778</v>
      </c>
      <c r="Z49" s="16">
        <f t="shared" si="27"/>
        <v>0.18554025910841587</v>
      </c>
      <c r="AA49" s="16">
        <f t="shared" si="37"/>
        <v>3.0295646159868017E-3</v>
      </c>
      <c r="AB49" s="16">
        <f t="shared" si="38"/>
        <v>0.13141187127012643</v>
      </c>
      <c r="AC49" s="16">
        <f t="shared" si="39"/>
        <v>0.86548863781385554</v>
      </c>
      <c r="AD49" s="17">
        <v>3.5362804167817599E-3</v>
      </c>
      <c r="AE49" s="17">
        <v>0.135577127775768</v>
      </c>
      <c r="AF49" s="17">
        <v>0.86534225693530897</v>
      </c>
      <c r="AG49" s="18">
        <f t="shared" si="28"/>
        <v>1.7627550022168702E-5</v>
      </c>
      <c r="AH49" s="19">
        <f t="shared" si="33"/>
        <v>-3.5803610237650219E-4</v>
      </c>
      <c r="AI49" s="19">
        <f t="shared" si="33"/>
        <v>-9.4152818612018851E-3</v>
      </c>
      <c r="AJ49" s="19">
        <f t="shared" si="33"/>
        <v>9.7453005464508413E-3</v>
      </c>
      <c r="AK49" s="18">
        <f t="shared" si="40"/>
        <v>2.5292368641691985E-8</v>
      </c>
      <c r="AL49" s="18">
        <f t="shared" si="41"/>
        <v>3.0643507711076112E-7</v>
      </c>
      <c r="AM49" s="18">
        <f t="shared" si="42"/>
        <v>4.6865540805285362E-7</v>
      </c>
      <c r="AN49" s="18">
        <f t="shared" si="34"/>
        <v>4.8896874360562014E-9</v>
      </c>
    </row>
    <row r="50" spans="1:40">
      <c r="A50" s="6">
        <v>46</v>
      </c>
      <c r="B50" s="16">
        <f t="shared" si="5"/>
        <v>-10.601197100375225</v>
      </c>
      <c r="C50" s="16">
        <f t="shared" si="6"/>
        <v>2.4885581305149236E-5</v>
      </c>
      <c r="D50" s="16">
        <f t="shared" si="7"/>
        <v>0.61646371205427086</v>
      </c>
      <c r="E50" s="16">
        <f t="shared" si="8"/>
        <v>4.2705347199975784E-2</v>
      </c>
      <c r="F50" s="16">
        <f t="shared" si="9"/>
        <v>4.2705347199975784E-2</v>
      </c>
      <c r="G50" s="16">
        <f t="shared" si="10"/>
        <v>-1.5557703348846519</v>
      </c>
      <c r="H50" s="16">
        <f t="shared" si="11"/>
        <v>-0.91473256843104145</v>
      </c>
      <c r="I50" s="16">
        <f t="shared" si="12"/>
        <v>-3.9306771975277141E-2</v>
      </c>
      <c r="J50" s="16">
        <f t="shared" si="13"/>
        <v>-0.97259191565970626</v>
      </c>
      <c r="K50" s="16">
        <f t="shared" si="14"/>
        <v>1.0289325365563493</v>
      </c>
      <c r="L50" s="16">
        <f t="shared" si="15"/>
        <v>5.3801150549010845</v>
      </c>
      <c r="M50" s="16">
        <f t="shared" si="16"/>
        <v>0.99995754662555569</v>
      </c>
      <c r="N50" s="16">
        <f t="shared" si="17"/>
        <v>-0.45601401688459609</v>
      </c>
      <c r="O50" s="16">
        <f t="shared" si="18"/>
        <v>0.91828292841384485</v>
      </c>
      <c r="P50" s="16">
        <f t="shared" si="19"/>
        <v>-0.28415139568013009</v>
      </c>
      <c r="Q50" s="16">
        <f t="shared" si="20"/>
        <v>-99.815307667027781</v>
      </c>
      <c r="R50" s="16">
        <f t="shared" si="35"/>
        <v>-1</v>
      </c>
      <c r="S50" s="16">
        <f t="shared" si="21"/>
        <v>0.90973421875081772</v>
      </c>
      <c r="T50" s="16">
        <f t="shared" si="22"/>
        <v>-1.2488614598857946</v>
      </c>
      <c r="U50" s="16">
        <f t="shared" si="23"/>
        <v>-9.8583107314053772E-2</v>
      </c>
      <c r="V50" s="16">
        <f t="shared" si="36"/>
        <v>-6.1070725888529855</v>
      </c>
      <c r="W50" s="16">
        <f t="shared" si="24"/>
        <v>-0.99999008044956683</v>
      </c>
      <c r="X50" s="16">
        <f t="shared" si="25"/>
        <v>-1.0281780261178211</v>
      </c>
      <c r="Y50" s="16">
        <f t="shared" si="26"/>
        <v>1.3832240451264022</v>
      </c>
      <c r="Z50" s="16">
        <f t="shared" si="27"/>
        <v>0.18554295983922464</v>
      </c>
      <c r="AA50" s="16">
        <f t="shared" si="37"/>
        <v>2.6991158273943494E-3</v>
      </c>
      <c r="AB50" s="16">
        <f t="shared" si="38"/>
        <v>0.12275894519472197</v>
      </c>
      <c r="AC50" s="16">
        <f t="shared" si="39"/>
        <v>0.87444634060136606</v>
      </c>
      <c r="AD50" s="17">
        <v>-3.1346344649783998E-3</v>
      </c>
      <c r="AE50" s="17">
        <v>0.125187367886479</v>
      </c>
      <c r="AF50" s="17">
        <v>0.87833605384871605</v>
      </c>
      <c r="AG50" s="18">
        <f t="shared" si="28"/>
        <v>5.5059748390209588E-5</v>
      </c>
      <c r="AH50" s="19">
        <f t="shared" si="33"/>
        <v>-3.304487885924523E-4</v>
      </c>
      <c r="AI50" s="19">
        <f t="shared" si="33"/>
        <v>-8.6529260754044657E-3</v>
      </c>
      <c r="AJ50" s="19">
        <f t="shared" si="33"/>
        <v>8.9577027875105131E-3</v>
      </c>
      <c r="AK50" s="18">
        <f t="shared" si="40"/>
        <v>2.7168413443556126E-8</v>
      </c>
      <c r="AL50" s="18">
        <f t="shared" si="41"/>
        <v>1.2562810321869294E-7</v>
      </c>
      <c r="AM50" s="18">
        <f t="shared" si="42"/>
        <v>2.4363790909883484E-7</v>
      </c>
      <c r="AN50" s="18">
        <f t="shared" si="34"/>
        <v>9.139049592805581E-9</v>
      </c>
    </row>
    <row r="51" spans="1:40">
      <c r="A51" s="6">
        <v>47</v>
      </c>
      <c r="B51" s="16">
        <f t="shared" si="5"/>
        <v>-10.86235334053598</v>
      </c>
      <c r="C51" s="16">
        <f t="shared" si="6"/>
        <v>1.9166003360177529E-5</v>
      </c>
      <c r="D51" s="16">
        <f t="shared" si="7"/>
        <v>0.61649194996456025</v>
      </c>
      <c r="E51" s="16">
        <f t="shared" si="8"/>
        <v>4.2690959529496447E-2</v>
      </c>
      <c r="F51" s="16">
        <f t="shared" si="9"/>
        <v>4.2690959529496447E-2</v>
      </c>
      <c r="G51" s="16">
        <f t="shared" si="10"/>
        <v>-1.6024268886968311</v>
      </c>
      <c r="H51" s="16">
        <f t="shared" si="11"/>
        <v>-0.92203305084883691</v>
      </c>
      <c r="I51" s="16">
        <f t="shared" si="12"/>
        <v>-3.9625094870966701E-2</v>
      </c>
      <c r="J51" s="16">
        <f t="shared" si="13"/>
        <v>-0.98053635812712181</v>
      </c>
      <c r="K51" s="16">
        <f t="shared" si="14"/>
        <v>1.0371721496043662</v>
      </c>
      <c r="L51" s="16">
        <f t="shared" si="15"/>
        <v>5.5519591348593602</v>
      </c>
      <c r="M51" s="16">
        <f t="shared" si="16"/>
        <v>0.99996989400216008</v>
      </c>
      <c r="N51" s="16">
        <f t="shared" si="17"/>
        <v>-0.45602343222992081</v>
      </c>
      <c r="O51" s="16">
        <f t="shared" si="18"/>
        <v>0.91829242951751433</v>
      </c>
      <c r="P51" s="16">
        <f t="shared" si="19"/>
        <v>-0.28415141860241205</v>
      </c>
      <c r="Q51" s="16">
        <f t="shared" si="20"/>
        <v>-101.83288466748643</v>
      </c>
      <c r="R51" s="16">
        <f t="shared" si="35"/>
        <v>-1</v>
      </c>
      <c r="S51" s="16">
        <f t="shared" si="21"/>
        <v>0.90973421875081772</v>
      </c>
      <c r="T51" s="16">
        <f t="shared" si="22"/>
        <v>-1.2488614598857946</v>
      </c>
      <c r="U51" s="16">
        <f t="shared" si="23"/>
        <v>-9.8583107314053772E-2</v>
      </c>
      <c r="V51" s="16">
        <f t="shared" si="36"/>
        <v>-6.2557099010913264</v>
      </c>
      <c r="W51" s="16">
        <f t="shared" si="24"/>
        <v>-0.99999263135193339</v>
      </c>
      <c r="X51" s="16">
        <f t="shared" si="25"/>
        <v>-1.0281833395762965</v>
      </c>
      <c r="Y51" s="16">
        <f t="shared" si="26"/>
        <v>1.3832274654127625</v>
      </c>
      <c r="Z51" s="16">
        <f t="shared" si="27"/>
        <v>0.18554496605605419</v>
      </c>
      <c r="AA51" s="16">
        <f t="shared" si="37"/>
        <v>2.3943020381940183E-3</v>
      </c>
      <c r="AB51" s="16">
        <f t="shared" si="38"/>
        <v>0.11481303644685692</v>
      </c>
      <c r="AC51" s="16">
        <f t="shared" si="39"/>
        <v>0.88267354927345099</v>
      </c>
      <c r="AD51" s="17">
        <v>9.0828857896239103E-3</v>
      </c>
      <c r="AE51" s="17">
        <v>0.11564560923284699</v>
      </c>
      <c r="AF51" s="17">
        <v>0.87802773465304806</v>
      </c>
      <c r="AG51" s="18">
        <f t="shared" si="28"/>
        <v>6.7013923531012776E-5</v>
      </c>
      <c r="AH51" s="19">
        <f t="shared" si="33"/>
        <v>-3.0481378920033109E-4</v>
      </c>
      <c r="AI51" s="19">
        <f t="shared" si="33"/>
        <v>-7.9459087478650492E-3</v>
      </c>
      <c r="AJ51" s="19">
        <f t="shared" si="33"/>
        <v>8.2272086720849291E-3</v>
      </c>
      <c r="AK51" s="18">
        <f t="shared" si="40"/>
        <v>2.8024999791694281E-8</v>
      </c>
      <c r="AL51" s="18">
        <f t="shared" si="41"/>
        <v>2.7913183661819663E-8</v>
      </c>
      <c r="AM51" s="18">
        <f t="shared" si="42"/>
        <v>9.6699365131907103E-8</v>
      </c>
      <c r="AN51" s="18">
        <f t="shared" si="34"/>
        <v>1.4187726074695999E-8</v>
      </c>
    </row>
    <row r="52" spans="1:40">
      <c r="A52" s="6">
        <v>48</v>
      </c>
      <c r="B52" s="16">
        <f t="shared" si="5"/>
        <v>-11.123509580696734</v>
      </c>
      <c r="C52" s="16">
        <f t="shared" si="6"/>
        <v>1.4760965291592894E-5</v>
      </c>
      <c r="D52" s="16">
        <f t="shared" si="7"/>
        <v>0.61651369791012534</v>
      </c>
      <c r="E52" s="16">
        <f t="shared" si="8"/>
        <v>4.2679878600660533E-2</v>
      </c>
      <c r="F52" s="16">
        <f t="shared" si="9"/>
        <v>4.2679878600660533E-2</v>
      </c>
      <c r="G52" s="16">
        <f t="shared" si="10"/>
        <v>-1.64908344250901</v>
      </c>
      <c r="H52" s="16">
        <f t="shared" si="11"/>
        <v>-0.92873174107720102</v>
      </c>
      <c r="I52" s="16">
        <f t="shared" si="12"/>
        <v>-3.9917177825049645E-2</v>
      </c>
      <c r="J52" s="16">
        <f t="shared" si="13"/>
        <v>-0.98782592559413707</v>
      </c>
      <c r="K52" s="16">
        <f t="shared" si="14"/>
        <v>1.0447325561982796</v>
      </c>
      <c r="L52" s="16">
        <f t="shared" si="15"/>
        <v>5.7238032148176368</v>
      </c>
      <c r="M52" s="16">
        <f t="shared" si="16"/>
        <v>0.99997865023710597</v>
      </c>
      <c r="N52" s="16">
        <f t="shared" si="17"/>
        <v>-0.45603010919284193</v>
      </c>
      <c r="O52" s="16">
        <f t="shared" si="18"/>
        <v>0.91829916729661032</v>
      </c>
      <c r="P52" s="16">
        <f t="shared" si="19"/>
        <v>-0.2841514348579206</v>
      </c>
      <c r="Q52" s="16">
        <f t="shared" si="20"/>
        <v>-103.85046166794505</v>
      </c>
      <c r="R52" s="16">
        <f t="shared" si="35"/>
        <v>-1</v>
      </c>
      <c r="S52" s="16">
        <f t="shared" si="21"/>
        <v>0.90973421875081772</v>
      </c>
      <c r="T52" s="16">
        <f t="shared" si="22"/>
        <v>-1.2488614598857946</v>
      </c>
      <c r="U52" s="16">
        <f t="shared" si="23"/>
        <v>-9.8583107314053772E-2</v>
      </c>
      <c r="V52" s="16">
        <f t="shared" si="36"/>
        <v>-6.4043472133296682</v>
      </c>
      <c r="W52" s="16">
        <f t="shared" si="24"/>
        <v>-0.99999452626841434</v>
      </c>
      <c r="X52" s="16">
        <f t="shared" si="25"/>
        <v>-1.0281872866344701</v>
      </c>
      <c r="Y52" s="16">
        <f t="shared" si="26"/>
        <v>1.3832300061438696</v>
      </c>
      <c r="Z52" s="16">
        <f t="shared" si="27"/>
        <v>0.18554645635744116</v>
      </c>
      <c r="AA52" s="16">
        <f t="shared" si="37"/>
        <v>2.1133430085813476E-3</v>
      </c>
      <c r="AB52" s="16">
        <f t="shared" si="38"/>
        <v>0.10752166656120887</v>
      </c>
      <c r="AC52" s="16">
        <f t="shared" si="39"/>
        <v>0.89022434898440705</v>
      </c>
      <c r="AD52" s="17">
        <v>1.0538230552720001E-2</v>
      </c>
      <c r="AE52" s="17">
        <v>0.111612530534534</v>
      </c>
      <c r="AF52" s="17">
        <v>0.88908099354612202</v>
      </c>
      <c r="AG52" s="18">
        <f t="shared" si="28"/>
        <v>8.9021159837888043E-5</v>
      </c>
      <c r="AH52" s="19">
        <f t="shared" si="33"/>
        <v>-2.8095902961267072E-4</v>
      </c>
      <c r="AI52" s="19">
        <f t="shared" si="33"/>
        <v>-7.2913698856480469E-3</v>
      </c>
      <c r="AJ52" s="19">
        <f t="shared" si="33"/>
        <v>7.5507997109560687E-3</v>
      </c>
      <c r="AK52" s="18">
        <f t="shared" si="40"/>
        <v>2.801546393365383E-8</v>
      </c>
      <c r="AL52" s="18">
        <f t="shared" si="41"/>
        <v>7.3275709378559882E-11</v>
      </c>
      <c r="AM52" s="18">
        <f t="shared" si="42"/>
        <v>1.8848236229352925E-8</v>
      </c>
      <c r="AN52" s="18">
        <f t="shared" si="34"/>
        <v>1.9780016277480828E-8</v>
      </c>
    </row>
    <row r="53" spans="1:40">
      <c r="A53" s="6">
        <v>49</v>
      </c>
      <c r="B53" s="16">
        <f t="shared" si="5"/>
        <v>-11.384665820857487</v>
      </c>
      <c r="C53" s="16">
        <f t="shared" si="6"/>
        <v>1.1368352162167288E-5</v>
      </c>
      <c r="D53" s="16">
        <f t="shared" si="7"/>
        <v>0.61653044745110841</v>
      </c>
      <c r="E53" s="16">
        <f t="shared" si="8"/>
        <v>4.2671344439531918E-2</v>
      </c>
      <c r="F53" s="16">
        <f t="shared" si="9"/>
        <v>4.2671344439531918E-2</v>
      </c>
      <c r="G53" s="16">
        <f t="shared" si="10"/>
        <v>-1.6957399963211892</v>
      </c>
      <c r="H53" s="16">
        <f t="shared" si="11"/>
        <v>-0.93487440075157646</v>
      </c>
      <c r="I53" s="16">
        <f t="shared" si="12"/>
        <v>-4.0185016181870613E-2</v>
      </c>
      <c r="J53" s="16">
        <f t="shared" si="13"/>
        <v>-0.99451041623287018</v>
      </c>
      <c r="K53" s="16">
        <f t="shared" si="14"/>
        <v>1.0516654047288285</v>
      </c>
      <c r="L53" s="16">
        <f t="shared" si="15"/>
        <v>5.8956472947759115</v>
      </c>
      <c r="M53" s="16">
        <f t="shared" si="16"/>
        <v>0.99998485976788964</v>
      </c>
      <c r="N53" s="16">
        <f t="shared" si="17"/>
        <v>-0.45603484419676266</v>
      </c>
      <c r="O53" s="16">
        <f t="shared" si="18"/>
        <v>0.91830394542864624</v>
      </c>
      <c r="P53" s="16">
        <f t="shared" si="19"/>
        <v>-0.28415144638560136</v>
      </c>
      <c r="Q53" s="16">
        <f t="shared" si="20"/>
        <v>-105.8680386684037</v>
      </c>
      <c r="R53" s="16">
        <f t="shared" si="35"/>
        <v>-1</v>
      </c>
      <c r="S53" s="16">
        <f t="shared" si="21"/>
        <v>0.90973421875081772</v>
      </c>
      <c r="T53" s="16">
        <f t="shared" si="22"/>
        <v>-1.2488614598857946</v>
      </c>
      <c r="U53" s="16">
        <f t="shared" si="23"/>
        <v>-9.8583107314053772E-2</v>
      </c>
      <c r="V53" s="16">
        <f t="shared" si="36"/>
        <v>-6.5529845255680099</v>
      </c>
      <c r="W53" s="16">
        <f t="shared" si="24"/>
        <v>-0.99999593389046393</v>
      </c>
      <c r="X53" s="16">
        <f t="shared" si="25"/>
        <v>-1.0281902186719358</v>
      </c>
      <c r="Y53" s="16">
        <f t="shared" si="26"/>
        <v>1.3832318935036367</v>
      </c>
      <c r="Z53" s="16">
        <f t="shared" si="27"/>
        <v>0.18554756341472523</v>
      </c>
      <c r="AA53" s="16">
        <f t="shared" si="37"/>
        <v>1.8545871513568901E-3</v>
      </c>
      <c r="AB53" s="16">
        <f t="shared" si="38"/>
        <v>0.10083530725315004</v>
      </c>
      <c r="AC53" s="16">
        <f t="shared" si="39"/>
        <v>0.89714975888343051</v>
      </c>
      <c r="AD53" s="17">
        <v>2.5859344138377399E-3</v>
      </c>
      <c r="AE53" s="17">
        <v>0.10342211054485</v>
      </c>
      <c r="AF53" s="17">
        <v>0.89472708248588406</v>
      </c>
      <c r="AG53" s="18">
        <f t="shared" si="28"/>
        <v>1.3095781015516611E-5</v>
      </c>
      <c r="AH53" s="19">
        <f t="shared" si="33"/>
        <v>-2.5875585722445749E-4</v>
      </c>
      <c r="AI53" s="19">
        <f t="shared" si="33"/>
        <v>-6.6863593080588313E-3</v>
      </c>
      <c r="AJ53" s="19">
        <f t="shared" si="33"/>
        <v>6.9254098990234603E-3</v>
      </c>
      <c r="AK53" s="18">
        <f t="shared" si="40"/>
        <v>2.7317517536587817E-8</v>
      </c>
      <c r="AL53" s="18">
        <f t="shared" si="41"/>
        <v>2.9810795989552539E-8</v>
      </c>
      <c r="AM53" s="18">
        <f t="shared" si="42"/>
        <v>7.3349862775078311E-10</v>
      </c>
      <c r="AN53" s="18">
        <f t="shared" si="34"/>
        <v>2.5711068069271429E-8</v>
      </c>
    </row>
    <row r="54" spans="1:40">
      <c r="A54" s="6">
        <v>50</v>
      </c>
      <c r="B54" s="16">
        <f t="shared" si="5"/>
        <v>-11.645822061018242</v>
      </c>
      <c r="C54" s="16">
        <f t="shared" si="6"/>
        <v>8.7554795743030803E-6</v>
      </c>
      <c r="D54" s="16">
        <f t="shared" si="7"/>
        <v>0.616543347364781</v>
      </c>
      <c r="E54" s="16">
        <f t="shared" si="8"/>
        <v>4.2664771725572891E-2</v>
      </c>
      <c r="F54" s="16">
        <f t="shared" si="9"/>
        <v>4.2664771725572891E-2</v>
      </c>
      <c r="G54" s="16">
        <f t="shared" si="10"/>
        <v>-1.7423965501333685</v>
      </c>
      <c r="H54" s="16">
        <f t="shared" si="11"/>
        <v>-0.9405039521760038</v>
      </c>
      <c r="I54" s="16">
        <f t="shared" si="12"/>
        <v>-4.0430481482422377E-2</v>
      </c>
      <c r="J54" s="16">
        <f t="shared" si="13"/>
        <v>-1.0006365384326446</v>
      </c>
      <c r="K54" s="16">
        <f t="shared" si="14"/>
        <v>1.0580191390050901</v>
      </c>
      <c r="L54" s="16">
        <f t="shared" si="15"/>
        <v>6.0674913747341881</v>
      </c>
      <c r="M54" s="16">
        <f t="shared" si="16"/>
        <v>0.99998926328022963</v>
      </c>
      <c r="N54" s="16">
        <f t="shared" si="17"/>
        <v>-0.45603820204277734</v>
      </c>
      <c r="O54" s="16">
        <f t="shared" si="18"/>
        <v>0.91830733385912766</v>
      </c>
      <c r="P54" s="16">
        <f t="shared" si="19"/>
        <v>-0.28415145456049995</v>
      </c>
      <c r="Q54" s="16">
        <f t="shared" si="20"/>
        <v>-107.88561566886234</v>
      </c>
      <c r="R54" s="16">
        <f t="shared" si="35"/>
        <v>-1</v>
      </c>
      <c r="S54" s="16">
        <f t="shared" si="21"/>
        <v>0.90973421875081772</v>
      </c>
      <c r="T54" s="16">
        <f t="shared" si="22"/>
        <v>-1.2488614598857946</v>
      </c>
      <c r="U54" s="16">
        <f t="shared" si="23"/>
        <v>-9.8583107314053772E-2</v>
      </c>
      <c r="V54" s="16">
        <f t="shared" si="36"/>
        <v>-6.7016218378063508</v>
      </c>
      <c r="W54" s="16">
        <f t="shared" si="24"/>
        <v>-0.99999697952968525</v>
      </c>
      <c r="X54" s="16">
        <f t="shared" si="25"/>
        <v>-1.0281923967092672</v>
      </c>
      <c r="Y54" s="16">
        <f t="shared" si="26"/>
        <v>1.3832332955116531</v>
      </c>
      <c r="Z54" s="16">
        <f t="shared" si="27"/>
        <v>0.18554838578214738</v>
      </c>
      <c r="AA54" s="16">
        <f t="shared" si="37"/>
        <v>1.616485881131835E-3</v>
      </c>
      <c r="AB54" s="16">
        <f t="shared" si="38"/>
        <v>9.4707402777914673E-2</v>
      </c>
      <c r="AC54" s="16">
        <f t="shared" si="39"/>
        <v>0.90349773463825667</v>
      </c>
      <c r="AD54" s="17">
        <v>2.0336631835871899E-3</v>
      </c>
      <c r="AE54" s="17">
        <v>9.4972241588527101E-2</v>
      </c>
      <c r="AF54" s="17">
        <v>0.90450311421663898</v>
      </c>
      <c r="AG54" s="18">
        <f t="shared" si="28"/>
        <v>1.2549645939187335E-6</v>
      </c>
      <c r="AH54" s="19">
        <f t="shared" si="33"/>
        <v>-2.3810127022505512E-4</v>
      </c>
      <c r="AI54" s="19">
        <f t="shared" si="33"/>
        <v>-6.1279044752353684E-3</v>
      </c>
      <c r="AJ54" s="19">
        <f t="shared" si="33"/>
        <v>6.3479757548261517E-3</v>
      </c>
      <c r="AK54" s="18">
        <f t="shared" si="40"/>
        <v>2.6107372924988436E-8</v>
      </c>
      <c r="AL54" s="18">
        <f t="shared" si="41"/>
        <v>1.059842613514891E-7</v>
      </c>
      <c r="AM54" s="18">
        <f t="shared" si="42"/>
        <v>3.3125627095954511E-8</v>
      </c>
      <c r="AN54" s="18">
        <f t="shared" si="34"/>
        <v>3.1818248064991588E-8</v>
      </c>
    </row>
    <row r="55" spans="1:40">
      <c r="A55" s="6">
        <v>51</v>
      </c>
      <c r="B55" s="16">
        <f t="shared" si="5"/>
        <v>-11.906978301178995</v>
      </c>
      <c r="C55" s="16">
        <f t="shared" si="6"/>
        <v>6.7431387984726802E-6</v>
      </c>
      <c r="D55" s="16">
        <f t="shared" si="7"/>
        <v>0.61655328241573171</v>
      </c>
      <c r="E55" s="16">
        <f t="shared" si="8"/>
        <v>4.2659709656963397E-2</v>
      </c>
      <c r="F55" s="16">
        <f t="shared" si="9"/>
        <v>4.2659709656963397E-2</v>
      </c>
      <c r="G55" s="16">
        <f t="shared" si="10"/>
        <v>-1.7890531039455477</v>
      </c>
      <c r="H55" s="16">
        <f t="shared" si="11"/>
        <v>-0.94566054352892992</v>
      </c>
      <c r="I55" s="16">
        <f t="shared" si="12"/>
        <v>-4.0655324307514326E-2</v>
      </c>
      <c r="J55" s="16">
        <f t="shared" si="13"/>
        <v>-1.0062479817574632</v>
      </c>
      <c r="K55" s="16">
        <f t="shared" si="14"/>
        <v>1.063839071848335</v>
      </c>
      <c r="L55" s="16">
        <f t="shared" si="15"/>
        <v>6.2393354546924629</v>
      </c>
      <c r="M55" s="16">
        <f t="shared" si="16"/>
        <v>0.99999238604291085</v>
      </c>
      <c r="N55" s="16">
        <f t="shared" si="17"/>
        <v>-0.45604058326835695</v>
      </c>
      <c r="O55" s="16">
        <f t="shared" si="18"/>
        <v>0.91830973677376448</v>
      </c>
      <c r="P55" s="16">
        <f t="shared" si="19"/>
        <v>-0.28415146035775135</v>
      </c>
      <c r="Q55" s="16">
        <f t="shared" si="20"/>
        <v>-109.90319266932097</v>
      </c>
      <c r="R55" s="16">
        <f t="shared" si="35"/>
        <v>-1</v>
      </c>
      <c r="S55" s="16">
        <f t="shared" si="21"/>
        <v>0.90973421875081772</v>
      </c>
      <c r="T55" s="16">
        <f t="shared" si="22"/>
        <v>-1.2488614598857946</v>
      </c>
      <c r="U55" s="16">
        <f t="shared" si="23"/>
        <v>-9.8583107314053772E-2</v>
      </c>
      <c r="V55" s="16">
        <f t="shared" si="36"/>
        <v>-6.8502591500446925</v>
      </c>
      <c r="W55" s="16">
        <f t="shared" si="24"/>
        <v>-0.99999775627301335</v>
      </c>
      <c r="X55" s="16">
        <f t="shared" si="25"/>
        <v>-1.0281940146439534</v>
      </c>
      <c r="Y55" s="16">
        <f t="shared" si="26"/>
        <v>1.3832343369802114</v>
      </c>
      <c r="Z55" s="16">
        <f t="shared" si="27"/>
        <v>0.18554899667010516</v>
      </c>
      <c r="AA55" s="16">
        <f t="shared" si="37"/>
        <v>1.3975789467248756E-3</v>
      </c>
      <c r="AB55" s="16">
        <f t="shared" si="38"/>
        <v>8.9094341767681495E-2</v>
      </c>
      <c r="AC55" s="16">
        <f t="shared" si="39"/>
        <v>0.90931321050359859</v>
      </c>
      <c r="AD55" s="17">
        <v>2.2949557971681501E-3</v>
      </c>
      <c r="AE55" s="17">
        <v>8.7440881600336293E-2</v>
      </c>
      <c r="AF55" s="17">
        <v>0.90922037148508505</v>
      </c>
      <c r="AG55" s="18">
        <f t="shared" si="28"/>
        <v>3.5478348200672729E-6</v>
      </c>
      <c r="AH55" s="19">
        <f t="shared" si="33"/>
        <v>-2.1890693440695941E-4</v>
      </c>
      <c r="AI55" s="19">
        <f t="shared" si="33"/>
        <v>-5.6130610102331779E-3</v>
      </c>
      <c r="AJ55" s="19">
        <f t="shared" si="33"/>
        <v>5.8154758653419236E-3</v>
      </c>
      <c r="AK55" s="18">
        <f t="shared" si="40"/>
        <v>2.454471140099617E-8</v>
      </c>
      <c r="AL55" s="18">
        <f t="shared" si="41"/>
        <v>2.1871044394598826E-7</v>
      </c>
      <c r="AM55" s="18">
        <f t="shared" si="42"/>
        <v>1.0724933650734092E-7</v>
      </c>
      <c r="AN55" s="18">
        <f t="shared" si="34"/>
        <v>3.7973842196230028E-8</v>
      </c>
    </row>
    <row r="56" spans="1:40">
      <c r="A56" s="6">
        <v>52</v>
      </c>
      <c r="B56" s="16">
        <f t="shared" si="5"/>
        <v>-12.16813454133975</v>
      </c>
      <c r="C56" s="16">
        <f t="shared" si="6"/>
        <v>5.1933077382026821E-6</v>
      </c>
      <c r="D56" s="16">
        <f t="shared" si="7"/>
        <v>0.61656093402759271</v>
      </c>
      <c r="E56" s="16">
        <f t="shared" si="8"/>
        <v>4.265581103737847E-2</v>
      </c>
      <c r="F56" s="16">
        <f t="shared" si="9"/>
        <v>4.265581103737847E-2</v>
      </c>
      <c r="G56" s="16">
        <f t="shared" si="10"/>
        <v>-1.835709657757727</v>
      </c>
      <c r="H56" s="16">
        <f t="shared" si="11"/>
        <v>-0.95038163500714024</v>
      </c>
      <c r="I56" s="16">
        <f t="shared" si="12"/>
        <v>-4.0861178033905883E-2</v>
      </c>
      <c r="J56" s="16">
        <f t="shared" si="13"/>
        <v>-1.0113855106885135</v>
      </c>
      <c r="K56" s="16">
        <f t="shared" si="14"/>
        <v>1.0691674823174735</v>
      </c>
      <c r="L56" s="16">
        <f t="shared" si="15"/>
        <v>6.4111795346507394</v>
      </c>
      <c r="M56" s="16">
        <f t="shared" si="16"/>
        <v>0.99999460055608536</v>
      </c>
      <c r="N56" s="16">
        <f t="shared" si="17"/>
        <v>-0.45604227191906643</v>
      </c>
      <c r="O56" s="16">
        <f t="shared" si="18"/>
        <v>0.91831144080531091</v>
      </c>
      <c r="P56" s="16">
        <f t="shared" si="19"/>
        <v>-0.2841514644688834</v>
      </c>
      <c r="Q56" s="16">
        <f t="shared" si="20"/>
        <v>-111.92076966977962</v>
      </c>
      <c r="R56" s="16">
        <f t="shared" si="35"/>
        <v>-1</v>
      </c>
      <c r="S56" s="16">
        <f t="shared" si="21"/>
        <v>0.90973421875081772</v>
      </c>
      <c r="T56" s="16">
        <f t="shared" si="22"/>
        <v>-1.2488614598857946</v>
      </c>
      <c r="U56" s="16">
        <f t="shared" si="23"/>
        <v>-9.8583107314053772E-2</v>
      </c>
      <c r="V56" s="16">
        <f t="shared" si="36"/>
        <v>-6.9988964622830343</v>
      </c>
      <c r="W56" s="16">
        <f t="shared" si="24"/>
        <v>-0.99999833326940413</v>
      </c>
      <c r="X56" s="16">
        <f t="shared" si="25"/>
        <v>-1.0281952165113408</v>
      </c>
      <c r="Y56" s="16">
        <f t="shared" si="26"/>
        <v>1.3832351106252208</v>
      </c>
      <c r="Z56" s="16">
        <f t="shared" si="27"/>
        <v>0.18554945046241211</v>
      </c>
      <c r="AA56" s="16">
        <f t="shared" si="37"/>
        <v>1.1964863140974114E-3</v>
      </c>
      <c r="AB56" s="16">
        <f t="shared" si="38"/>
        <v>8.3955391893602238E-2</v>
      </c>
      <c r="AC56" s="16">
        <f t="shared" si="39"/>
        <v>0.91463817203432696</v>
      </c>
      <c r="AD56" s="17">
        <v>2.3936274802814103E-3</v>
      </c>
      <c r="AE56" s="17">
        <v>8.3053244128702103E-2</v>
      </c>
      <c r="AF56" s="17">
        <v>0.906309636239233</v>
      </c>
      <c r="AG56" s="18">
        <f t="shared" si="28"/>
        <v>7.1611526051648086E-5</v>
      </c>
      <c r="AH56" s="19">
        <f t="shared" si="33"/>
        <v>-2.0109263262746424E-4</v>
      </c>
      <c r="AI56" s="19">
        <f t="shared" si="33"/>
        <v>-5.1389498740792572E-3</v>
      </c>
      <c r="AJ56" s="19">
        <f t="shared" si="33"/>
        <v>5.3249615307283671E-3</v>
      </c>
      <c r="AK56" s="18">
        <f t="shared" si="40"/>
        <v>2.2765389467496973E-8</v>
      </c>
      <c r="AL56" s="18">
        <f t="shared" si="41"/>
        <v>3.5937556715167771E-7</v>
      </c>
      <c r="AM56" s="18">
        <f t="shared" si="42"/>
        <v>2.149976133493576E-7</v>
      </c>
      <c r="AN56" s="18">
        <f t="shared" si="34"/>
        <v>4.4078900873086432E-8</v>
      </c>
    </row>
    <row r="57" spans="1:40">
      <c r="A57" s="6">
        <v>53</v>
      </c>
      <c r="B57" s="16">
        <f t="shared" si="5"/>
        <v>-12.429290781500503</v>
      </c>
      <c r="C57" s="16">
        <f t="shared" si="6"/>
        <v>3.9996856749515021E-6</v>
      </c>
      <c r="D57" s="16">
        <f t="shared" si="7"/>
        <v>0.61656682701359022</v>
      </c>
      <c r="E57" s="16">
        <f t="shared" si="8"/>
        <v>4.2652808466019508E-2</v>
      </c>
      <c r="F57" s="16">
        <f t="shared" si="9"/>
        <v>4.2652808466019508E-2</v>
      </c>
      <c r="G57" s="16">
        <f t="shared" si="10"/>
        <v>-1.8823662115699062</v>
      </c>
      <c r="H57" s="16">
        <f t="shared" si="11"/>
        <v>-0.95470210064842032</v>
      </c>
      <c r="I57" s="16">
        <f t="shared" si="12"/>
        <v>-4.1049563274079479E-2</v>
      </c>
      <c r="J57" s="16">
        <f t="shared" si="13"/>
        <v>-1.0160870754283899</v>
      </c>
      <c r="K57" s="16">
        <f t="shared" si="14"/>
        <v>1.0740437306301363</v>
      </c>
      <c r="L57" s="16">
        <f t="shared" si="15"/>
        <v>6.583023614609016</v>
      </c>
      <c r="M57" s="16">
        <f t="shared" si="16"/>
        <v>0.99999617098115257</v>
      </c>
      <c r="N57" s="16">
        <f t="shared" si="17"/>
        <v>-0.45604346942804252</v>
      </c>
      <c r="O57" s="16">
        <f t="shared" si="18"/>
        <v>0.91831264922162847</v>
      </c>
      <c r="P57" s="16">
        <f t="shared" si="19"/>
        <v>-0.28415146738429831</v>
      </c>
      <c r="Q57" s="16">
        <f t="shared" si="20"/>
        <v>-113.93834667023825</v>
      </c>
      <c r="R57" s="16">
        <f t="shared" si="35"/>
        <v>-1</v>
      </c>
      <c r="S57" s="16">
        <f t="shared" si="21"/>
        <v>0.90973421875081772</v>
      </c>
      <c r="T57" s="16">
        <f t="shared" si="22"/>
        <v>-1.2488614598857946</v>
      </c>
      <c r="U57" s="16">
        <f t="shared" si="23"/>
        <v>-9.8583107314053772E-2</v>
      </c>
      <c r="V57" s="16">
        <f t="shared" si="36"/>
        <v>-7.1475337745213752</v>
      </c>
      <c r="W57" s="16">
        <f t="shared" si="24"/>
        <v>-0.99999876188560843</v>
      </c>
      <c r="X57" s="16">
        <f t="shared" si="25"/>
        <v>-1.0281961093069387</v>
      </c>
      <c r="Y57" s="16">
        <f t="shared" si="26"/>
        <v>1.383235685319955</v>
      </c>
      <c r="Z57" s="16">
        <f t="shared" si="27"/>
        <v>0.18554978755765095</v>
      </c>
      <c r="AA57" s="16">
        <f t="shared" si="37"/>
        <v>1.0119037553473209E-3</v>
      </c>
      <c r="AB57" s="16">
        <f t="shared" si="38"/>
        <v>7.9252607693418575E-2</v>
      </c>
      <c r="AC57" s="16">
        <f t="shared" si="39"/>
        <v>0.91951175195545476</v>
      </c>
      <c r="AD57" s="17">
        <v>2.3043154567460099E-3</v>
      </c>
      <c r="AE57" s="17">
        <v>7.8073186837302994E-2</v>
      </c>
      <c r="AF57" s="17">
        <v>0.92630169320256595</v>
      </c>
      <c r="AG57" s="18">
        <f t="shared" si="28"/>
        <v>4.9164663700974481E-5</v>
      </c>
      <c r="AH57" s="19">
        <f t="shared" si="33"/>
        <v>-1.8458255875009044E-4</v>
      </c>
      <c r="AI57" s="19">
        <f t="shared" si="33"/>
        <v>-4.7027842001836628E-3</v>
      </c>
      <c r="AJ57" s="19">
        <f t="shared" si="33"/>
        <v>4.8735799211278019E-3</v>
      </c>
      <c r="AK57" s="18">
        <f t="shared" si="40"/>
        <v>2.0879280021613076E-8</v>
      </c>
      <c r="AL57" s="18">
        <f t="shared" si="41"/>
        <v>5.2058753611762878E-7</v>
      </c>
      <c r="AM57" s="18">
        <f t="shared" si="42"/>
        <v>3.4905375876898314E-7</v>
      </c>
      <c r="AN57" s="18">
        <f t="shared" si="34"/>
        <v>5.0058064290929875E-8</v>
      </c>
    </row>
    <row r="58" spans="1:40">
      <c r="A58" s="6">
        <v>54</v>
      </c>
      <c r="B58" s="16">
        <f t="shared" si="5"/>
        <v>-12.690447021661258</v>
      </c>
      <c r="C58" s="16">
        <f t="shared" si="6"/>
        <v>3.0804030718141202E-6</v>
      </c>
      <c r="D58" s="16">
        <f t="shared" si="7"/>
        <v>0.61657136556869485</v>
      </c>
      <c r="E58" s="16">
        <f t="shared" si="8"/>
        <v>4.2650495999033554E-2</v>
      </c>
      <c r="F58" s="16">
        <f t="shared" si="9"/>
        <v>4.2650495999033554E-2</v>
      </c>
      <c r="G58" s="16">
        <f t="shared" si="10"/>
        <v>-1.9290227653820855</v>
      </c>
      <c r="H58" s="16">
        <f t="shared" si="11"/>
        <v>-0.9586543413701355</v>
      </c>
      <c r="I58" s="16">
        <f t="shared" si="12"/>
        <v>-4.1221892805061146E-2</v>
      </c>
      <c r="J58" s="16">
        <f t="shared" si="13"/>
        <v>-1.0203879349105671</v>
      </c>
      <c r="K58" s="16">
        <f t="shared" si="14"/>
        <v>1.0785043857424845</v>
      </c>
      <c r="L58" s="16">
        <f t="shared" si="15"/>
        <v>6.7548676945672907</v>
      </c>
      <c r="M58" s="16">
        <f t="shared" si="16"/>
        <v>0.99999728464963844</v>
      </c>
      <c r="N58" s="16">
        <f t="shared" si="17"/>
        <v>-0.45604431864271444</v>
      </c>
      <c r="O58" s="16">
        <f t="shared" si="18"/>
        <v>0.9183135061712524</v>
      </c>
      <c r="P58" s="16">
        <f t="shared" si="19"/>
        <v>-0.28415146945176767</v>
      </c>
      <c r="Q58" s="16">
        <f t="shared" si="20"/>
        <v>-115.95592367069689</v>
      </c>
      <c r="R58" s="16">
        <f t="shared" si="35"/>
        <v>-1</v>
      </c>
      <c r="S58" s="16">
        <f t="shared" si="21"/>
        <v>0.90973421875081772</v>
      </c>
      <c r="T58" s="16">
        <f t="shared" si="22"/>
        <v>-1.2488614598857946</v>
      </c>
      <c r="U58" s="16">
        <f t="shared" si="23"/>
        <v>-9.8583107314053772E-2</v>
      </c>
      <c r="V58" s="16">
        <f t="shared" si="36"/>
        <v>-7.2961710867597178</v>
      </c>
      <c r="W58" s="16">
        <f t="shared" si="24"/>
        <v>-0.99999908027898077</v>
      </c>
      <c r="X58" s="16">
        <f t="shared" si="25"/>
        <v>-1.0281967725114523</v>
      </c>
      <c r="Y58" s="16">
        <f t="shared" si="26"/>
        <v>1.3832361122263404</v>
      </c>
      <c r="Z58" s="16">
        <f t="shared" si="27"/>
        <v>0.18555003796556557</v>
      </c>
      <c r="AA58" s="16">
        <f t="shared" si="37"/>
        <v>8.4260036028482865E-4</v>
      </c>
      <c r="AB58" s="16">
        <f t="shared" si="38"/>
        <v>7.4950719600264559E-2</v>
      </c>
      <c r="AC58" s="16">
        <f t="shared" si="39"/>
        <v>0.92397034294126212</v>
      </c>
      <c r="AD58" s="17">
        <v>3.0385585864702198E-3</v>
      </c>
      <c r="AE58" s="17">
        <v>7.1018266657233403E-2</v>
      </c>
      <c r="AF58" s="17">
        <v>0.92736038017037692</v>
      </c>
      <c r="AG58" s="18">
        <f t="shared" si="28"/>
        <v>3.1778771095090008E-5</v>
      </c>
      <c r="AH58" s="19">
        <f t="shared" si="33"/>
        <v>-1.6930339506249226E-4</v>
      </c>
      <c r="AI58" s="19">
        <f t="shared" si="33"/>
        <v>-4.301888093154016E-3</v>
      </c>
      <c r="AJ58" s="19">
        <f t="shared" si="33"/>
        <v>4.4585909858073647E-3</v>
      </c>
      <c r="AK58" s="18">
        <f t="shared" si="40"/>
        <v>1.8971251032663078E-8</v>
      </c>
      <c r="AL58" s="18">
        <f t="shared" si="41"/>
        <v>6.9609229000055161E-7</v>
      </c>
      <c r="AM58" s="18">
        <f t="shared" si="42"/>
        <v>5.0294448852165604E-7</v>
      </c>
      <c r="AN58" s="18">
        <f t="shared" si="34"/>
        <v>5.5855223980155135E-8</v>
      </c>
    </row>
    <row r="59" spans="1:40">
      <c r="A59" s="6">
        <v>55</v>
      </c>
      <c r="B59" s="16">
        <f t="shared" si="5"/>
        <v>-12.951603261822012</v>
      </c>
      <c r="C59" s="16">
        <f t="shared" si="6"/>
        <v>2.3724066967023039E-6</v>
      </c>
      <c r="D59" s="16">
        <f t="shared" si="7"/>
        <v>0.61657486099061543</v>
      </c>
      <c r="E59" s="16">
        <f t="shared" si="8"/>
        <v>4.2648715025219809E-2</v>
      </c>
      <c r="F59" s="16">
        <f t="shared" si="9"/>
        <v>4.2648715025219809E-2</v>
      </c>
      <c r="G59" s="16">
        <f t="shared" si="10"/>
        <v>-1.9756793191942643</v>
      </c>
      <c r="H59" s="16">
        <f t="shared" si="11"/>
        <v>-0.96226840548207015</v>
      </c>
      <c r="I59" s="16">
        <f t="shared" si="12"/>
        <v>-4.1379476823141172E-2</v>
      </c>
      <c r="J59" s="16">
        <f t="shared" si="13"/>
        <v>-1.0243207879424201</v>
      </c>
      <c r="K59" s="16">
        <f t="shared" si="14"/>
        <v>1.0825833613647637</v>
      </c>
      <c r="L59" s="16">
        <f t="shared" si="15"/>
        <v>6.9267117745255673</v>
      </c>
      <c r="M59" s="16">
        <f t="shared" si="16"/>
        <v>0.99999807440843569</v>
      </c>
      <c r="N59" s="16">
        <f t="shared" si="17"/>
        <v>-0.4560449208639018</v>
      </c>
      <c r="O59" s="16">
        <f t="shared" si="18"/>
        <v>0.91831411387768647</v>
      </c>
      <c r="P59" s="16">
        <f t="shared" si="19"/>
        <v>-0.28415147091791509</v>
      </c>
      <c r="Q59" s="16">
        <f t="shared" si="20"/>
        <v>-117.97350067115553</v>
      </c>
      <c r="R59" s="16">
        <f t="shared" si="35"/>
        <v>-1</v>
      </c>
      <c r="S59" s="16">
        <f t="shared" si="21"/>
        <v>0.90973421875081772</v>
      </c>
      <c r="T59" s="16">
        <f t="shared" si="22"/>
        <v>-1.2488614598857946</v>
      </c>
      <c r="U59" s="16">
        <f t="shared" si="23"/>
        <v>-9.8583107314053772E-2</v>
      </c>
      <c r="V59" s="16">
        <f t="shared" si="36"/>
        <v>-7.4448083989980587</v>
      </c>
      <c r="W59" s="16">
        <f t="shared" si="24"/>
        <v>-0.99999931679437359</v>
      </c>
      <c r="X59" s="16">
        <f t="shared" si="25"/>
        <v>-1.028197265166418</v>
      </c>
      <c r="Y59" s="16">
        <f t="shared" si="26"/>
        <v>1.3832364293495603</v>
      </c>
      <c r="Z59" s="16">
        <f t="shared" si="27"/>
        <v>0.18555022397862819</v>
      </c>
      <c r="AA59" s="16">
        <f t="shared" si="37"/>
        <v>6.8741688797224754E-4</v>
      </c>
      <c r="AB59" s="16">
        <f t="shared" si="38"/>
        <v>7.1017010424251792E-2</v>
      </c>
      <c r="AC59" s="16">
        <f t="shared" si="39"/>
        <v>0.92804772213664277</v>
      </c>
      <c r="AD59" s="17">
        <v>7.9515125832206497E-3</v>
      </c>
      <c r="AE59" s="17">
        <v>6.6968684958737701E-2</v>
      </c>
      <c r="AF59" s="17">
        <v>0.93389441761834491</v>
      </c>
      <c r="AG59" s="18">
        <f t="shared" si="28"/>
        <v>1.0333987340021243E-4</v>
      </c>
      <c r="AH59" s="19">
        <f t="shared" si="33"/>
        <v>-1.5518347231258112E-4</v>
      </c>
      <c r="AI59" s="19">
        <f t="shared" si="33"/>
        <v>-3.9337091760127674E-3</v>
      </c>
      <c r="AJ59" s="19">
        <f t="shared" si="33"/>
        <v>4.0773791953806482E-3</v>
      </c>
      <c r="AK59" s="18">
        <f t="shared" si="40"/>
        <v>1.7103849428228882E-8</v>
      </c>
      <c r="AL59" s="18">
        <f t="shared" si="41"/>
        <v>8.8067061451691733E-7</v>
      </c>
      <c r="AM59" s="18">
        <f t="shared" si="42"/>
        <v>6.710432397888987E-7</v>
      </c>
      <c r="AN59" s="18">
        <f t="shared" si="34"/>
        <v>6.1429895697025309E-8</v>
      </c>
    </row>
    <row r="60" spans="1:40">
      <c r="A60" s="6">
        <v>56</v>
      </c>
      <c r="B60" s="16">
        <f t="shared" si="5"/>
        <v>-13.212759501982765</v>
      </c>
      <c r="C60" s="16">
        <f t="shared" si="6"/>
        <v>1.8271351142929473E-6</v>
      </c>
      <c r="D60" s="16">
        <f t="shared" si="7"/>
        <v>0.61657755303016382</v>
      </c>
      <c r="E60" s="16">
        <f t="shared" si="8"/>
        <v>4.2647343387675056E-2</v>
      </c>
      <c r="F60" s="16">
        <f t="shared" si="9"/>
        <v>4.2647343387675056E-2</v>
      </c>
      <c r="G60" s="16">
        <f t="shared" si="10"/>
        <v>-2.0223358730064436</v>
      </c>
      <c r="H60" s="16">
        <f t="shared" si="11"/>
        <v>-0.9655721135752563</v>
      </c>
      <c r="I60" s="16">
        <f t="shared" si="12"/>
        <v>-4.1523528389401043E-2</v>
      </c>
      <c r="J60" s="16">
        <f t="shared" si="13"/>
        <v>-1.0279159091102317</v>
      </c>
      <c r="K60" s="16">
        <f t="shared" si="14"/>
        <v>1.0863120569157729</v>
      </c>
      <c r="L60" s="16">
        <f t="shared" si="15"/>
        <v>7.0985558544838421</v>
      </c>
      <c r="M60" s="16">
        <f t="shared" si="16"/>
        <v>0.99999863446629245</v>
      </c>
      <c r="N60" s="16">
        <f t="shared" si="17"/>
        <v>-0.45604534792936613</v>
      </c>
      <c r="O60" s="16">
        <f t="shared" si="18"/>
        <v>0.91831454483301644</v>
      </c>
      <c r="P60" s="16">
        <f t="shared" si="19"/>
        <v>-0.28415147195763424</v>
      </c>
      <c r="Q60" s="16">
        <f t="shared" si="20"/>
        <v>-119.99107767161416</v>
      </c>
      <c r="R60" s="16">
        <f t="shared" si="35"/>
        <v>-1</v>
      </c>
      <c r="S60" s="16">
        <f t="shared" si="21"/>
        <v>0.90973421875081772</v>
      </c>
      <c r="T60" s="16">
        <f t="shared" si="22"/>
        <v>-1.2488614598857946</v>
      </c>
      <c r="U60" s="16">
        <f t="shared" si="23"/>
        <v>-9.8583107314053772E-2</v>
      </c>
      <c r="V60" s="16">
        <f t="shared" si="36"/>
        <v>-7.5934457112363996</v>
      </c>
      <c r="W60" s="16">
        <f t="shared" si="24"/>
        <v>-0.99999949248749997</v>
      </c>
      <c r="X60" s="16">
        <f t="shared" si="25"/>
        <v>-1.0281976311302994</v>
      </c>
      <c r="Y60" s="16">
        <f t="shared" si="26"/>
        <v>1.3832366649214156</v>
      </c>
      <c r="Z60" s="16">
        <f t="shared" si="27"/>
        <v>0.18555036215659682</v>
      </c>
      <c r="AA60" s="16">
        <f t="shared" si="37"/>
        <v>5.4526433191504076E-4</v>
      </c>
      <c r="AB60" s="16">
        <f t="shared" si="38"/>
        <v>6.7421184146080781E-2</v>
      </c>
      <c r="AC60" s="16">
        <f t="shared" si="39"/>
        <v>0.93177518318835684</v>
      </c>
      <c r="AD60" s="17">
        <v>-1.1013052498209E-4</v>
      </c>
      <c r="AE60" s="17">
        <v>6.18422691296922E-2</v>
      </c>
      <c r="AF60" s="17">
        <v>0.94275156262420401</v>
      </c>
      <c r="AG60" s="18">
        <f t="shared" si="28"/>
        <v>1.5203474069822192E-4</v>
      </c>
      <c r="AH60" s="19">
        <f t="shared" si="33"/>
        <v>-1.4215255605720678E-4</v>
      </c>
      <c r="AI60" s="19">
        <f t="shared" si="33"/>
        <v>-3.5958262781710104E-3</v>
      </c>
      <c r="AJ60" s="19">
        <f t="shared" si="33"/>
        <v>3.7274610517140649E-3</v>
      </c>
      <c r="AK60" s="18">
        <f t="shared" si="40"/>
        <v>1.5320724682268598E-8</v>
      </c>
      <c r="AL60" s="18">
        <f t="shared" si="41"/>
        <v>1.0700267185563834E-6</v>
      </c>
      <c r="AM60" s="18">
        <f t="shared" si="42"/>
        <v>8.4853910900326997E-7</v>
      </c>
      <c r="AN60" s="18">
        <f t="shared" si="34"/>
        <v>6.6754195831703619E-8</v>
      </c>
    </row>
    <row r="61" spans="1:40">
      <c r="A61" s="6">
        <v>57</v>
      </c>
      <c r="B61" s="16">
        <f t="shared" si="5"/>
        <v>-13.47391574214352</v>
      </c>
      <c r="C61" s="16">
        <f t="shared" si="6"/>
        <v>1.4071880306758072E-6</v>
      </c>
      <c r="D61" s="16">
        <f t="shared" si="7"/>
        <v>0.61657962633490537</v>
      </c>
      <c r="E61" s="16">
        <f t="shared" si="8"/>
        <v>4.2646287005488129E-2</v>
      </c>
      <c r="F61" s="16">
        <f t="shared" si="9"/>
        <v>4.2646287005488129E-2</v>
      </c>
      <c r="G61" s="16">
        <f t="shared" si="10"/>
        <v>-2.0689924268186228</v>
      </c>
      <c r="H61" s="16">
        <f t="shared" si="11"/>
        <v>-0.96859118525517507</v>
      </c>
      <c r="I61" s="16">
        <f t="shared" si="12"/>
        <v>-4.1655168955660536E-2</v>
      </c>
      <c r="J61" s="16">
        <f t="shared" si="13"/>
        <v>-1.0312012866912603</v>
      </c>
      <c r="K61" s="16">
        <f t="shared" si="14"/>
        <v>1.0897195005589655</v>
      </c>
      <c r="L61" s="16">
        <f t="shared" si="15"/>
        <v>7.2703999344421186</v>
      </c>
      <c r="M61" s="16">
        <f t="shared" si="16"/>
        <v>0.99999903163153114</v>
      </c>
      <c r="N61" s="16">
        <f t="shared" si="17"/>
        <v>-0.45604565078299997</v>
      </c>
      <c r="O61" s="16">
        <f t="shared" si="18"/>
        <v>0.91831485044514982</v>
      </c>
      <c r="P61" s="16">
        <f t="shared" si="19"/>
        <v>-0.28415147269495145</v>
      </c>
      <c r="Q61" s="16">
        <f t="shared" si="20"/>
        <v>-122.00865467207281</v>
      </c>
      <c r="R61" s="16">
        <f t="shared" si="35"/>
        <v>-1</v>
      </c>
      <c r="S61" s="16">
        <f t="shared" si="21"/>
        <v>0.90973421875081772</v>
      </c>
      <c r="T61" s="16">
        <f t="shared" si="22"/>
        <v>-1.2488614598857946</v>
      </c>
      <c r="U61" s="16">
        <f t="shared" si="23"/>
        <v>-9.8583107314053772E-2</v>
      </c>
      <c r="V61" s="16">
        <f t="shared" si="36"/>
        <v>-7.7420830234747422</v>
      </c>
      <c r="W61" s="16">
        <f t="shared" si="24"/>
        <v>-0.99999962299939893</v>
      </c>
      <c r="X61" s="16">
        <f t="shared" si="25"/>
        <v>-1.0281979029829447</v>
      </c>
      <c r="Y61" s="16">
        <f t="shared" si="26"/>
        <v>1.3832368399136357</v>
      </c>
      <c r="Z61" s="16">
        <f t="shared" si="27"/>
        <v>0.18555046480073223</v>
      </c>
      <c r="AA61" s="16">
        <f t="shared" si="37"/>
        <v>4.1512236411800352E-4</v>
      </c>
      <c r="AB61" s="16">
        <f t="shared" si="38"/>
        <v>6.4135230787218722E-2</v>
      </c>
      <c r="AC61" s="16">
        <f t="shared" si="39"/>
        <v>0.93518167235618077</v>
      </c>
      <c r="AD61" s="17">
        <v>5.6947636442931599E-3</v>
      </c>
      <c r="AE61" s="17">
        <v>6.0470398956274998E-2</v>
      </c>
      <c r="AF61" s="17">
        <v>0.93680268831874902</v>
      </c>
      <c r="AG61" s="18">
        <f t="shared" si="28"/>
        <v>4.393329714732896E-5</v>
      </c>
      <c r="AH61" s="19">
        <f t="shared" si="33"/>
        <v>-1.3014196779703724E-4</v>
      </c>
      <c r="AI61" s="19">
        <f t="shared" si="33"/>
        <v>-3.2859533588620593E-3</v>
      </c>
      <c r="AJ61" s="19">
        <f t="shared" si="33"/>
        <v>3.406489167823934E-3</v>
      </c>
      <c r="AK61" s="18">
        <f t="shared" si="40"/>
        <v>1.3650182944103059E-8</v>
      </c>
      <c r="AL61" s="18">
        <f t="shared" si="41"/>
        <v>1.2606761727275448E-6</v>
      </c>
      <c r="AM61" s="18">
        <f t="shared" si="42"/>
        <v>1.0313834980737394E-6</v>
      </c>
      <c r="AN61" s="18">
        <f t="shared" si="34"/>
        <v>7.1810328621255261E-8</v>
      </c>
    </row>
    <row r="62" spans="1:40">
      <c r="A62" s="6">
        <v>58</v>
      </c>
      <c r="B62" s="16">
        <f t="shared" si="5"/>
        <v>-13.735071982304273</v>
      </c>
      <c r="C62" s="16">
        <f t="shared" si="6"/>
        <v>1.0837611006758516E-6</v>
      </c>
      <c r="D62" s="16">
        <f t="shared" si="7"/>
        <v>0.61658122311367514</v>
      </c>
      <c r="E62" s="16">
        <f t="shared" si="8"/>
        <v>4.2645473420965328E-2</v>
      </c>
      <c r="F62" s="16">
        <f t="shared" si="9"/>
        <v>4.2645473420965328E-2</v>
      </c>
      <c r="G62" s="16">
        <f t="shared" si="10"/>
        <v>-2.1156489806308021</v>
      </c>
      <c r="H62" s="16">
        <f t="shared" si="11"/>
        <v>-0.97134936568105945</v>
      </c>
      <c r="I62" s="16">
        <f t="shared" si="12"/>
        <v>-4.1775433881970289E-2</v>
      </c>
      <c r="J62" s="16">
        <f t="shared" si="13"/>
        <v>-1.0342027603548059</v>
      </c>
      <c r="K62" s="16">
        <f t="shared" si="14"/>
        <v>1.0928324920197086</v>
      </c>
      <c r="L62" s="16">
        <f t="shared" si="15"/>
        <v>7.4422440144003952</v>
      </c>
      <c r="M62" s="16">
        <f t="shared" si="16"/>
        <v>0.99999931328136971</v>
      </c>
      <c r="N62" s="16">
        <f t="shared" si="17"/>
        <v>-0.45604586555173798</v>
      </c>
      <c r="O62" s="16">
        <f t="shared" si="18"/>
        <v>0.9183150671700786</v>
      </c>
      <c r="P62" s="16">
        <f t="shared" si="19"/>
        <v>-0.28415147321782019</v>
      </c>
      <c r="Q62" s="16">
        <f t="shared" si="20"/>
        <v>-124.02623167253144</v>
      </c>
      <c r="R62" s="16">
        <f t="shared" si="35"/>
        <v>-1</v>
      </c>
      <c r="S62" s="16">
        <f t="shared" si="21"/>
        <v>0.90973421875081772</v>
      </c>
      <c r="T62" s="16">
        <f t="shared" si="22"/>
        <v>-1.2488614598857946</v>
      </c>
      <c r="U62" s="16">
        <f t="shared" si="23"/>
        <v>-9.8583107314053772E-2</v>
      </c>
      <c r="V62" s="16">
        <f t="shared" si="36"/>
        <v>-7.8907203357130831</v>
      </c>
      <c r="W62" s="16">
        <f t="shared" si="24"/>
        <v>-0.99999971994886638</v>
      </c>
      <c r="X62" s="16">
        <f t="shared" si="25"/>
        <v>-1.0281981049259812</v>
      </c>
      <c r="Y62" s="16">
        <f t="shared" si="26"/>
        <v>1.3832369699048674</v>
      </c>
      <c r="Z62" s="16">
        <f t="shared" si="27"/>
        <v>0.18555054104890856</v>
      </c>
      <c r="AA62" s="16">
        <f t="shared" si="37"/>
        <v>2.9603750480355906E-4</v>
      </c>
      <c r="AB62" s="16">
        <f t="shared" si="38"/>
        <v>6.1133290255311001E-2</v>
      </c>
      <c r="AC62" s="16">
        <f t="shared" si="39"/>
        <v>0.93829392595770855</v>
      </c>
      <c r="AD62" s="17">
        <v>-2.2807198247528698E-3</v>
      </c>
      <c r="AE62" s="17">
        <v>5.4975808919005206E-2</v>
      </c>
      <c r="AF62" s="17">
        <v>0.94398061818187207</v>
      </c>
      <c r="AG62" s="18">
        <f t="shared" si="28"/>
        <v>7.6892723194738749E-5</v>
      </c>
      <c r="AH62" s="19">
        <f t="shared" si="33"/>
        <v>-1.1908485931444446E-4</v>
      </c>
      <c r="AI62" s="19">
        <f t="shared" si="33"/>
        <v>-3.0019405319077208E-3</v>
      </c>
      <c r="AJ62" s="19">
        <f t="shared" si="33"/>
        <v>3.1122536015277813E-3</v>
      </c>
      <c r="AK62" s="18">
        <f t="shared" si="40"/>
        <v>1.2108518671992503E-8</v>
      </c>
      <c r="AL62" s="18">
        <f t="shared" si="41"/>
        <v>1.44983811559127E-6</v>
      </c>
      <c r="AM62" s="18">
        <f t="shared" si="42"/>
        <v>1.2162236697402209E-6</v>
      </c>
      <c r="AN62" s="18">
        <f t="shared" si="34"/>
        <v>7.6588504698729362E-8</v>
      </c>
    </row>
    <row r="63" spans="1:40">
      <c r="A63" s="6">
        <v>59</v>
      </c>
      <c r="B63" s="16">
        <f t="shared" si="5"/>
        <v>-13.996228222465028</v>
      </c>
      <c r="C63" s="16">
        <f t="shared" si="6"/>
        <v>8.3467028600525015E-7</v>
      </c>
      <c r="D63" s="16">
        <f t="shared" si="7"/>
        <v>0.616582452890443</v>
      </c>
      <c r="E63" s="16">
        <f t="shared" si="8"/>
        <v>4.2644846829878465E-2</v>
      </c>
      <c r="F63" s="16">
        <f t="shared" si="9"/>
        <v>4.2644846829878465E-2</v>
      </c>
      <c r="G63" s="16">
        <f t="shared" si="10"/>
        <v>-2.1623055344429813</v>
      </c>
      <c r="H63" s="16">
        <f t="shared" si="11"/>
        <v>-0.97386855029796326</v>
      </c>
      <c r="I63" s="16">
        <f t="shared" si="12"/>
        <v>-4.1885277875303481E-2</v>
      </c>
      <c r="J63" s="16">
        <f t="shared" si="13"/>
        <v>-1.0369441568966298</v>
      </c>
      <c r="K63" s="16">
        <f t="shared" si="14"/>
        <v>1.0956757433628261</v>
      </c>
      <c r="L63" s="16">
        <f t="shared" si="15"/>
        <v>7.61408809435867</v>
      </c>
      <c r="M63" s="16">
        <f t="shared" si="16"/>
        <v>0.99999951301341061</v>
      </c>
      <c r="N63" s="16">
        <f t="shared" si="17"/>
        <v>-0.45604601785503263</v>
      </c>
      <c r="O63" s="16">
        <f t="shared" si="18"/>
        <v>0.91831522086060635</v>
      </c>
      <c r="P63" s="16">
        <f t="shared" si="19"/>
        <v>-0.28415147358861265</v>
      </c>
      <c r="Q63" s="16">
        <f t="shared" si="20"/>
        <v>-126.04380867299008</v>
      </c>
      <c r="R63" s="16">
        <f t="shared" si="35"/>
        <v>-1</v>
      </c>
      <c r="S63" s="16">
        <f t="shared" si="21"/>
        <v>0.90973421875081772</v>
      </c>
      <c r="T63" s="16">
        <f t="shared" si="22"/>
        <v>-1.2488614598857946</v>
      </c>
      <c r="U63" s="16">
        <f t="shared" si="23"/>
        <v>-9.8583107314053772E-2</v>
      </c>
      <c r="V63" s="16">
        <f t="shared" si="36"/>
        <v>-8.039357647951423</v>
      </c>
      <c r="W63" s="16">
        <f t="shared" si="24"/>
        <v>-0.99999979196681332</v>
      </c>
      <c r="X63" s="16">
        <f t="shared" si="25"/>
        <v>-1.0281982549373556</v>
      </c>
      <c r="Y63" s="16">
        <f t="shared" si="26"/>
        <v>1.3832370664675604</v>
      </c>
      <c r="Z63" s="16">
        <f t="shared" si="27"/>
        <v>0.18555059768910731</v>
      </c>
      <c r="AA63" s="16">
        <f t="shared" si="37"/>
        <v>1.8712097356909929E-4</v>
      </c>
      <c r="AB63" s="16">
        <f t="shared" si="38"/>
        <v>5.8391517375620872E-2</v>
      </c>
      <c r="AC63" s="16">
        <f t="shared" si="39"/>
        <v>0.9411366069791457</v>
      </c>
      <c r="AD63" s="17">
        <v>-1.0788247514761E-4</v>
      </c>
      <c r="AE63" s="17">
        <v>5.3596926243307502E-2</v>
      </c>
      <c r="AF63" s="17">
        <v>0.94100736181572697</v>
      </c>
      <c r="AG63" s="18">
        <f t="shared" si="28"/>
        <v>2.3091835473079882E-5</v>
      </c>
      <c r="AH63" s="19">
        <f t="shared" si="33"/>
        <v>-1.0891653123445977E-4</v>
      </c>
      <c r="AI63" s="19">
        <f t="shared" si="33"/>
        <v>-2.7417728796901297E-3</v>
      </c>
      <c r="AJ63" s="19">
        <f t="shared" si="33"/>
        <v>2.8426810214371434E-3</v>
      </c>
      <c r="AK63" s="18">
        <f t="shared" si="40"/>
        <v>1.0702945243151262E-8</v>
      </c>
      <c r="AL63" s="18">
        <f t="shared" si="41"/>
        <v>1.6353347051753541E-6</v>
      </c>
      <c r="AM63" s="18">
        <f t="shared" si="42"/>
        <v>1.4003300226047032E-6</v>
      </c>
      <c r="AN63" s="18">
        <f t="shared" si="34"/>
        <v>8.1085223034662338E-8</v>
      </c>
    </row>
  </sheetData>
  <mergeCells count="5">
    <mergeCell ref="AD2:AF2"/>
    <mergeCell ref="AH2:AJ2"/>
    <mergeCell ref="AK2:AN2"/>
    <mergeCell ref="A1:AN1"/>
    <mergeCell ref="B2:AC2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72A9F-F65E-4AC5-8B18-46617FE04B64}">
  <dimension ref="A1:R61"/>
  <sheetViews>
    <sheetView topLeftCell="Q1" zoomScale="76" zoomScaleNormal="50" workbookViewId="0">
      <selection activeCell="M5" sqref="M5"/>
    </sheetView>
  </sheetViews>
  <sheetFormatPr defaultRowHeight="14.5"/>
  <sheetData>
    <row r="1" spans="1:18">
      <c r="A1" t="s">
        <v>72</v>
      </c>
      <c r="B1" t="s">
        <v>170</v>
      </c>
      <c r="C1" t="s">
        <v>171</v>
      </c>
      <c r="D1" t="s">
        <v>172</v>
      </c>
      <c r="E1" t="s">
        <v>173</v>
      </c>
      <c r="F1" t="s">
        <v>174</v>
      </c>
      <c r="G1" t="s">
        <v>72</v>
      </c>
      <c r="H1" t="s">
        <v>170</v>
      </c>
      <c r="I1" t="s">
        <v>171</v>
      </c>
      <c r="J1" t="s">
        <v>172</v>
      </c>
      <c r="K1" t="s">
        <v>173</v>
      </c>
      <c r="L1" t="s">
        <v>174</v>
      </c>
      <c r="M1" t="s">
        <v>72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</row>
    <row r="2" spans="1:18">
      <c r="A2">
        <v>0.99916902781949102</v>
      </c>
      <c r="B2">
        <v>0.97155583420803893</v>
      </c>
      <c r="C2">
        <v>1.0031700665587875</v>
      </c>
      <c r="D2">
        <v>1.055353745296796</v>
      </c>
      <c r="E2">
        <v>1.0204777411008514</v>
      </c>
      <c r="F2">
        <v>0.99244973044898277</v>
      </c>
      <c r="G2">
        <v>-5.1644142064485399E-4</v>
      </c>
      <c r="H2">
        <v>0.15212836581249589</v>
      </c>
      <c r="I2">
        <v>6.7954356590806508E-2</v>
      </c>
      <c r="J2">
        <v>4.8729136503204984E-3</v>
      </c>
      <c r="K2">
        <v>5.4198090572397106E-3</v>
      </c>
      <c r="L2">
        <v>1.2216910041603746E-2</v>
      </c>
      <c r="M2">
        <v>1.29646532345248E-3</v>
      </c>
      <c r="N2">
        <v>-0.12346379366297278</v>
      </c>
      <c r="O2">
        <v>-7.2845646407314391E-2</v>
      </c>
      <c r="P2">
        <v>-5.7226901292854127E-2</v>
      </c>
      <c r="Q2">
        <v>-3.3506798807242832E-2</v>
      </c>
      <c r="R2">
        <v>-6.6760930963776222E-3</v>
      </c>
    </row>
    <row r="3" spans="1:18">
      <c r="A3">
        <v>0.98960193539692398</v>
      </c>
      <c r="B3">
        <v>0.96637180337597872</v>
      </c>
      <c r="C3">
        <v>1.0022602753309446</v>
      </c>
      <c r="D3">
        <v>1.049903679099307</v>
      </c>
      <c r="E3">
        <v>1.0194009914481077</v>
      </c>
      <c r="F3">
        <v>0.99927793349968708</v>
      </c>
      <c r="G3">
        <v>2.1639113228485896E-3</v>
      </c>
      <c r="H3">
        <v>0.15264842653238037</v>
      </c>
      <c r="I3">
        <v>6.8380262669201164E-2</v>
      </c>
      <c r="J3">
        <v>1.6692996635825352E-4</v>
      </c>
      <c r="K3">
        <v>4.0622784857440308E-3</v>
      </c>
      <c r="L3">
        <v>3.3014248696228155E-4</v>
      </c>
      <c r="M3">
        <v>2.6945909567850398E-3</v>
      </c>
      <c r="N3">
        <v>-0.11880056115172349</v>
      </c>
      <c r="O3">
        <v>-7.235841873247395E-2</v>
      </c>
      <c r="P3">
        <v>-4.8167403784310725E-2</v>
      </c>
      <c r="Q3">
        <v>-3.2075528714066825E-2</v>
      </c>
      <c r="R3">
        <v>-1.4678149929534534E-3</v>
      </c>
    </row>
    <row r="4" spans="1:18">
      <c r="A4">
        <v>1.0027006748148801</v>
      </c>
      <c r="B4">
        <v>0.96006216122019539</v>
      </c>
      <c r="C4">
        <v>1.0009131763628518</v>
      </c>
      <c r="D4">
        <v>1.0423379676534288</v>
      </c>
      <c r="E4">
        <v>1.0170249909690865</v>
      </c>
      <c r="F4">
        <v>1.0014791929124964</v>
      </c>
      <c r="G4">
        <v>3.31005964809079E-3</v>
      </c>
      <c r="H4">
        <v>0.1532814083081554</v>
      </c>
      <c r="I4">
        <v>6.9016881838911415E-2</v>
      </c>
      <c r="J4">
        <v>-2.8655483701527373E-3</v>
      </c>
      <c r="K4">
        <v>4.2112453982330322E-3</v>
      </c>
      <c r="L4">
        <v>-5.5609291354277168E-3</v>
      </c>
      <c r="M4">
        <v>-4.7185297244242705E-3</v>
      </c>
      <c r="N4">
        <v>-0.11312479852831619</v>
      </c>
      <c r="O4">
        <v>-7.1642962130842536E-2</v>
      </c>
      <c r="P4">
        <v>-3.7509063186687008E-2</v>
      </c>
      <c r="Q4">
        <v>-2.9060684128931591E-2</v>
      </c>
      <c r="R4">
        <v>2.5098112272363693E-3</v>
      </c>
    </row>
    <row r="5" spans="1:18">
      <c r="A5">
        <v>0.99110329365628103</v>
      </c>
      <c r="B5">
        <v>0.95240193229676295</v>
      </c>
      <c r="C5">
        <v>0.99892072972090151</v>
      </c>
      <c r="D5">
        <v>1.0326234035489805</v>
      </c>
      <c r="E5">
        <v>1.0136564273868673</v>
      </c>
      <c r="F5">
        <v>0.99924464173676175</v>
      </c>
      <c r="G5">
        <v>1.5165637719900501E-3</v>
      </c>
      <c r="H5">
        <v>0.15404988062197011</v>
      </c>
      <c r="I5">
        <v>6.9966127156508406E-2</v>
      </c>
      <c r="J5">
        <v>-4.5133450773899852E-3</v>
      </c>
      <c r="K5">
        <v>5.0046281905986589E-3</v>
      </c>
      <c r="L5">
        <v>-5.6903993722345336E-3</v>
      </c>
      <c r="M5">
        <v>2.4789689316632598E-3</v>
      </c>
      <c r="N5">
        <v>-0.10623413184121888</v>
      </c>
      <c r="O5">
        <v>-7.0592364549533437E-2</v>
      </c>
      <c r="P5">
        <v>-2.6102976967763869E-2</v>
      </c>
      <c r="Q5">
        <v>-2.5465895437896569E-2</v>
      </c>
      <c r="R5">
        <v>5.28193622424733E-3</v>
      </c>
    </row>
    <row r="6" spans="1:18">
      <c r="A6">
        <v>0.99855053119660397</v>
      </c>
      <c r="B6">
        <v>0.94313057090735974</v>
      </c>
      <c r="C6">
        <v>0.9959785289307066</v>
      </c>
      <c r="D6">
        <v>1.0202754284761166</v>
      </c>
      <c r="E6">
        <v>1.0088939600902149</v>
      </c>
      <c r="F6">
        <v>0.99369544263231535</v>
      </c>
      <c r="G6">
        <v>2.0051112150917699E-3</v>
      </c>
      <c r="H6">
        <v>0.15497998135529578</v>
      </c>
      <c r="I6">
        <v>7.1377565850503144E-2</v>
      </c>
      <c r="J6">
        <v>-4.1747001360938896E-3</v>
      </c>
      <c r="K6">
        <v>6.7739195599951785E-3</v>
      </c>
      <c r="L6">
        <v>-1.1714148649175637E-3</v>
      </c>
      <c r="M6">
        <v>3.86363487767975E-3</v>
      </c>
      <c r="N6">
        <v>-9.7894190344878507E-2</v>
      </c>
      <c r="O6">
        <v>-6.9050635804051241E-2</v>
      </c>
      <c r="P6">
        <v>-1.4075703345939328E-2</v>
      </c>
      <c r="Q6">
        <v>-2.1180870603339619E-2</v>
      </c>
      <c r="R6">
        <v>6.7918429283557735E-3</v>
      </c>
    </row>
    <row r="7" spans="1:18">
      <c r="A7">
        <v>0.99334815329542803</v>
      </c>
      <c r="B7">
        <v>0.93195088254269765</v>
      </c>
      <c r="C7">
        <v>0.99164424599745882</v>
      </c>
      <c r="D7">
        <v>1.0047425325265893</v>
      </c>
      <c r="E7">
        <v>1.0021824074054502</v>
      </c>
      <c r="F7">
        <v>0.98653867905698922</v>
      </c>
      <c r="G7">
        <v>5.7859344004262394E-3</v>
      </c>
      <c r="H7">
        <v>0.15610152498946042</v>
      </c>
      <c r="I7">
        <v>7.3469074005490853E-2</v>
      </c>
      <c r="J7">
        <v>-1.1278683536879441E-3</v>
      </c>
      <c r="K7">
        <v>9.981786578076246E-3</v>
      </c>
      <c r="L7">
        <v>6.2778568243124083E-3</v>
      </c>
      <c r="M7">
        <v>-4.6798608314981898E-3</v>
      </c>
      <c r="N7">
        <v>-8.7837636297145361E-2</v>
      </c>
      <c r="O7">
        <v>-6.6791649073631554E-2</v>
      </c>
      <c r="P7">
        <v>-1.6076070614650106E-3</v>
      </c>
      <c r="Q7">
        <v>-1.6072840008157563E-2</v>
      </c>
      <c r="R7">
        <v>6.9794850634198324E-3</v>
      </c>
    </row>
    <row r="8" spans="1:18">
      <c r="A8">
        <v>0.98283073740154103</v>
      </c>
      <c r="B8">
        <v>0.91853038790681651</v>
      </c>
      <c r="C8">
        <v>0.9852817776408016</v>
      </c>
      <c r="D8">
        <v>0.98541689147519751</v>
      </c>
      <c r="E8">
        <v>0.99276822305000412</v>
      </c>
      <c r="F8">
        <v>0.97927906591994451</v>
      </c>
      <c r="G8">
        <v>1.2651330839959601E-2</v>
      </c>
      <c r="H8">
        <v>0.15744786576706113</v>
      </c>
      <c r="I8">
        <v>7.6554611213517809E-2</v>
      </c>
      <c r="J8">
        <v>5.4578563726357388E-3</v>
      </c>
      <c r="K8">
        <v>1.525357068375488E-2</v>
      </c>
      <c r="L8">
        <v>1.4970709675795946E-2</v>
      </c>
      <c r="M8">
        <v>3.0346095032803499E-3</v>
      </c>
      <c r="N8">
        <v>-7.5765391950902428E-2</v>
      </c>
      <c r="O8">
        <v>-6.3490849080469758E-2</v>
      </c>
      <c r="P8">
        <v>1.1066721629746645E-2</v>
      </c>
      <c r="Q8">
        <v>-9.9889421750234408E-3</v>
      </c>
      <c r="R8">
        <v>5.950969398438255E-3</v>
      </c>
    </row>
    <row r="9" spans="1:18">
      <c r="A9">
        <v>0.97539398785926001</v>
      </c>
      <c r="B9">
        <v>0.90250639615091754</v>
      </c>
      <c r="C9">
        <v>0.9759904789202094</v>
      </c>
      <c r="D9">
        <v>0.96165606468083942</v>
      </c>
      <c r="E9">
        <v>0.97965081270794219</v>
      </c>
      <c r="F9">
        <v>0.97225924696259325</v>
      </c>
      <c r="G9">
        <v>2.03539996715329E-2</v>
      </c>
      <c r="H9">
        <v>0.15905538874637254</v>
      </c>
      <c r="I9">
        <v>8.1079407718707142E-2</v>
      </c>
      <c r="J9">
        <v>1.6492115155690712E-2</v>
      </c>
      <c r="K9">
        <v>2.3409759634884786E-2</v>
      </c>
      <c r="L9">
        <v>2.4053856297836407E-2</v>
      </c>
      <c r="M9">
        <v>7.4668309922445502E-3</v>
      </c>
      <c r="N9">
        <v>-6.1351203120470044E-2</v>
      </c>
      <c r="O9">
        <v>-5.8689403375861815E-2</v>
      </c>
      <c r="P9">
        <v>2.3667217887401115E-2</v>
      </c>
      <c r="Q9">
        <v>-2.7581299853258745E-3</v>
      </c>
      <c r="R9">
        <v>4.1588948350323451E-3</v>
      </c>
    </row>
    <row r="10" spans="1:18">
      <c r="A10">
        <v>0.96249140793574095</v>
      </c>
      <c r="B10">
        <v>0.88349629504425609</v>
      </c>
      <c r="C10">
        <v>0.9625247170068949</v>
      </c>
      <c r="D10">
        <v>0.93281944425011121</v>
      </c>
      <c r="E10">
        <v>0.96154351144266403</v>
      </c>
      <c r="F10">
        <v>0.9639747107052965</v>
      </c>
      <c r="G10">
        <v>3.3533967396357001E-2</v>
      </c>
      <c r="H10">
        <v>0.16096247749389025</v>
      </c>
      <c r="I10">
        <v>8.765991808489626E-2</v>
      </c>
      <c r="J10">
        <v>3.2906959904501321E-2</v>
      </c>
      <c r="K10">
        <v>3.5484832190121551E-2</v>
      </c>
      <c r="L10">
        <v>3.4133601634057209E-2</v>
      </c>
      <c r="M10">
        <v>9.1761695406187595E-3</v>
      </c>
      <c r="N10">
        <v>-4.4250895580923544E-2</v>
      </c>
      <c r="O10">
        <v>-5.1753403649025476E-2</v>
      </c>
      <c r="P10">
        <v>3.5889223232954848E-2</v>
      </c>
      <c r="Q10">
        <v>5.8031319960674121E-3</v>
      </c>
      <c r="R10">
        <v>2.4791237904348562E-3</v>
      </c>
    </row>
    <row r="11" spans="1:18">
      <c r="A11">
        <v>0.94450237023887595</v>
      </c>
      <c r="B11">
        <v>0.86111465028044376</v>
      </c>
      <c r="C11">
        <v>0.94322222783599852</v>
      </c>
      <c r="D11">
        <v>0.8983219947430805</v>
      </c>
      <c r="E11">
        <v>0.93686909309876931</v>
      </c>
      <c r="F11">
        <v>0.95102532097681336</v>
      </c>
      <c r="G11">
        <v>4.7496166004264602E-2</v>
      </c>
      <c r="H11">
        <v>0.16320779868605623</v>
      </c>
      <c r="I11">
        <v>9.7119240178764388E-2</v>
      </c>
      <c r="J11">
        <v>5.556834441242664E-2</v>
      </c>
      <c r="K11">
        <v>5.2711299570573189E-2</v>
      </c>
      <c r="L11">
        <v>4.7422336163740142E-2</v>
      </c>
      <c r="M11">
        <v>7.5225339506602403E-3</v>
      </c>
      <c r="N11">
        <v>-2.4117756543175051E-2</v>
      </c>
      <c r="O11">
        <v>-4.1837369480479225E-2</v>
      </c>
      <c r="P11">
        <v>4.7439522935742495E-2</v>
      </c>
      <c r="Q11">
        <v>1.5880054401329557E-2</v>
      </c>
      <c r="R11">
        <v>2.1181520699407597E-3</v>
      </c>
    </row>
    <row r="12" spans="1:18">
      <c r="A12">
        <v>0.91819898168117797</v>
      </c>
      <c r="B12">
        <v>0.83499846838699943</v>
      </c>
      <c r="C12">
        <v>0.91598463674689734</v>
      </c>
      <c r="D12">
        <v>0.85770563362018093</v>
      </c>
      <c r="E12">
        <v>0.90383172221801278</v>
      </c>
      <c r="F12">
        <v>0.9287859134208023</v>
      </c>
      <c r="G12">
        <v>6.7597221336325009E-2</v>
      </c>
      <c r="H12">
        <v>0.16582776774027977</v>
      </c>
      <c r="I12">
        <v>0.11049620562373441</v>
      </c>
      <c r="J12">
        <v>8.515426622182698E-2</v>
      </c>
      <c r="K12">
        <v>7.6436787749600832E-2</v>
      </c>
      <c r="L12">
        <v>6.728860464690134E-2</v>
      </c>
      <c r="M12">
        <v>3.2927993138720797E-3</v>
      </c>
      <c r="N12">
        <v>-6.2525960005577197E-4</v>
      </c>
      <c r="O12">
        <v>-2.7873788001664845E-2</v>
      </c>
      <c r="P12">
        <v>5.8088574614095112E-2</v>
      </c>
      <c r="Q12">
        <v>2.764342418227872E-2</v>
      </c>
      <c r="R12">
        <v>4.3840296631134784E-3</v>
      </c>
    </row>
    <row r="13" spans="1:18">
      <c r="A13">
        <v>0.89021613947898592</v>
      </c>
      <c r="B13">
        <v>0.80484121336109271</v>
      </c>
      <c r="C13">
        <v>0.87839058210803911</v>
      </c>
      <c r="D13">
        <v>0.810724731150684</v>
      </c>
      <c r="E13">
        <v>0.86062198523635125</v>
      </c>
      <c r="F13">
        <v>0.89260808125887303</v>
      </c>
      <c r="G13">
        <v>9.5969397639399309E-2</v>
      </c>
      <c r="H13">
        <v>0.16885313627426274</v>
      </c>
      <c r="I13">
        <v>0.12898773121129081</v>
      </c>
      <c r="J13">
        <v>0.12200581665978216</v>
      </c>
      <c r="K13">
        <v>0.107935732219401</v>
      </c>
      <c r="L13">
        <v>9.7299731075321971E-2</v>
      </c>
      <c r="M13">
        <v>1.96514990734073E-2</v>
      </c>
      <c r="N13">
        <v>2.6502336018613959E-2</v>
      </c>
      <c r="O13">
        <v>-8.629026169817422E-3</v>
      </c>
      <c r="P13">
        <v>6.7736101756909139E-2</v>
      </c>
      <c r="Q13">
        <v>4.1230845257635318E-2</v>
      </c>
      <c r="R13">
        <v>1.0424397908971886E-2</v>
      </c>
    </row>
    <row r="14" spans="1:18">
      <c r="A14">
        <v>0.83105634839519704</v>
      </c>
      <c r="B14">
        <v>0.77043469128111863</v>
      </c>
      <c r="C14">
        <v>0.82805605596415255</v>
      </c>
      <c r="D14">
        <v>0.75743677626637562</v>
      </c>
      <c r="E14">
        <v>0.80580538087166254</v>
      </c>
      <c r="F14">
        <v>0.83922601094030425</v>
      </c>
      <c r="G14">
        <v>0.139820372745182</v>
      </c>
      <c r="H14">
        <v>0.1723047902518918</v>
      </c>
      <c r="I14">
        <v>0.15376686035897014</v>
      </c>
      <c r="J14">
        <v>0.16596832020280061</v>
      </c>
      <c r="K14">
        <v>0.14808939471117988</v>
      </c>
      <c r="L14">
        <v>0.13998978285384545</v>
      </c>
      <c r="M14">
        <v>2.4532806481925299E-2</v>
      </c>
      <c r="N14">
        <v>5.7452308648037909E-2</v>
      </c>
      <c r="O14">
        <v>1.7116902075178686E-2</v>
      </c>
      <c r="P14">
        <v>7.6481575572400207E-2</v>
      </c>
      <c r="Q14">
        <v>5.6732024961564376E-2</v>
      </c>
      <c r="R14">
        <v>2.1032919722157387E-2</v>
      </c>
    </row>
    <row r="15" spans="1:18">
      <c r="A15">
        <v>0.77338802087821101</v>
      </c>
      <c r="B15">
        <v>0.73171568030198408</v>
      </c>
      <c r="C15">
        <v>0.76333837272081939</v>
      </c>
      <c r="D15">
        <v>0.69828321505016344</v>
      </c>
      <c r="E15">
        <v>0.73888699462059382</v>
      </c>
      <c r="F15">
        <v>0.7679857165477173</v>
      </c>
      <c r="G15">
        <v>0.19576330278256401</v>
      </c>
      <c r="H15">
        <v>0.17618907207338338</v>
      </c>
      <c r="I15">
        <v>0.18562805246289615</v>
      </c>
      <c r="J15">
        <v>0.21625197821149289</v>
      </c>
      <c r="K15">
        <v>0.19695667736159628</v>
      </c>
      <c r="L15">
        <v>0.19569269730131933</v>
      </c>
      <c r="M15">
        <v>3.84479753657469E-2</v>
      </c>
      <c r="N15">
        <v>9.2281528737680973E-2</v>
      </c>
      <c r="O15">
        <v>5.0218375446110297E-2</v>
      </c>
      <c r="P15">
        <v>8.4684736584996756E-2</v>
      </c>
      <c r="Q15">
        <v>7.4187286647972916E-2</v>
      </c>
      <c r="R15">
        <v>3.6570841339265261E-2</v>
      </c>
    </row>
    <row r="16" spans="1:18">
      <c r="A16">
        <v>0.68790871012265198</v>
      </c>
      <c r="B16">
        <v>0.68881143312101289</v>
      </c>
      <c r="C16">
        <v>0.68432657327905422</v>
      </c>
      <c r="D16">
        <v>0.63414080760724634</v>
      </c>
      <c r="E16">
        <v>0.66091662708876164</v>
      </c>
      <c r="F16">
        <v>0.68148367295288281</v>
      </c>
      <c r="G16">
        <v>0.25894601239861498</v>
      </c>
      <c r="H16">
        <v>0.18049321577890406</v>
      </c>
      <c r="I16">
        <v>0.22448836726382537</v>
      </c>
      <c r="J16">
        <v>0.27135073521600028</v>
      </c>
      <c r="K16">
        <v>0.25334891427418604</v>
      </c>
      <c r="L16">
        <v>0.2618696613742485</v>
      </c>
      <c r="M16">
        <v>6.3388110834698502E-2</v>
      </c>
      <c r="N16">
        <v>0.13087552765598426</v>
      </c>
      <c r="O16">
        <v>9.0668775962887249E-2</v>
      </c>
      <c r="P16">
        <v>9.2996530051546289E-2</v>
      </c>
      <c r="Q16">
        <v>9.3603971939191011E-2</v>
      </c>
      <c r="R16">
        <v>5.6992478552569295E-2</v>
      </c>
    </row>
    <row r="17" spans="1:18">
      <c r="A17">
        <v>0.59497831839092707</v>
      </c>
      <c r="B17">
        <v>0.64207559804111691</v>
      </c>
      <c r="C17">
        <v>0.59374055969905326</v>
      </c>
      <c r="D17">
        <v>0.56632327561680174</v>
      </c>
      <c r="E17">
        <v>0.57484468365437014</v>
      </c>
      <c r="F17">
        <v>0.58526595502595491</v>
      </c>
      <c r="G17">
        <v>0.33076845698165103</v>
      </c>
      <c r="H17">
        <v>0.18518174345619667</v>
      </c>
      <c r="I17">
        <v>0.26893405763865763</v>
      </c>
      <c r="J17">
        <v>0.32905866117826732</v>
      </c>
      <c r="K17">
        <v>0.31461556149795999</v>
      </c>
      <c r="L17">
        <v>0.33332303644567862</v>
      </c>
      <c r="M17">
        <v>7.3720662375898097E-2</v>
      </c>
      <c r="N17">
        <v>0.17291618533053468</v>
      </c>
      <c r="O17">
        <v>0.13715130833596101</v>
      </c>
      <c r="P17">
        <v>0.10234081965098385</v>
      </c>
      <c r="Q17">
        <v>0.11498161191128897</v>
      </c>
      <c r="R17">
        <v>8.1933029560324735E-2</v>
      </c>
    </row>
    <row r="18" spans="1:18">
      <c r="A18">
        <v>0.48898600704502004</v>
      </c>
      <c r="B18">
        <v>0.59210479331719612</v>
      </c>
      <c r="C18">
        <v>0.49707381973943576</v>
      </c>
      <c r="D18">
        <v>0.49651889308758657</v>
      </c>
      <c r="E18">
        <v>0.48530367826893972</v>
      </c>
      <c r="F18">
        <v>0.48655102219445179</v>
      </c>
      <c r="G18">
        <v>0.40789980280525601</v>
      </c>
      <c r="H18">
        <v>0.19019480250615617</v>
      </c>
      <c r="I18">
        <v>0.31614635560468041</v>
      </c>
      <c r="J18">
        <v>0.38661002284647394</v>
      </c>
      <c r="K18">
        <v>0.37685164204109523</v>
      </c>
      <c r="L18">
        <v>0.4033755689413091</v>
      </c>
      <c r="M18">
        <v>9.9755417736937704E-2</v>
      </c>
      <c r="N18">
        <v>0.21786682099434132</v>
      </c>
      <c r="O18">
        <v>0.18696993094653358</v>
      </c>
      <c r="P18">
        <v>0.11383467589452545</v>
      </c>
      <c r="Q18">
        <v>0.13832375579984246</v>
      </c>
      <c r="R18">
        <v>0.11081591655338281</v>
      </c>
    </row>
    <row r="19" spans="1:18">
      <c r="A19">
        <v>0.39651123517081099</v>
      </c>
      <c r="B19">
        <v>0.53972722815156238</v>
      </c>
      <c r="C19">
        <v>0.40150022863601276</v>
      </c>
      <c r="D19">
        <v>0.42666242846883895</v>
      </c>
      <c r="E19">
        <v>0.39771726434399213</v>
      </c>
      <c r="F19">
        <v>0.39243217115036733</v>
      </c>
      <c r="G19">
        <v>0.47372642816447597</v>
      </c>
      <c r="H19">
        <v>0.19544930718181797</v>
      </c>
      <c r="I19">
        <v>0.36244708277516979</v>
      </c>
      <c r="J19">
        <v>0.44094182829421991</v>
      </c>
      <c r="K19">
        <v>0.43557475374718635</v>
      </c>
      <c r="L19">
        <v>0.46558321575636852</v>
      </c>
      <c r="M19">
        <v>0.13353312106332502</v>
      </c>
      <c r="N19">
        <v>0.26498242903238151</v>
      </c>
      <c r="O19">
        <v>0.23660111600028921</v>
      </c>
      <c r="P19">
        <v>0.1286500688087493</v>
      </c>
      <c r="Q19">
        <v>0.16362100437872962</v>
      </c>
      <c r="R19">
        <v>0.1429511747966542</v>
      </c>
    </row>
    <row r="20" spans="1:18">
      <c r="A20">
        <v>0.31251275507811599</v>
      </c>
      <c r="B20">
        <v>0.48595906567766606</v>
      </c>
      <c r="C20">
        <v>0.31387533202126772</v>
      </c>
      <c r="D20">
        <v>0.35875669886641548</v>
      </c>
      <c r="E20">
        <v>0.31705039279758296</v>
      </c>
      <c r="F20">
        <v>0.30831862399762811</v>
      </c>
      <c r="G20">
        <v>0.52750319456345507</v>
      </c>
      <c r="H20">
        <v>0.20084331624328158</v>
      </c>
      <c r="I20">
        <v>0.4042982456634332</v>
      </c>
      <c r="J20">
        <v>0.48904249096345342</v>
      </c>
      <c r="K20">
        <v>0.48665168886131038</v>
      </c>
      <c r="L20">
        <v>0.51522919406526002</v>
      </c>
      <c r="M20">
        <v>0.171732007304878</v>
      </c>
      <c r="N20">
        <v>0.3133489321341319</v>
      </c>
      <c r="O20">
        <v>0.28270060919294515</v>
      </c>
      <c r="P20">
        <v>0.14783859149682099</v>
      </c>
      <c r="Q20">
        <v>0.19081745701056363</v>
      </c>
      <c r="R20">
        <v>0.17761251908105274</v>
      </c>
    </row>
    <row r="21" spans="1:18">
      <c r="A21">
        <v>0.23552071001902899</v>
      </c>
      <c r="B21">
        <v>0.4319311376813616</v>
      </c>
      <c r="C21">
        <v>0.23891655699899883</v>
      </c>
      <c r="D21">
        <v>0.2946742468721939</v>
      </c>
      <c r="E21">
        <v>0.24677029622195779</v>
      </c>
      <c r="F21">
        <v>0.23718919354712642</v>
      </c>
      <c r="G21">
        <v>0.55793614971574401</v>
      </c>
      <c r="H21">
        <v>0.20626338491915749</v>
      </c>
      <c r="I21">
        <v>0.43921138582865793</v>
      </c>
      <c r="J21">
        <v>0.52832011809775592</v>
      </c>
      <c r="K21">
        <v>0.52709054114264031</v>
      </c>
      <c r="L21">
        <v>0.55002267632319246</v>
      </c>
      <c r="M21">
        <v>0.208737490794312</v>
      </c>
      <c r="N21">
        <v>0.36194910418358683</v>
      </c>
      <c r="O21">
        <v>0.32302081912023883</v>
      </c>
      <c r="P21">
        <v>0.17215617046023812</v>
      </c>
      <c r="Q21">
        <v>0.2197915180803689</v>
      </c>
      <c r="R21">
        <v>0.21409152243578172</v>
      </c>
    </row>
    <row r="22" spans="1:18">
      <c r="A22">
        <v>0.188024971201353</v>
      </c>
      <c r="B22">
        <v>0.37879618831333012</v>
      </c>
      <c r="C22">
        <v>0.17849009629599899</v>
      </c>
      <c r="D22">
        <v>0.23597699755123847</v>
      </c>
      <c r="E22">
        <v>0.18843537004943833</v>
      </c>
      <c r="F22">
        <v>0.17972064146476141</v>
      </c>
      <c r="G22">
        <v>0.5772776209197521</v>
      </c>
      <c r="H22">
        <v>0.21159387019491371</v>
      </c>
      <c r="I22">
        <v>0.46610123784084379</v>
      </c>
      <c r="J22">
        <v>0.55691227949613165</v>
      </c>
      <c r="K22">
        <v>0.55540466523820076</v>
      </c>
      <c r="L22">
        <v>0.56993624213888039</v>
      </c>
      <c r="M22">
        <v>0.245867937524964</v>
      </c>
      <c r="N22">
        <v>0.4097460080608194</v>
      </c>
      <c r="O22">
        <v>0.35677298650013123</v>
      </c>
      <c r="P22">
        <v>0.20192918687819317</v>
      </c>
      <c r="Q22">
        <v>0.25036733104007336</v>
      </c>
      <c r="R22">
        <v>0.25173213976729608</v>
      </c>
    </row>
    <row r="23" spans="1:18">
      <c r="A23">
        <v>0.137907399961987</v>
      </c>
      <c r="B23">
        <v>0.32763228391224408</v>
      </c>
      <c r="C23">
        <v>0.13205216950039556</v>
      </c>
      <c r="D23">
        <v>0.183787641238641</v>
      </c>
      <c r="E23">
        <v>0.14192098206960768</v>
      </c>
      <c r="F23">
        <v>0.13494595783767038</v>
      </c>
      <c r="G23">
        <v>0.57947852857229998</v>
      </c>
      <c r="H23">
        <v>0.21672662071606646</v>
      </c>
      <c r="I23">
        <v>0.48506016790940265</v>
      </c>
      <c r="J23">
        <v>0.57387266083328026</v>
      </c>
      <c r="K23">
        <v>0.57151487923390221</v>
      </c>
      <c r="L23">
        <v>0.57652478362033066</v>
      </c>
      <c r="M23">
        <v>0.28965693379235602</v>
      </c>
      <c r="N23">
        <v>0.45576988217245895</v>
      </c>
      <c r="O23">
        <v>0.38440977558081357</v>
      </c>
      <c r="P23">
        <v>0.2369937947705365</v>
      </c>
      <c r="Q23">
        <v>0.28234335304284164</v>
      </c>
      <c r="R23">
        <v>0.28994996148727042</v>
      </c>
    </row>
    <row r="24" spans="1:18">
      <c r="A24">
        <v>9.9076317792327895E-2</v>
      </c>
      <c r="B24">
        <v>0.27935914129433159</v>
      </c>
      <c r="C24">
        <v>9.7636956957061649E-2</v>
      </c>
      <c r="D24">
        <v>0.13873229450171687</v>
      </c>
      <c r="E24">
        <v>0.10599078680759089</v>
      </c>
      <c r="F24">
        <v>0.10102239602058138</v>
      </c>
      <c r="G24">
        <v>0.57261055388682602</v>
      </c>
      <c r="H24">
        <v>0.22156937071394414</v>
      </c>
      <c r="I24">
        <v>0.49685914905856787</v>
      </c>
      <c r="J24">
        <v>0.57920414459359382</v>
      </c>
      <c r="K24">
        <v>0.57636739912059465</v>
      </c>
      <c r="L24">
        <v>0.57214474906435475</v>
      </c>
      <c r="M24">
        <v>0.33141838551950203</v>
      </c>
      <c r="N24">
        <v>0.49919340633127729</v>
      </c>
      <c r="O24">
        <v>0.40713256700470035</v>
      </c>
      <c r="P24">
        <v>0.27671977504719436</v>
      </c>
      <c r="Q24">
        <v>0.31551370952463986</v>
      </c>
      <c r="R24">
        <v>0.32824034764202764</v>
      </c>
    </row>
    <row r="25" spans="1:18">
      <c r="A25">
        <v>7.6771548896384309E-2</v>
      </c>
      <c r="B25">
        <v>0.23468042058137686</v>
      </c>
      <c r="C25">
        <v>7.2783931736749796E-2</v>
      </c>
      <c r="D25">
        <v>0.10095540488200783</v>
      </c>
      <c r="E25">
        <v>7.889380160310111E-2</v>
      </c>
      <c r="F25">
        <v>7.5844098777449576E-2</v>
      </c>
      <c r="G25">
        <v>0.554625055849157</v>
      </c>
      <c r="H25">
        <v>0.22605152917523211</v>
      </c>
      <c r="I25">
        <v>0.50248126399435522</v>
      </c>
      <c r="J25">
        <v>0.57374879517554156</v>
      </c>
      <c r="K25">
        <v>0.5714891148882888</v>
      </c>
      <c r="L25">
        <v>0.55933717408439176</v>
      </c>
      <c r="M25">
        <v>0.37486334043008496</v>
      </c>
      <c r="N25">
        <v>0.53938361154787684</v>
      </c>
      <c r="O25">
        <v>0.4264270667238601</v>
      </c>
      <c r="P25">
        <v>0.32010731940716752</v>
      </c>
      <c r="Q25">
        <v>0.34967062081921374</v>
      </c>
      <c r="R25">
        <v>0.36617900367513112</v>
      </c>
    </row>
    <row r="26" spans="1:18">
      <c r="A26">
        <v>5.50331848909218E-2</v>
      </c>
      <c r="B26">
        <v>0.194058060605447</v>
      </c>
      <c r="C26">
        <v>5.5134711325836472E-2</v>
      </c>
      <c r="D26">
        <v>7.0191805824572739E-2</v>
      </c>
      <c r="E26">
        <v>5.8806750270366415E-2</v>
      </c>
      <c r="F26">
        <v>5.742076425286835E-2</v>
      </c>
      <c r="G26">
        <v>0.53385373128166391</v>
      </c>
      <c r="H26">
        <v>0.23012675450796655</v>
      </c>
      <c r="I26">
        <v>0.50282494515573584</v>
      </c>
      <c r="J26">
        <v>0.55897748259282132</v>
      </c>
      <c r="K26">
        <v>0.55862463871557111</v>
      </c>
      <c r="L26">
        <v>0.54045077848250833</v>
      </c>
      <c r="M26">
        <v>0.41205954274061996</v>
      </c>
      <c r="N26">
        <v>0.57592496630832823</v>
      </c>
      <c r="O26">
        <v>0.44376094145877198</v>
      </c>
      <c r="P26">
        <v>0.36592847056687638</v>
      </c>
      <c r="Q26">
        <v>0.38459277018215854</v>
      </c>
      <c r="R26">
        <v>0.40341786306557709</v>
      </c>
    </row>
    <row r="27" spans="1:18">
      <c r="A27">
        <v>4.1882891498532304E-2</v>
      </c>
      <c r="B27">
        <v>0.15771721294728108</v>
      </c>
      <c r="C27">
        <v>4.2707053373498116E-2</v>
      </c>
      <c r="D27">
        <v>4.5872045027241626E-2</v>
      </c>
      <c r="E27">
        <v>4.40858078225288E-2</v>
      </c>
      <c r="F27">
        <v>4.4056188918796924E-2</v>
      </c>
      <c r="G27">
        <v>0.51004856673586696</v>
      </c>
      <c r="H27">
        <v>0.23377245955999584</v>
      </c>
      <c r="I27">
        <v>0.49857546208308579</v>
      </c>
      <c r="J27">
        <v>0.53673600292183643</v>
      </c>
      <c r="K27">
        <v>0.53950115216401695</v>
      </c>
      <c r="L27">
        <v>0.51746898413319098</v>
      </c>
      <c r="M27">
        <v>0.44388223355148898</v>
      </c>
      <c r="N27">
        <v>0.60861493821934987</v>
      </c>
      <c r="O27">
        <v>0.46043732780555269</v>
      </c>
      <c r="P27">
        <v>0.41287940277066415</v>
      </c>
      <c r="Q27">
        <v>0.4200310997247434</v>
      </c>
      <c r="R27">
        <v>0.43967841132914537</v>
      </c>
    </row>
    <row r="28" spans="1:18">
      <c r="A28">
        <v>2.6899076645389701E-2</v>
      </c>
      <c r="B28">
        <v>0.12567470413831455</v>
      </c>
      <c r="C28">
        <v>3.3958114768814829E-2</v>
      </c>
      <c r="D28">
        <v>2.7236538556800305E-2</v>
      </c>
      <c r="E28">
        <v>3.3368898669926317E-2</v>
      </c>
      <c r="F28">
        <v>3.4395504339194582E-2</v>
      </c>
      <c r="G28">
        <v>0.48054748715594703</v>
      </c>
      <c r="H28">
        <v>0.23698695629775407</v>
      </c>
      <c r="I28">
        <v>0.49019109934882388</v>
      </c>
      <c r="J28">
        <v>0.50900020310028715</v>
      </c>
      <c r="K28">
        <v>0.51570492936918377</v>
      </c>
      <c r="L28">
        <v>0.49197015692079138</v>
      </c>
      <c r="M28">
        <v>0.487722954635535</v>
      </c>
      <c r="N28">
        <v>0.63743839117720658</v>
      </c>
      <c r="O28">
        <v>0.47754523562236351</v>
      </c>
      <c r="P28">
        <v>0.4597147163333748</v>
      </c>
      <c r="Q28">
        <v>0.4557009691969347</v>
      </c>
      <c r="R28">
        <v>0.47474391004745242</v>
      </c>
    </row>
    <row r="29" spans="1:18">
      <c r="A29">
        <v>2.8643066551244298E-2</v>
      </c>
      <c r="B29">
        <v>9.7781413456627886E-2</v>
      </c>
      <c r="C29">
        <v>2.7743856686115453E-2</v>
      </c>
      <c r="D29">
        <v>1.3439515659250389E-2</v>
      </c>
      <c r="E29">
        <v>2.5586870094535641E-2</v>
      </c>
      <c r="F29">
        <v>2.7402506132162108E-2</v>
      </c>
      <c r="G29">
        <v>0.45621581041098197</v>
      </c>
      <c r="H29">
        <v>0.23978520447601573</v>
      </c>
      <c r="I29">
        <v>0.47795286668519199</v>
      </c>
      <c r="J29">
        <v>0.47767631545116807</v>
      </c>
      <c r="K29">
        <v>0.48863245203310246</v>
      </c>
      <c r="L29">
        <v>0.46515837803415527</v>
      </c>
      <c r="M29">
        <v>0.51359201939365806</v>
      </c>
      <c r="N29">
        <v>0.66252946493165732</v>
      </c>
      <c r="O29">
        <v>0.49595072356432612</v>
      </c>
      <c r="P29">
        <v>0.50534605161919544</v>
      </c>
      <c r="Q29">
        <v>0.4912841398111587</v>
      </c>
      <c r="R29">
        <v>0.50845143307880336</v>
      </c>
    </row>
    <row r="30" spans="1:18">
      <c r="A30">
        <v>1.8585382566350301E-2</v>
      </c>
      <c r="B30">
        <v>7.3769292792242036E-2</v>
      </c>
      <c r="C30">
        <v>2.324310968762755E-2</v>
      </c>
      <c r="D30">
        <v>3.6316304850894099E-3</v>
      </c>
      <c r="E30">
        <v>1.9930380325803299E-2</v>
      </c>
      <c r="F30">
        <v>2.230841141651374E-2</v>
      </c>
      <c r="G30">
        <v>0.43462182741029998</v>
      </c>
      <c r="H30">
        <v>0.24219409461637595</v>
      </c>
      <c r="I30">
        <v>0.46204442470697993</v>
      </c>
      <c r="J30">
        <v>0.44446300774307801</v>
      </c>
      <c r="K30">
        <v>0.45948215262058234</v>
      </c>
      <c r="L30">
        <v>0.43792263019400202</v>
      </c>
      <c r="M30">
        <v>0.547713142498501</v>
      </c>
      <c r="N30">
        <v>0.68412927893232101</v>
      </c>
      <c r="O30">
        <v>0.5162933918337369</v>
      </c>
      <c r="P30">
        <v>0.54889940599394826</v>
      </c>
      <c r="Q30">
        <v>0.52643972564605535</v>
      </c>
      <c r="R30">
        <v>0.54068423371379004</v>
      </c>
    </row>
    <row r="31" spans="1:18">
      <c r="A31">
        <v>1.6441050975567299E-2</v>
      </c>
      <c r="B31">
        <v>5.3295920709950095E-2</v>
      </c>
      <c r="C31">
        <v>1.9880735401929694E-2</v>
      </c>
      <c r="D31">
        <v>-2.9824511300189371E-3</v>
      </c>
      <c r="E31">
        <v>1.5801799854060938E-2</v>
      </c>
      <c r="F31">
        <v>1.8555196330945378E-2</v>
      </c>
      <c r="G31">
        <v>0.40770546813070097</v>
      </c>
      <c r="H31">
        <v>0.24424797835443773</v>
      </c>
      <c r="I31">
        <v>0.44264286159307087</v>
      </c>
      <c r="J31">
        <v>0.41077512306668496</v>
      </c>
      <c r="K31">
        <v>0.42926392604804686</v>
      </c>
      <c r="L31">
        <v>0.41090084162453067</v>
      </c>
      <c r="M31">
        <v>0.57331041777418701</v>
      </c>
      <c r="N31">
        <v>0.70254585425795546</v>
      </c>
      <c r="O31">
        <v>0.53897297879104156</v>
      </c>
      <c r="P31">
        <v>0.58973487865950069</v>
      </c>
      <c r="Q31">
        <v>0.56082105047571895</v>
      </c>
      <c r="R31">
        <v>0.57136470398837025</v>
      </c>
    </row>
    <row r="32" spans="1:18">
      <c r="A32">
        <v>1.6927265894710001E-2</v>
      </c>
      <c r="B32">
        <v>3.5982269873053307E-2</v>
      </c>
      <c r="C32">
        <v>1.726311971291139E-2</v>
      </c>
      <c r="D32">
        <v>-7.1098625323120501E-3</v>
      </c>
      <c r="E32">
        <v>1.2767357531115131E-2</v>
      </c>
      <c r="F32">
        <v>1.5744336853086294E-2</v>
      </c>
      <c r="G32">
        <v>0.38076372682378795</v>
      </c>
      <c r="H32">
        <v>0.24598487962099261</v>
      </c>
      <c r="I32">
        <v>0.42000665074420596</v>
      </c>
      <c r="J32">
        <v>0.37771871957883008</v>
      </c>
      <c r="K32">
        <v>0.39881407283978909</v>
      </c>
      <c r="L32">
        <v>0.38453779273774213</v>
      </c>
      <c r="M32">
        <v>0.602138744531867</v>
      </c>
      <c r="N32">
        <v>0.71812014038521399</v>
      </c>
      <c r="O32">
        <v>0.56412641339163416</v>
      </c>
      <c r="P32">
        <v>0.62743776368013027</v>
      </c>
      <c r="Q32">
        <v>0.5940947745455547</v>
      </c>
      <c r="R32">
        <v>0.60044803158330806</v>
      </c>
    </row>
    <row r="33" spans="1:18">
      <c r="A33">
        <v>5.5360201456173194E-3</v>
      </c>
      <c r="B33">
        <v>2.1441888224417394E-2</v>
      </c>
      <c r="C33">
        <v>1.5128445638777688E-2</v>
      </c>
      <c r="D33">
        <v>-9.3542517434048733E-3</v>
      </c>
      <c r="E33">
        <v>1.0515925058258269E-2</v>
      </c>
      <c r="F33">
        <v>1.3594712513029128E-2</v>
      </c>
      <c r="G33">
        <v>0.35516465630493699</v>
      </c>
      <c r="H33">
        <v>0.24744356719299135</v>
      </c>
      <c r="I33">
        <v>0.3945468875839433</v>
      </c>
      <c r="J33">
        <v>0.34610277835244219</v>
      </c>
      <c r="K33">
        <v>0.36881052972599626</v>
      </c>
      <c r="L33">
        <v>0.35913308613943151</v>
      </c>
      <c r="M33">
        <v>0.624921752972462</v>
      </c>
      <c r="N33">
        <v>0.73119976560861288</v>
      </c>
      <c r="O33">
        <v>0.59160670929978365</v>
      </c>
      <c r="P33">
        <v>0.66179134783263116</v>
      </c>
      <c r="Q33">
        <v>0.62595903222153926</v>
      </c>
      <c r="R33">
        <v>0.62791657212771246</v>
      </c>
    </row>
    <row r="34" spans="1:18">
      <c r="A34">
        <v>5.5516744239331806E-3</v>
      </c>
      <c r="B34">
        <v>9.3015186995780152E-3</v>
      </c>
      <c r="C34">
        <v>1.3309678829500626E-2</v>
      </c>
      <c r="D34">
        <v>-1.0214040541148606E-2</v>
      </c>
      <c r="E34">
        <v>8.8261028478822112E-3</v>
      </c>
      <c r="F34">
        <v>1.1909920730270196E-2</v>
      </c>
      <c r="G34">
        <v>0.33275256354035898</v>
      </c>
      <c r="H34">
        <v>0.24866148612890984</v>
      </c>
      <c r="I34">
        <v>0.3668664654759195</v>
      </c>
      <c r="J34">
        <v>0.31647314936328641</v>
      </c>
      <c r="K34">
        <v>0.33978717560561122</v>
      </c>
      <c r="L34">
        <v>0.33487895966355063</v>
      </c>
      <c r="M34">
        <v>0.65513191440359508</v>
      </c>
      <c r="N34">
        <v>0.74212048882589987</v>
      </c>
      <c r="O34">
        <v>0.62098104018929057</v>
      </c>
      <c r="P34">
        <v>0.69274069535042138</v>
      </c>
      <c r="Q34">
        <v>0.65615816242739922</v>
      </c>
      <c r="R34">
        <v>0.65377490923017723</v>
      </c>
    </row>
    <row r="35" spans="1:18">
      <c r="A35">
        <v>1.2931474477337201E-2</v>
      </c>
      <c r="B35">
        <v>-7.8575282475928931E-4</v>
      </c>
      <c r="C35">
        <v>1.1706969243761689E-2</v>
      </c>
      <c r="D35">
        <v>-1.0089264426504485E-2</v>
      </c>
      <c r="E35">
        <v>7.5411006620642596E-3</v>
      </c>
      <c r="F35">
        <v>1.0553790529888252E-2</v>
      </c>
      <c r="G35">
        <v>0.31162242112024097</v>
      </c>
      <c r="H35">
        <v>0.24967343876973397</v>
      </c>
      <c r="I35">
        <v>0.33775419197181655</v>
      </c>
      <c r="J35">
        <v>0.28915692587656672</v>
      </c>
      <c r="K35">
        <v>0.31214762407497432</v>
      </c>
      <c r="L35">
        <v>0.31188921095935385</v>
      </c>
      <c r="M35">
        <v>0.68166378325101906</v>
      </c>
      <c r="N35">
        <v>0.75119437245930332</v>
      </c>
      <c r="O35">
        <v>0.6515642365237051</v>
      </c>
      <c r="P35">
        <v>0.72035443995521042</v>
      </c>
      <c r="Q35">
        <v>0.68449261782005333</v>
      </c>
      <c r="R35">
        <v>0.67804555344720074</v>
      </c>
    </row>
    <row r="36" spans="1:18">
      <c r="A36">
        <v>8.6066661943624695E-3</v>
      </c>
      <c r="B36">
        <v>-9.1332840940621662E-3</v>
      </c>
      <c r="C36">
        <v>1.0266529610868824E-2</v>
      </c>
      <c r="D36">
        <v>-9.2930278680691814E-3</v>
      </c>
      <c r="E36">
        <v>6.5501233108307133E-3</v>
      </c>
      <c r="F36">
        <v>9.4324796164106939E-3</v>
      </c>
      <c r="G36">
        <v>0.29035002727487702</v>
      </c>
      <c r="H36">
        <v>0.25051086108873788</v>
      </c>
      <c r="I36">
        <v>0.30812992050871246</v>
      </c>
      <c r="J36">
        <v>0.26430884670891786</v>
      </c>
      <c r="K36">
        <v>0.28617920535277719</v>
      </c>
      <c r="L36">
        <v>0.29022091689508289</v>
      </c>
      <c r="M36">
        <v>0.69814062804294097</v>
      </c>
      <c r="N36">
        <v>0.75870329369544753</v>
      </c>
      <c r="O36">
        <v>0.68249455445236085</v>
      </c>
      <c r="P36">
        <v>0.74478914158803367</v>
      </c>
      <c r="Q36">
        <v>0.71082360703222214</v>
      </c>
      <c r="R36">
        <v>0.70076522357825988</v>
      </c>
    </row>
    <row r="37" spans="1:18">
      <c r="A37">
        <v>7.3575980325581393E-3</v>
      </c>
      <c r="B37">
        <v>-1.6018023977955764E-2</v>
      </c>
      <c r="C37">
        <v>8.9640511527491196E-3</v>
      </c>
      <c r="D37">
        <v>-8.0647401758344728E-3</v>
      </c>
      <c r="E37">
        <v>5.774853196203189E-3</v>
      </c>
      <c r="F37">
        <v>8.481610410078444E-3</v>
      </c>
      <c r="G37">
        <v>0.272509543831852</v>
      </c>
      <c r="H37">
        <v>0.25120153652957283</v>
      </c>
      <c r="I37">
        <v>0.27895108204395713</v>
      </c>
      <c r="J37">
        <v>0.24195451853237415</v>
      </c>
      <c r="K37">
        <v>0.26206753278110639</v>
      </c>
      <c r="L37">
        <v>0.26989055968132702</v>
      </c>
      <c r="M37">
        <v>0.71941411557586699</v>
      </c>
      <c r="N37">
        <v>0.76489637855511239</v>
      </c>
      <c r="O37">
        <v>0.71284332267421568</v>
      </c>
      <c r="P37">
        <v>0.7662586562585183</v>
      </c>
      <c r="Q37">
        <v>0.73507282097648052</v>
      </c>
      <c r="R37">
        <v>0.72198165265238656</v>
      </c>
    </row>
    <row r="38" spans="1:18">
      <c r="A38">
        <v>2.8505374714209897E-3</v>
      </c>
      <c r="B38">
        <v>-2.1680635260410863E-2</v>
      </c>
      <c r="C38">
        <v>7.7917500989566069E-3</v>
      </c>
      <c r="D38">
        <v>-6.583305585519561E-3</v>
      </c>
      <c r="E38">
        <v>5.1597761796697839E-3</v>
      </c>
      <c r="F38">
        <v>7.6571466432888702E-3</v>
      </c>
      <c r="G38">
        <v>0.25622929206750999</v>
      </c>
      <c r="H38">
        <v>0.25176960832454887</v>
      </c>
      <c r="I38">
        <v>0.25110433397545462</v>
      </c>
      <c r="J38">
        <v>0.22202776912746813</v>
      </c>
      <c r="K38">
        <v>0.23991160204207063</v>
      </c>
      <c r="L38">
        <v>0.25088592169604129</v>
      </c>
      <c r="M38">
        <v>0.73983758563310398</v>
      </c>
      <c r="N38">
        <v>0.76999011234766723</v>
      </c>
      <c r="O38">
        <v>0.74173576710645484</v>
      </c>
      <c r="P38">
        <v>0.78500941985298223</v>
      </c>
      <c r="Q38">
        <v>0.75721814066110715</v>
      </c>
      <c r="R38">
        <v>0.74175086314482741</v>
      </c>
    </row>
    <row r="39" spans="1:18">
      <c r="A39">
        <v>-2.1838521820841201E-4</v>
      </c>
      <c r="B39">
        <v>-2.6327483781249994E-2</v>
      </c>
      <c r="C39">
        <v>6.7487992180330636E-3</v>
      </c>
      <c r="D39">
        <v>-4.9792252521276836E-3</v>
      </c>
      <c r="E39">
        <v>4.6653330835901841E-3</v>
      </c>
      <c r="F39">
        <v>6.9289894110948769E-3</v>
      </c>
      <c r="G39">
        <v>0.23591031536785101</v>
      </c>
      <c r="H39">
        <v>0.25223577904483008</v>
      </c>
      <c r="I39">
        <v>0.22531104976431537</v>
      </c>
      <c r="J39">
        <v>0.20440119451950345</v>
      </c>
      <c r="K39">
        <v>0.21973902223659447</v>
      </c>
      <c r="L39">
        <v>0.23317482833613168</v>
      </c>
      <c r="M39">
        <v>0.75684413386429605</v>
      </c>
      <c r="N39">
        <v>0.77417012897936166</v>
      </c>
      <c r="O39">
        <v>0.76845466851330868</v>
      </c>
      <c r="P39">
        <v>0.8013015532038974</v>
      </c>
      <c r="Q39">
        <v>0.77728650088617335</v>
      </c>
      <c r="R39">
        <v>0.76013485945702275</v>
      </c>
    </row>
    <row r="40" spans="1:18">
      <c r="A40">
        <v>8.2348707294253292E-3</v>
      </c>
      <c r="B40">
        <v>-3.0133667936974751E-2</v>
      </c>
      <c r="C40">
        <v>5.835042356427067E-3</v>
      </c>
      <c r="D40">
        <v>-3.3451204875687424E-3</v>
      </c>
      <c r="E40">
        <v>4.2631117526994444E-3</v>
      </c>
      <c r="F40">
        <v>6.2765210160293794E-3</v>
      </c>
      <c r="G40">
        <v>0.22078107592961702</v>
      </c>
      <c r="H40">
        <v>0.25261761451922526</v>
      </c>
      <c r="I40">
        <v>0.20206896945586017</v>
      </c>
      <c r="J40">
        <v>0.18891004546447121</v>
      </c>
      <c r="K40">
        <v>0.20152080891776336</v>
      </c>
      <c r="L40">
        <v>0.21671156324212104</v>
      </c>
      <c r="M40">
        <v>0.7750441208199299</v>
      </c>
      <c r="N40">
        <v>0.77759393610431338</v>
      </c>
      <c r="O40">
        <v>0.79250473796508758</v>
      </c>
      <c r="P40">
        <v>0.81539514911780131</v>
      </c>
      <c r="Q40">
        <v>0.79534512334420637</v>
      </c>
      <c r="R40">
        <v>0.77719968959673635</v>
      </c>
    </row>
    <row r="41" spans="1:18">
      <c r="A41">
        <v>3.9663387236011597E-3</v>
      </c>
      <c r="B41">
        <v>-3.3246510154130104E-2</v>
      </c>
      <c r="C41">
        <v>5.0476560987442465E-3</v>
      </c>
      <c r="D41">
        <v>-1.7445414423162831E-3</v>
      </c>
      <c r="E41">
        <v>3.9324930726003515E-3</v>
      </c>
      <c r="F41">
        <v>5.6855282923000683E-3</v>
      </c>
      <c r="G41">
        <v>0.204823212440885</v>
      </c>
      <c r="H41">
        <v>0.25292989409795175</v>
      </c>
      <c r="I41">
        <v>0.18163817785010217</v>
      </c>
      <c r="J41">
        <v>0.1753701766011293</v>
      </c>
      <c r="K41">
        <v>0.18518516919570693</v>
      </c>
      <c r="L41">
        <v>0.20144157168941268</v>
      </c>
      <c r="M41">
        <v>0.78395269848070492</v>
      </c>
      <c r="N41">
        <v>0.78039405583733201</v>
      </c>
      <c r="O41">
        <v>0.81362991742269752</v>
      </c>
      <c r="P41">
        <v>0.82754087080181904</v>
      </c>
      <c r="Q41">
        <v>0.81149219827760433</v>
      </c>
      <c r="R41">
        <v>0.79301383190709718</v>
      </c>
    </row>
    <row r="42" spans="1:18">
      <c r="A42">
        <v>7.9785242352294391E-3</v>
      </c>
      <c r="B42">
        <v>-3.5789129356032123E-2</v>
      </c>
      <c r="C42">
        <v>4.3801021263001338E-3</v>
      </c>
      <c r="D42">
        <v>-2.1913242674997946E-4</v>
      </c>
      <c r="E42">
        <v>3.6583220945294315E-3</v>
      </c>
      <c r="F42">
        <v>5.1460941754197798E-3</v>
      </c>
      <c r="G42">
        <v>0.19286137258476199</v>
      </c>
      <c r="H42">
        <v>0.25318496904163368</v>
      </c>
      <c r="I42">
        <v>0.16406521434696364</v>
      </c>
      <c r="J42">
        <v>0.16359101849683988</v>
      </c>
      <c r="K42">
        <v>0.17062982484913203</v>
      </c>
      <c r="L42">
        <v>0.18730490610813155</v>
      </c>
      <c r="M42">
        <v>0.80233719563429595</v>
      </c>
      <c r="N42">
        <v>0.78268123832334435</v>
      </c>
      <c r="O42">
        <v>0.83179043027514377</v>
      </c>
      <c r="P42">
        <v>0.83797395793755136</v>
      </c>
      <c r="Q42">
        <v>0.82584786051919312</v>
      </c>
      <c r="R42">
        <v>0.80764686646443606</v>
      </c>
    </row>
    <row r="43" spans="1:18">
      <c r="A43">
        <v>3.1396670372780401E-3</v>
      </c>
      <c r="B43">
        <v>-3.7863860740966537E-2</v>
      </c>
      <c r="C43">
        <v>3.8225452770390689E-3</v>
      </c>
      <c r="D43">
        <v>1.205669740074633E-3</v>
      </c>
      <c r="E43">
        <v>3.429295751115724E-3</v>
      </c>
      <c r="F43">
        <v>4.6511637023811669E-3</v>
      </c>
      <c r="G43">
        <v>0.17630438116484701</v>
      </c>
      <c r="H43">
        <v>0.25339310559262462</v>
      </c>
      <c r="I43">
        <v>0.14923062113531183</v>
      </c>
      <c r="J43">
        <v>0.15338456188413474</v>
      </c>
      <c r="K43">
        <v>0.1577325898187345</v>
      </c>
      <c r="L43">
        <v>0.17423874596645716</v>
      </c>
      <c r="M43">
        <v>0.81844367482675706</v>
      </c>
      <c r="N43">
        <v>0.78454753795769483</v>
      </c>
      <c r="O43">
        <v>0.84711503366780194</v>
      </c>
      <c r="P43">
        <v>0.84691081252164224</v>
      </c>
      <c r="Q43">
        <v>0.83854604024183454</v>
      </c>
      <c r="R43">
        <v>0.82116839435706213</v>
      </c>
    </row>
    <row r="44" spans="1:18">
      <c r="A44">
        <v>2.6118371468564702E-3</v>
      </c>
      <c r="B44">
        <v>-3.9555393363646052E-2</v>
      </c>
      <c r="C44">
        <v>3.3629661763052709E-3</v>
      </c>
      <c r="D44">
        <v>2.5161876603432276E-3</v>
      </c>
      <c r="E44">
        <v>3.236848012453386E-3</v>
      </c>
      <c r="F44">
        <v>4.195576529360201E-3</v>
      </c>
      <c r="G44">
        <v>0.16677826328596299</v>
      </c>
      <c r="H44">
        <v>0.25356279973642071</v>
      </c>
      <c r="I44">
        <v>0.13690410084219007</v>
      </c>
      <c r="J44">
        <v>0.14457126043358848</v>
      </c>
      <c r="K44">
        <v>0.1463600936184255</v>
      </c>
      <c r="L44">
        <v>0.16217923442418947</v>
      </c>
      <c r="M44">
        <v>0.83017491401183396</v>
      </c>
      <c r="N44">
        <v>0.78606913575976334</v>
      </c>
      <c r="O44">
        <v>0.85984500082869753</v>
      </c>
      <c r="P44">
        <v>0.85454746120868563</v>
      </c>
      <c r="Q44">
        <v>0.84972751978221128</v>
      </c>
      <c r="R44">
        <v>0.83364717147214162</v>
      </c>
    </row>
    <row r="45" spans="1:18">
      <c r="A45">
        <v>2.39128185473625E-3</v>
      </c>
      <c r="B45">
        <v>-4.0933566162846213E-2</v>
      </c>
      <c r="C45">
        <v>2.9884031625893037E-3</v>
      </c>
      <c r="D45">
        <v>3.7070866743604824E-3</v>
      </c>
      <c r="E45">
        <v>3.0743784302185162E-3</v>
      </c>
      <c r="F45">
        <v>3.7754199711403924E-3</v>
      </c>
      <c r="G45">
        <v>0.157909899247861</v>
      </c>
      <c r="H45">
        <v>0.2537010576984769</v>
      </c>
      <c r="I45">
        <v>0.12679537216848225</v>
      </c>
      <c r="J45">
        <v>0.13698362623840765</v>
      </c>
      <c r="K45">
        <v>0.1363746903993599</v>
      </c>
      <c r="L45">
        <v>0.151062808639993</v>
      </c>
      <c r="M45">
        <v>0.83969352077445703</v>
      </c>
      <c r="N45">
        <v>0.78730885450595678</v>
      </c>
      <c r="O45">
        <v>0.87028225608386944</v>
      </c>
      <c r="P45">
        <v>0.86105932730860246</v>
      </c>
      <c r="Q45">
        <v>0.85953432364152471</v>
      </c>
      <c r="R45">
        <v>0.84515042666483908</v>
      </c>
    </row>
    <row r="46" spans="1:18">
      <c r="A46">
        <v>1.2757458204968699E-3</v>
      </c>
      <c r="B46">
        <v>-4.2055807953564062E-2</v>
      </c>
      <c r="C46">
        <v>2.686002019660183E-3</v>
      </c>
      <c r="D46">
        <v>4.778788562630254E-3</v>
      </c>
      <c r="E46">
        <v>2.9367167334326538E-3</v>
      </c>
      <c r="F46">
        <v>3.3876007183633039E-3</v>
      </c>
      <c r="G46">
        <v>0.14923463373831</v>
      </c>
      <c r="H46">
        <v>0.25381364072363094</v>
      </c>
      <c r="I46">
        <v>0.11859435825370035</v>
      </c>
      <c r="J46">
        <v>0.13046814844374666</v>
      </c>
      <c r="K46">
        <v>0.1276397003260632</v>
      </c>
      <c r="L46">
        <v>0.14082715313132832</v>
      </c>
      <c r="M46">
        <v>0.84673055231667504</v>
      </c>
      <c r="N46">
        <v>0.78831835359527413</v>
      </c>
      <c r="O46">
        <v>0.87874832044933915</v>
      </c>
      <c r="P46">
        <v>0.86660187363305674</v>
      </c>
      <c r="Q46">
        <v>0.86810541969510824</v>
      </c>
      <c r="R46">
        <v>0.8557433372674047</v>
      </c>
    </row>
    <row r="47" spans="1:18">
      <c r="A47">
        <v>3.5362804167817599E-3</v>
      </c>
      <c r="B47">
        <v>-4.2969233860365275E-2</v>
      </c>
      <c r="C47">
        <v>2.4437514573805164E-3</v>
      </c>
      <c r="D47">
        <v>5.7355412611856949E-3</v>
      </c>
      <c r="E47">
        <v>2.8197492509640654E-3</v>
      </c>
      <c r="F47">
        <v>3.0295646159868017E-3</v>
      </c>
      <c r="G47">
        <v>0.135577127775768</v>
      </c>
      <c r="H47">
        <v>0.25390527538978963</v>
      </c>
      <c r="I47">
        <v>0.11199905079099848</v>
      </c>
      <c r="J47">
        <v>0.12488603041754409</v>
      </c>
      <c r="K47">
        <v>0.12002319409468321</v>
      </c>
      <c r="L47">
        <v>0.13141187127012643</v>
      </c>
      <c r="M47">
        <v>0.86534225693530897</v>
      </c>
      <c r="N47">
        <v>0.78914001487067975</v>
      </c>
      <c r="O47">
        <v>0.88555583938212523</v>
      </c>
      <c r="P47">
        <v>0.87131178783047503</v>
      </c>
      <c r="Q47">
        <v>0.87557361390890398</v>
      </c>
      <c r="R47">
        <v>0.86548863781385554</v>
      </c>
    </row>
    <row r="48" spans="1:18">
      <c r="A48">
        <v>-3.1346344649783998E-3</v>
      </c>
      <c r="B48">
        <v>-4.371242543478332E-2</v>
      </c>
      <c r="C48">
        <v>2.2509076268006911E-3</v>
      </c>
      <c r="D48">
        <v>6.5839989215357164E-3</v>
      </c>
      <c r="E48">
        <v>2.7201561573004795E-3</v>
      </c>
      <c r="F48">
        <v>2.6991158273943494E-3</v>
      </c>
      <c r="G48">
        <v>0.125187367886479</v>
      </c>
      <c r="H48">
        <v>0.2539798321888761</v>
      </c>
      <c r="I48">
        <v>0.10673231175858877</v>
      </c>
      <c r="J48">
        <v>0.12011312374778171</v>
      </c>
      <c r="K48">
        <v>0.11340055892419798</v>
      </c>
      <c r="L48">
        <v>0.12275894519472197</v>
      </c>
      <c r="M48">
        <v>0.87833605384871605</v>
      </c>
      <c r="N48">
        <v>0.78980854390227417</v>
      </c>
      <c r="O48">
        <v>0.89099143335113484</v>
      </c>
      <c r="P48">
        <v>0.87530847201551332</v>
      </c>
      <c r="Q48">
        <v>0.88206346973178085</v>
      </c>
      <c r="R48">
        <v>0.87444634060136606</v>
      </c>
    </row>
    <row r="49" spans="1:18">
      <c r="A49">
        <v>9.0828857896239103E-3</v>
      </c>
      <c r="B49">
        <v>-4.4316928495019281E-2</v>
      </c>
      <c r="C49">
        <v>2.0981698177773289E-3</v>
      </c>
      <c r="D49">
        <v>7.3321938408286158E-3</v>
      </c>
      <c r="E49">
        <v>2.6352246740453111E-3</v>
      </c>
      <c r="F49">
        <v>2.3943020381940183E-3</v>
      </c>
      <c r="G49">
        <v>0.11564560923284699</v>
      </c>
      <c r="H49">
        <v>0.25404047578974637</v>
      </c>
      <c r="I49">
        <v>0.10255012910285766</v>
      </c>
      <c r="J49">
        <v>0.11603934086046053</v>
      </c>
      <c r="K49">
        <v>0.10765608443387542</v>
      </c>
      <c r="L49">
        <v>0.11481303644685692</v>
      </c>
      <c r="M49">
        <v>0.87802773465304806</v>
      </c>
      <c r="N49">
        <v>0.7903523173509599</v>
      </c>
      <c r="O49">
        <v>0.89530730425120408</v>
      </c>
      <c r="P49">
        <v>0.87869566923671094</v>
      </c>
      <c r="Q49">
        <v>0.88769006554440311</v>
      </c>
      <c r="R49">
        <v>0.88267354927345099</v>
      </c>
    </row>
    <row r="50" spans="1:18">
      <c r="A50">
        <v>1.0538230552720001E-2</v>
      </c>
      <c r="B50">
        <v>-4.4808504538318028E-2</v>
      </c>
      <c r="C50">
        <v>1.9776840006371366E-3</v>
      </c>
      <c r="D50">
        <v>7.9888058085968439E-3</v>
      </c>
      <c r="E50">
        <v>2.5627144821873671E-3</v>
      </c>
      <c r="F50">
        <v>2.1133430085813476E-3</v>
      </c>
      <c r="G50">
        <v>0.111612530534534</v>
      </c>
      <c r="H50">
        <v>0.25408979057957648</v>
      </c>
      <c r="I50">
        <v>9.9243988743796141E-2</v>
      </c>
      <c r="J50">
        <v>0.11256775138594222</v>
      </c>
      <c r="K50">
        <v>0.10268378894426888</v>
      </c>
      <c r="L50">
        <v>0.10752166656120887</v>
      </c>
      <c r="M50">
        <v>0.88908099354612202</v>
      </c>
      <c r="N50">
        <v>0.79079450866137524</v>
      </c>
      <c r="O50">
        <v>0.89871887078626411</v>
      </c>
      <c r="P50">
        <v>0.88156311311265512</v>
      </c>
      <c r="Q50">
        <v>0.89255840814129483</v>
      </c>
      <c r="R50">
        <v>0.89022434898440705</v>
      </c>
    </row>
    <row r="51" spans="1:18">
      <c r="A51">
        <v>2.5859344138377399E-3</v>
      </c>
      <c r="B51">
        <v>-4.5208170447475771E-2</v>
      </c>
      <c r="C51">
        <v>1.8829424198256728E-3</v>
      </c>
      <c r="D51">
        <v>8.5626547226569372E-3</v>
      </c>
      <c r="E51">
        <v>2.5007592143770907E-3</v>
      </c>
      <c r="F51">
        <v>1.8545871513568901E-3</v>
      </c>
      <c r="G51">
        <v>0.10342211054485</v>
      </c>
      <c r="H51">
        <v>0.25412988496696798</v>
      </c>
      <c r="I51">
        <v>9.6639616880364709E-2</v>
      </c>
      <c r="J51">
        <v>0.10961350814598347</v>
      </c>
      <c r="K51">
        <v>9.8387678966823877E-2</v>
      </c>
      <c r="L51">
        <v>0.10083530725315004</v>
      </c>
      <c r="M51">
        <v>0.89472708248588406</v>
      </c>
      <c r="N51">
        <v>0.79115402331736373</v>
      </c>
      <c r="O51">
        <v>0.90140612092418149</v>
      </c>
      <c r="P51">
        <v>0.8839881267945735</v>
      </c>
      <c r="Q51">
        <v>0.89676333803219077</v>
      </c>
      <c r="R51">
        <v>0.89714975888343051</v>
      </c>
    </row>
    <row r="52" spans="1:18">
      <c r="A52">
        <v>2.0336631835871899E-3</v>
      </c>
      <c r="B52">
        <v>-4.553305849437389E-2</v>
      </c>
      <c r="C52">
        <v>1.8086307888309783E-3</v>
      </c>
      <c r="D52">
        <v>9.0623589879790245E-3</v>
      </c>
      <c r="E52">
        <v>2.4477930789057467E-3</v>
      </c>
      <c r="F52">
        <v>1.616485881131835E-3</v>
      </c>
      <c r="G52">
        <v>9.4972241588527101E-2</v>
      </c>
      <c r="H52">
        <v>0.25416247765729433</v>
      </c>
      <c r="I52">
        <v>9.459376672151798E-2</v>
      </c>
      <c r="J52">
        <v>0.10710270385055409</v>
      </c>
      <c r="K52">
        <v>9.4681603044632467E-2</v>
      </c>
      <c r="L52">
        <v>9.4707402777914673E-2</v>
      </c>
      <c r="M52">
        <v>0.90450311421663898</v>
      </c>
      <c r="N52">
        <v>0.79144627244779753</v>
      </c>
      <c r="O52">
        <v>0.90351696338831777</v>
      </c>
      <c r="P52">
        <v>0.88603712619677033</v>
      </c>
      <c r="Q52">
        <v>0.90038978648378554</v>
      </c>
      <c r="R52">
        <v>0.90349773463825667</v>
      </c>
    </row>
    <row r="53" spans="1:18">
      <c r="A53">
        <v>2.2949557971681501E-3</v>
      </c>
      <c r="B53">
        <v>-4.5797125199481481E-2</v>
      </c>
      <c r="C53">
        <v>1.7504578133220594E-3</v>
      </c>
      <c r="D53">
        <v>9.4961155930581853E-3</v>
      </c>
      <c r="E53">
        <v>2.402495177932451E-3</v>
      </c>
      <c r="F53">
        <v>1.3975789467248756E-3</v>
      </c>
      <c r="G53">
        <v>8.7440881600336293E-2</v>
      </c>
      <c r="H53">
        <v>0.25418896876531522</v>
      </c>
      <c r="I53">
        <v>9.2990177498294191E-2</v>
      </c>
      <c r="J53">
        <v>0.10497122639667822</v>
      </c>
      <c r="K53">
        <v>9.1488829761503077E-2</v>
      </c>
      <c r="L53">
        <v>8.9094341767681495E-2</v>
      </c>
      <c r="M53">
        <v>0.90922037148508505</v>
      </c>
      <c r="N53">
        <v>0.7916838104726065</v>
      </c>
      <c r="O53">
        <v>0.90517142075057344</v>
      </c>
      <c r="P53">
        <v>0.88776700274067366</v>
      </c>
      <c r="Q53">
        <v>0.9035132699823083</v>
      </c>
      <c r="R53">
        <v>0.90931321050359859</v>
      </c>
    </row>
    <row r="54" spans="1:18">
      <c r="A54">
        <v>2.3936274802814103E-3</v>
      </c>
      <c r="B54">
        <v>-4.6011733967698476E-2</v>
      </c>
      <c r="C54">
        <v>1.704988111936423E-3</v>
      </c>
      <c r="D54">
        <v>9.8715683335290905E-3</v>
      </c>
      <c r="E54">
        <v>2.3637464530219532E-3</v>
      </c>
      <c r="F54">
        <v>1.1964863140974114E-3</v>
      </c>
      <c r="G54">
        <v>8.3053244128702103E-2</v>
      </c>
      <c r="H54">
        <v>0.2542104982650632</v>
      </c>
      <c r="I54">
        <v>9.1735400989197746E-2</v>
      </c>
      <c r="J54">
        <v>0.10316365649122083</v>
      </c>
      <c r="K54">
        <v>8.8741451080859513E-2</v>
      </c>
      <c r="L54">
        <v>8.3955391893602238E-2</v>
      </c>
      <c r="M54">
        <v>0.906309636239233</v>
      </c>
      <c r="N54">
        <v>0.79187685920583539</v>
      </c>
      <c r="O54">
        <v>0.90646595099753591</v>
      </c>
      <c r="P54">
        <v>0.88922637480758837</v>
      </c>
      <c r="Q54">
        <v>0.90620053228626407</v>
      </c>
      <c r="R54">
        <v>0.91463817203432696</v>
      </c>
    </row>
    <row r="55" spans="1:18">
      <c r="A55">
        <v>2.3043154567460099E-3</v>
      </c>
      <c r="B55">
        <v>-4.6186132896327059E-2</v>
      </c>
      <c r="C55">
        <v>1.6694898058722263E-3</v>
      </c>
      <c r="D55">
        <v>1.0195738907849972E-2</v>
      </c>
      <c r="E55">
        <v>2.3305957878765327E-3</v>
      </c>
      <c r="F55">
        <v>1.0119037553473209E-3</v>
      </c>
      <c r="G55">
        <v>7.8073186837302994E-2</v>
      </c>
      <c r="H55">
        <v>0.25422799392342404</v>
      </c>
      <c r="I55">
        <v>9.07548827284681E-2</v>
      </c>
      <c r="J55">
        <v>0.10163223403220911</v>
      </c>
      <c r="K55">
        <v>8.6379687406640926E-2</v>
      </c>
      <c r="L55">
        <v>7.9252607693418575E-2</v>
      </c>
      <c r="M55">
        <v>0.92630169320256595</v>
      </c>
      <c r="N55">
        <v>0.79203373766205099</v>
      </c>
      <c r="O55">
        <v>0.90747750089686652</v>
      </c>
      <c r="P55">
        <v>0.89045670637919905</v>
      </c>
      <c r="Q55">
        <v>0.9085102659118689</v>
      </c>
      <c r="R55">
        <v>0.91951175195545476</v>
      </c>
    </row>
    <row r="56" spans="1:18">
      <c r="A56">
        <v>3.0385585864702198E-3</v>
      </c>
      <c r="B56">
        <v>-4.6327845904877318E-2</v>
      </c>
      <c r="C56">
        <v>1.6418016288075599E-3</v>
      </c>
      <c r="D56">
        <v>1.0475001990178257E-2</v>
      </c>
      <c r="E56">
        <v>2.3022328733031117E-3</v>
      </c>
      <c r="F56">
        <v>8.4260036028482865E-4</v>
      </c>
      <c r="G56">
        <v>7.1018266657233403E-2</v>
      </c>
      <c r="H56">
        <v>0.25424221053818408</v>
      </c>
      <c r="I56">
        <v>8.998948256118533E-2</v>
      </c>
      <c r="J56">
        <v>0.10033590755505095</v>
      </c>
      <c r="K56">
        <v>8.4351150232516048E-2</v>
      </c>
      <c r="L56">
        <v>7.4950719600264559E-2</v>
      </c>
      <c r="M56">
        <v>0.92736038017037692</v>
      </c>
      <c r="N56">
        <v>0.7921612138924492</v>
      </c>
      <c r="O56">
        <v>0.90826710249245091</v>
      </c>
      <c r="P56">
        <v>0.89149329726860671</v>
      </c>
      <c r="Q56">
        <v>0.91049386312853331</v>
      </c>
      <c r="R56">
        <v>0.92397034294126212</v>
      </c>
    </row>
    <row r="57" spans="1:18">
      <c r="A57">
        <v>7.9515125832206497E-3</v>
      </c>
      <c r="B57">
        <v>-4.6442992442697395E-2</v>
      </c>
      <c r="C57">
        <v>1.6202205367479294E-3</v>
      </c>
      <c r="D57">
        <v>1.0715090276349315E-2</v>
      </c>
      <c r="E57">
        <v>2.2779661639127369E-3</v>
      </c>
      <c r="F57">
        <v>6.8741688797224754E-4</v>
      </c>
      <c r="G57">
        <v>6.6968684958737701E-2</v>
      </c>
      <c r="H57">
        <v>0.25425376201102268</v>
      </c>
      <c r="I57">
        <v>8.9392495363937119E-2</v>
      </c>
      <c r="J57">
        <v>9.923947272995548E-2</v>
      </c>
      <c r="K57">
        <v>8.2610101805980385E-2</v>
      </c>
      <c r="L57">
        <v>7.1017010424251792E-2</v>
      </c>
      <c r="M57">
        <v>0.93389441761834491</v>
      </c>
      <c r="N57">
        <v>0.79226479257400317</v>
      </c>
      <c r="O57">
        <v>0.90888295120889673</v>
      </c>
      <c r="P57">
        <v>0.89236615289328114</v>
      </c>
      <c r="Q57">
        <v>0.91219616129469849</v>
      </c>
      <c r="R57">
        <v>0.92804772213664277</v>
      </c>
    </row>
    <row r="58" spans="1:18">
      <c r="A58">
        <v>-1.1013052498209E-4</v>
      </c>
      <c r="B58">
        <v>-4.6536548508093911E-2</v>
      </c>
      <c r="C58">
        <v>1.6034086753087262E-3</v>
      </c>
      <c r="D58">
        <v>1.0921119221285025E-2</v>
      </c>
      <c r="E58">
        <v>2.2572047455948763E-3</v>
      </c>
      <c r="F58">
        <v>5.4526433191504076E-4</v>
      </c>
      <c r="G58">
        <v>6.18422691296922E-2</v>
      </c>
      <c r="H58">
        <v>0.25426314753288698</v>
      </c>
      <c r="I58">
        <v>8.892716282845381E-2</v>
      </c>
      <c r="J58">
        <v>9.8312800349393825E-2</v>
      </c>
      <c r="K58">
        <v>8.1116738445524916E-2</v>
      </c>
      <c r="L58">
        <v>6.7421184146080781E-2</v>
      </c>
      <c r="M58">
        <v>0.94275156262420401</v>
      </c>
      <c r="N58">
        <v>0.79234894980607118</v>
      </c>
      <c r="O58">
        <v>0.90936297577023284</v>
      </c>
      <c r="P58">
        <v>0.89310074344539103</v>
      </c>
      <c r="Q58">
        <v>0.91365615891719654</v>
      </c>
      <c r="R58">
        <v>0.93177518318835684</v>
      </c>
    </row>
    <row r="59" spans="1:18">
      <c r="A59">
        <v>5.6947636442931599E-3</v>
      </c>
      <c r="B59">
        <v>-4.661255954914395E-2</v>
      </c>
      <c r="C59">
        <v>1.5903175585998408E-3</v>
      </c>
      <c r="D59">
        <v>1.1097624000774964E-2</v>
      </c>
      <c r="E59">
        <v>2.23944326513692E-3</v>
      </c>
      <c r="F59">
        <v>4.1512236411800352E-4</v>
      </c>
      <c r="G59">
        <v>6.0470398956274998E-2</v>
      </c>
      <c r="H59">
        <v>0.25427077294215022</v>
      </c>
      <c r="I59">
        <v>8.8564631942793515E-2</v>
      </c>
      <c r="J59">
        <v>9.7530150687669348E-2</v>
      </c>
      <c r="K59">
        <v>7.983651446262563E-2</v>
      </c>
      <c r="L59">
        <v>6.4135230787218722E-2</v>
      </c>
      <c r="M59">
        <v>0.93680268831874902</v>
      </c>
      <c r="N59">
        <v>0.79241732462275749</v>
      </c>
      <c r="O59">
        <v>0.90973694624276624</v>
      </c>
      <c r="P59">
        <v>0.89371866310662007</v>
      </c>
      <c r="Q59">
        <v>0.91490768760391405</v>
      </c>
      <c r="R59">
        <v>0.93518167235618077</v>
      </c>
    </row>
    <row r="60" spans="1:18">
      <c r="A60">
        <v>-2.2807198247528698E-3</v>
      </c>
      <c r="B60">
        <v>-4.667431398275429E-2</v>
      </c>
      <c r="C60">
        <v>1.5801269797792727E-3</v>
      </c>
      <c r="D60">
        <v>1.1248603345557662E-2</v>
      </c>
      <c r="E60">
        <v>2.2242493009345665E-3</v>
      </c>
      <c r="F60">
        <v>2.9603750480355906E-4</v>
      </c>
      <c r="G60">
        <v>5.4975808919005206E-2</v>
      </c>
      <c r="H60">
        <v>0.25427696813200151</v>
      </c>
      <c r="I60">
        <v>8.8282301546040109E-2</v>
      </c>
      <c r="J60">
        <v>9.6869568966875264E-2</v>
      </c>
      <c r="K60">
        <v>7.8739516490976769E-2</v>
      </c>
      <c r="L60">
        <v>6.1133290255311001E-2</v>
      </c>
      <c r="M60">
        <v>0.94398061818187207</v>
      </c>
      <c r="N60">
        <v>0.79247287507989306</v>
      </c>
      <c r="O60">
        <v>0.91002818103956651</v>
      </c>
      <c r="P60">
        <v>0.89423820001687027</v>
      </c>
      <c r="Q60">
        <v>0.91598003157780628</v>
      </c>
      <c r="R60">
        <v>0.93829392595770855</v>
      </c>
    </row>
    <row r="61" spans="1:18">
      <c r="A61">
        <v>-1.0788247514761E-4</v>
      </c>
      <c r="B61">
        <v>-4.6724484528381016E-2</v>
      </c>
      <c r="C61">
        <v>1.5721962103565357E-3</v>
      </c>
      <c r="D61">
        <v>1.1377566474685352E-2</v>
      </c>
      <c r="E61">
        <v>2.2112527107953639E-3</v>
      </c>
      <c r="F61">
        <v>1.8712097356909929E-4</v>
      </c>
      <c r="G61">
        <v>5.3596926243307502E-2</v>
      </c>
      <c r="H61">
        <v>0.25428200122901057</v>
      </c>
      <c r="I61">
        <v>8.8062496007899949E-2</v>
      </c>
      <c r="J61">
        <v>9.6312355496433355E-2</v>
      </c>
      <c r="K61">
        <v>7.7799892890181965E-2</v>
      </c>
      <c r="L61">
        <v>5.8391517375620872E-2</v>
      </c>
      <c r="M61">
        <v>0.94100736181572697</v>
      </c>
      <c r="N61">
        <v>0.79251800539008077</v>
      </c>
      <c r="O61">
        <v>0.91025491600080977</v>
      </c>
      <c r="P61">
        <v>0.89467482730922399</v>
      </c>
      <c r="Q61">
        <v>0.91689849108733346</v>
      </c>
      <c r="R61">
        <v>0.9411366069791457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0AA74-F8FD-482C-AB6A-A5D9784D8700}">
  <dimension ref="A1:G6"/>
  <sheetViews>
    <sheetView workbookViewId="0">
      <selection activeCell="L10" sqref="L10"/>
    </sheetView>
  </sheetViews>
  <sheetFormatPr defaultRowHeight="14.5"/>
  <sheetData>
    <row r="1" spans="1:7">
      <c r="A1" t="s">
        <v>116</v>
      </c>
      <c r="B1" t="s">
        <v>118</v>
      </c>
      <c r="C1" t="s">
        <v>119</v>
      </c>
      <c r="D1" t="s">
        <v>115</v>
      </c>
      <c r="E1" t="s">
        <v>117</v>
      </c>
      <c r="G1" t="s">
        <v>120</v>
      </c>
    </row>
    <row r="2" spans="1:7">
      <c r="A2">
        <v>1</v>
      </c>
      <c r="D2">
        <v>3.1133624894425176</v>
      </c>
    </row>
    <row r="3" spans="1:7">
      <c r="A3">
        <v>2</v>
      </c>
      <c r="B3">
        <f>A3/A2</f>
        <v>2</v>
      </c>
      <c r="C3">
        <f>LN(B3)</f>
        <v>0.69314718055994529</v>
      </c>
      <c r="D3">
        <v>5.0765801685040508E-3</v>
      </c>
      <c r="E3">
        <f>D3/D2</f>
        <v>1.6305779316474868E-3</v>
      </c>
      <c r="F3">
        <f>LN(E3)</f>
        <v>-6.4188207677118223</v>
      </c>
      <c r="G3">
        <f>C3/F3</f>
        <v>-0.10798668566142844</v>
      </c>
    </row>
    <row r="4" spans="1:7">
      <c r="A4">
        <v>3</v>
      </c>
      <c r="B4">
        <f t="shared" ref="B4:B6" si="0">A4/A3</f>
        <v>1.5</v>
      </c>
      <c r="C4">
        <f t="shared" ref="C4:C6" si="1">LN(B4)</f>
        <v>0.40546510810816438</v>
      </c>
      <c r="D4">
        <v>2.7056883363007554E-3</v>
      </c>
      <c r="E4">
        <f t="shared" ref="E4:E6" si="2">D4/D3</f>
        <v>0.53297461016912462</v>
      </c>
      <c r="F4">
        <f t="shared" ref="F4:F6" si="3">LN(E4)</f>
        <v>-0.6292814916561158</v>
      </c>
      <c r="G4">
        <f t="shared" ref="G4:G6" si="4">C4/F4</f>
        <v>-0.64433026155127948</v>
      </c>
    </row>
    <row r="5" spans="1:7">
      <c r="A5">
        <v>4</v>
      </c>
      <c r="B5">
        <f t="shared" si="0"/>
        <v>1.3333333333333333</v>
      </c>
      <c r="C5">
        <f t="shared" si="1"/>
        <v>0.28768207245178085</v>
      </c>
      <c r="D5">
        <v>8.9824577633847917E-4</v>
      </c>
      <c r="E5">
        <f t="shared" si="2"/>
        <v>0.33198419946865348</v>
      </c>
      <c r="F5">
        <f t="shared" si="3"/>
        <v>-1.102667903160069</v>
      </c>
      <c r="G5">
        <f t="shared" si="4"/>
        <v>-0.26089638741395327</v>
      </c>
    </row>
    <row r="6" spans="1:7">
      <c r="A6">
        <v>5</v>
      </c>
      <c r="B6">
        <f t="shared" si="0"/>
        <v>1.25</v>
      </c>
      <c r="C6">
        <f t="shared" si="1"/>
        <v>0.22314355131420976</v>
      </c>
      <c r="D6">
        <v>8.9004068668346512E-5</v>
      </c>
      <c r="E6">
        <f t="shared" si="2"/>
        <v>9.9086542918302337E-2</v>
      </c>
      <c r="F6">
        <f t="shared" si="3"/>
        <v>-2.3117616398204515</v>
      </c>
      <c r="G6">
        <f t="shared" si="4"/>
        <v>-9.6525328334257143E-2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9CC08-0E59-4D87-987C-8A09379B146D}">
  <dimension ref="A1:J6"/>
  <sheetViews>
    <sheetView topLeftCell="F7" workbookViewId="0">
      <selection activeCell="V24" sqref="V24"/>
    </sheetView>
  </sheetViews>
  <sheetFormatPr defaultRowHeight="14.5"/>
  <cols>
    <col min="4" max="4" width="11.1796875" bestFit="1" customWidth="1"/>
    <col min="5" max="5" width="13.36328125" bestFit="1" customWidth="1"/>
  </cols>
  <sheetData>
    <row r="1" spans="1:10">
      <c r="A1" t="s">
        <v>116</v>
      </c>
      <c r="B1" t="s">
        <v>121</v>
      </c>
      <c r="C1" t="s">
        <v>158</v>
      </c>
      <c r="D1" t="s">
        <v>122</v>
      </c>
      <c r="E1" t="s">
        <v>176</v>
      </c>
      <c r="F1" t="s">
        <v>121</v>
      </c>
      <c r="G1" t="s">
        <v>158</v>
      </c>
      <c r="I1" t="s">
        <v>121</v>
      </c>
      <c r="J1" s="8">
        <v>0.5</v>
      </c>
    </row>
    <row r="2" spans="1:10">
      <c r="A2">
        <v>1</v>
      </c>
      <c r="B2" s="9">
        <v>0.60703771496519254</v>
      </c>
      <c r="C2" s="9">
        <v>8.8233629282672699E-2</v>
      </c>
      <c r="D2" s="12">
        <f>ABS(B2-$J$1)/$J$1</f>
        <v>0.21407542993038509</v>
      </c>
      <c r="E2" s="12">
        <f>ABS(C2-$J$2)/$J$2</f>
        <v>0.23527080995741784</v>
      </c>
      <c r="F2">
        <v>0.5</v>
      </c>
      <c r="G2">
        <v>7.0999999999999994E-2</v>
      </c>
      <c r="I2" t="s">
        <v>158</v>
      </c>
      <c r="J2" s="11">
        <f>1/14</f>
        <v>7.1428571428571425E-2</v>
      </c>
    </row>
    <row r="3" spans="1:10">
      <c r="A3">
        <v>2</v>
      </c>
      <c r="B3" s="9">
        <v>0.40102128906798601</v>
      </c>
      <c r="C3" s="9">
        <v>6.0176821299860579E-2</v>
      </c>
      <c r="D3" s="12">
        <f t="shared" ref="D3:D6" si="0">ABS(B3-$J$1)/$J$1</f>
        <v>0.19795742186402798</v>
      </c>
      <c r="E3" s="12">
        <f t="shared" ref="E3:E6" si="1">ABS(C3-$J$2)/$J$2</f>
        <v>0.15752450180195185</v>
      </c>
      <c r="F3">
        <v>0.5</v>
      </c>
      <c r="G3">
        <v>7.0999999999999994E-2</v>
      </c>
    </row>
    <row r="4" spans="1:10">
      <c r="A4">
        <v>3</v>
      </c>
      <c r="B4" s="9">
        <v>0.43871611607885924</v>
      </c>
      <c r="C4" s="9">
        <v>6.6692555474633736E-2</v>
      </c>
      <c r="D4" s="12">
        <f t="shared" si="0"/>
        <v>0.12256776784228152</v>
      </c>
      <c r="E4" s="12">
        <f t="shared" si="1"/>
        <v>6.6304223355127645E-2</v>
      </c>
      <c r="F4">
        <v>0.5</v>
      </c>
      <c r="G4">
        <v>7.0999999999999994E-2</v>
      </c>
    </row>
    <row r="5" spans="1:10">
      <c r="A5">
        <v>4</v>
      </c>
      <c r="B5" s="9">
        <v>0.52122766537133325</v>
      </c>
      <c r="C5" s="9">
        <v>7.2283028098505314E-2</v>
      </c>
      <c r="D5" s="12">
        <f t="shared" si="0"/>
        <v>4.2455330742666497E-2</v>
      </c>
      <c r="E5" s="12">
        <f t="shared" si="1"/>
        <v>1.1962393379074454E-2</v>
      </c>
      <c r="F5">
        <v>0.5</v>
      </c>
      <c r="G5">
        <v>7.0999999999999994E-2</v>
      </c>
    </row>
    <row r="6" spans="1:10">
      <c r="A6">
        <v>5</v>
      </c>
      <c r="B6" s="9">
        <v>0.49984923742281573</v>
      </c>
      <c r="C6" s="9">
        <v>6.8948994833356911E-2</v>
      </c>
      <c r="D6" s="12">
        <f t="shared" si="0"/>
        <v>3.0152515436854266E-4</v>
      </c>
      <c r="E6" s="12">
        <f t="shared" si="1"/>
        <v>3.4714072333003193E-2</v>
      </c>
      <c r="F6">
        <v>0.5</v>
      </c>
      <c r="G6">
        <v>7.0999999999999994E-2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A2E77-00C7-4AC4-B8B1-8439C7C4B929}">
  <dimension ref="A1:BB61"/>
  <sheetViews>
    <sheetView zoomScaleNormal="100" workbookViewId="0">
      <selection activeCell="H28" sqref="H28"/>
    </sheetView>
  </sheetViews>
  <sheetFormatPr defaultRowHeight="14.5"/>
  <cols>
    <col min="3" max="3" width="12.1796875" bestFit="1" customWidth="1"/>
    <col min="4" max="4" width="14.26953125" bestFit="1" customWidth="1"/>
    <col min="5" max="5" width="13.36328125" bestFit="1" customWidth="1"/>
    <col min="6" max="6" width="14.26953125" bestFit="1" customWidth="1"/>
    <col min="7" max="7" width="13.7265625" bestFit="1" customWidth="1"/>
    <col min="8" max="8" width="13.7265625" customWidth="1"/>
    <col min="9" max="9" width="14.26953125" bestFit="1" customWidth="1"/>
    <col min="10" max="10" width="13.7265625" bestFit="1" customWidth="1"/>
    <col min="11" max="11" width="14.26953125" bestFit="1" customWidth="1"/>
    <col min="12" max="26" width="14.26953125" customWidth="1"/>
    <col min="27" max="32" width="9" bestFit="1" customWidth="1"/>
    <col min="33" max="33" width="15.7265625" bestFit="1" customWidth="1"/>
    <col min="34" max="36" width="14.6328125" bestFit="1" customWidth="1"/>
    <col min="37" max="39" width="14" bestFit="1" customWidth="1"/>
    <col min="40" max="40" width="15.7265625" bestFit="1" customWidth="1"/>
    <col min="42" max="42" width="9.81640625" bestFit="1" customWidth="1"/>
    <col min="43" max="43" width="9" bestFit="1" customWidth="1"/>
    <col min="45" max="45" width="10.453125" bestFit="1" customWidth="1"/>
    <col min="46" max="46" width="13.1796875" bestFit="1" customWidth="1"/>
  </cols>
  <sheetData>
    <row r="1" spans="1:51">
      <c r="A1" s="5" t="s">
        <v>0</v>
      </c>
      <c r="B1" s="5" t="s">
        <v>5</v>
      </c>
      <c r="C1" s="5" t="s">
        <v>6</v>
      </c>
      <c r="D1" s="5" t="s">
        <v>7</v>
      </c>
      <c r="E1" s="5" t="s">
        <v>8</v>
      </c>
      <c r="F1" s="5" t="s">
        <v>51</v>
      </c>
      <c r="G1" s="5" t="s">
        <v>52</v>
      </c>
      <c r="H1" s="5" t="s">
        <v>53</v>
      </c>
      <c r="I1" s="5" t="s">
        <v>54</v>
      </c>
      <c r="J1" s="5" t="s">
        <v>55</v>
      </c>
      <c r="K1" s="5" t="s">
        <v>56</v>
      </c>
      <c r="L1" s="5" t="s">
        <v>79</v>
      </c>
      <c r="M1" s="5" t="s">
        <v>80</v>
      </c>
      <c r="N1" s="5" t="s">
        <v>76</v>
      </c>
      <c r="O1" s="5" t="s">
        <v>77</v>
      </c>
      <c r="P1" s="5" t="s">
        <v>78</v>
      </c>
      <c r="Q1" s="5" t="s">
        <v>97</v>
      </c>
      <c r="R1" s="5" t="s">
        <v>98</v>
      </c>
      <c r="S1" s="5" t="s">
        <v>99</v>
      </c>
      <c r="T1" s="5" t="s">
        <v>100</v>
      </c>
      <c r="U1" s="5" t="s">
        <v>101</v>
      </c>
      <c r="V1" s="5" t="s">
        <v>102</v>
      </c>
      <c r="W1" s="5" t="s">
        <v>103</v>
      </c>
      <c r="X1" s="5" t="s">
        <v>104</v>
      </c>
      <c r="Y1" s="5" t="s">
        <v>105</v>
      </c>
      <c r="Z1" s="5" t="s">
        <v>106</v>
      </c>
      <c r="AA1" s="5" t="s">
        <v>48</v>
      </c>
      <c r="AB1" s="5" t="s">
        <v>49</v>
      </c>
      <c r="AC1" s="5" t="s">
        <v>50</v>
      </c>
      <c r="AD1" s="5" t="s">
        <v>27</v>
      </c>
      <c r="AE1" s="5" t="s">
        <v>28</v>
      </c>
      <c r="AF1" s="5" t="s">
        <v>29</v>
      </c>
      <c r="AG1" s="5" t="s">
        <v>13</v>
      </c>
      <c r="AH1" s="5" t="s">
        <v>57</v>
      </c>
      <c r="AI1" s="5" t="s">
        <v>58</v>
      </c>
      <c r="AJ1" s="5" t="s">
        <v>59</v>
      </c>
      <c r="AK1" s="5" t="s">
        <v>37</v>
      </c>
      <c r="AL1" s="5" t="s">
        <v>38</v>
      </c>
      <c r="AM1" s="5" t="s">
        <v>39</v>
      </c>
      <c r="AN1" s="5" t="s">
        <v>40</v>
      </c>
      <c r="AP1" t="s">
        <v>14</v>
      </c>
      <c r="AQ1" t="s">
        <v>15</v>
      </c>
      <c r="AS1" t="s">
        <v>159</v>
      </c>
      <c r="AT1">
        <f>AVERAGE(AG2:AG36)</f>
        <v>2.1909238536274964E-3</v>
      </c>
    </row>
    <row r="2" spans="1:51">
      <c r="A2" s="6">
        <v>0</v>
      </c>
      <c r="B2" s="7">
        <f>$AQ$2*A2+$AQ$3</f>
        <v>7.2186261997464518</v>
      </c>
      <c r="C2" s="7">
        <f>1/(1+EXP(-B2))</f>
        <v>0.99926772815488241</v>
      </c>
      <c r="D2" s="7">
        <f>$AQ$4*C2+$AQ$5</f>
        <v>6.1306662425641267</v>
      </c>
      <c r="E2" s="7">
        <f>$AQ$6*C2+$AQ$7</f>
        <v>9.5386313754060019</v>
      </c>
      <c r="F2" s="7">
        <f>$AQ$6*C2+$AQ$7</f>
        <v>9.5386313754060019</v>
      </c>
      <c r="G2" s="7">
        <f>$AQ$10*A2+$AQ$11</f>
        <v>4.8533897144817733</v>
      </c>
      <c r="H2" s="7">
        <f>TANH(G2)</f>
        <v>0.99987826854354533</v>
      </c>
      <c r="I2" s="7">
        <f>$AQ$12*H2+$AQ$13</f>
        <v>-0.93814431309527624</v>
      </c>
      <c r="J2" s="7">
        <f>$AQ$14*H2+$AQ$15</f>
        <v>-8.591535749544704</v>
      </c>
      <c r="K2" s="7">
        <f>$AQ$16*H2+$AQ$17</f>
        <v>1.354089174659427</v>
      </c>
      <c r="L2" s="7">
        <f>$AQ$18*A2+$AQ$19</f>
        <v>3.0782185365199028</v>
      </c>
      <c r="M2" s="7">
        <f>TANH(L2)</f>
        <v>0.99576938303262563</v>
      </c>
      <c r="N2" s="7">
        <f>$AQ$20*M2+$AQ$21</f>
        <v>-5.7579026884859994</v>
      </c>
      <c r="O2" s="7">
        <f>$AQ$22*M2+$AQ$23</f>
        <v>3.9905870553306508</v>
      </c>
      <c r="P2" s="7">
        <f>$AQ$24*M2+$AQ$25</f>
        <v>-8.4130923476368995</v>
      </c>
      <c r="Q2" s="7">
        <f>$AQ$26*A2+$AQ$27</f>
        <v>2.9816867493418626</v>
      </c>
      <c r="R2" s="7">
        <f>TANH(Q2)</f>
        <v>0.99487074185563074</v>
      </c>
      <c r="S2" s="7">
        <f>$AQ$28*R2+$AQ$29</f>
        <v>1.4847029604045632</v>
      </c>
      <c r="T2" s="7">
        <f>$AQ$30*R2+$AQ$31</f>
        <v>-0.32894991444371602</v>
      </c>
      <c r="U2" s="7">
        <f>$AQ$32*R2+$AQ$33</f>
        <v>-12.189845557030896</v>
      </c>
      <c r="V2" s="7">
        <f>$AQ$34*A2+$AQ$35</f>
        <v>3.2855915039409433</v>
      </c>
      <c r="W2" s="7">
        <f>TANH(V2)</f>
        <v>0.99720363519182564</v>
      </c>
      <c r="X2" s="7">
        <f>$AQ$36*W2+$AQ$37</f>
        <v>7.9982345695271073E-2</v>
      </c>
      <c r="Y2" s="7">
        <f>$AQ$38*W2+$AQ$39</f>
        <v>-4.614882479799304</v>
      </c>
      <c r="Z2" s="7">
        <f>$AQ$40*W2+$AQ$41</f>
        <v>9.6775903633591085</v>
      </c>
      <c r="AA2" s="7">
        <f>SUM(D2,I2,N2,S2,X2)</f>
        <v>0.99930454708268535</v>
      </c>
      <c r="AB2" s="7">
        <f>SUM(E2,J2,O2,T2,Y2)</f>
        <v>-6.1497130510712594E-3</v>
      </c>
      <c r="AC2" s="7">
        <f>SUM(F2,K2,P2,U2,Z2)</f>
        <v>-3.262699124325863E-2</v>
      </c>
      <c r="AD2">
        <v>0.99916902781949102</v>
      </c>
      <c r="AE2">
        <v>-5.1644142064485399E-4</v>
      </c>
      <c r="AF2">
        <v>1.29646532345248E-3</v>
      </c>
      <c r="AG2">
        <f>SUM((AA2-AD2)^2, (AB2-AE2)^2, (AC2-AF2)^2)</f>
        <v>1.1825530201663985E-3</v>
      </c>
      <c r="AN2">
        <f>(1 - SUM(AA2:AC2))^2</f>
        <v>1.5580511949407822E-3</v>
      </c>
      <c r="AP2" t="s">
        <v>16</v>
      </c>
      <c r="AQ2">
        <v>2.2214419865584203</v>
      </c>
      <c r="AR2">
        <v>0.1586982873026419</v>
      </c>
      <c r="AS2" t="s">
        <v>163</v>
      </c>
      <c r="AT2">
        <f>AVERAGE(AK3:AN36)</f>
        <v>4.809167397482188E-4</v>
      </c>
      <c r="AV2">
        <v>0.21424304454558962</v>
      </c>
      <c r="AW2">
        <v>-4.2515947632883444</v>
      </c>
      <c r="AX2">
        <v>-0.26447409366511332</v>
      </c>
      <c r="AY2">
        <v>-0.26115624016075401</v>
      </c>
    </row>
    <row r="3" spans="1:51">
      <c r="A3" s="6">
        <v>1</v>
      </c>
      <c r="B3" s="7">
        <f t="shared" ref="B3:B61" si="0">$AQ$2*A3+$AQ$3</f>
        <v>9.4400681863048721</v>
      </c>
      <c r="C3" s="7">
        <f t="shared" ref="C3:C61" si="1">1/(1+EXP(-B3))</f>
        <v>0.99992053132651215</v>
      </c>
      <c r="D3" s="7">
        <f t="shared" ref="D3:D61" si="2">$AQ$4*C3+$AQ$5</f>
        <v>6.1366411568118213</v>
      </c>
      <c r="E3" s="7">
        <f t="shared" ref="E3:E61" si="3">$AQ$6*C3+$AQ$7</f>
        <v>9.5417363875351384</v>
      </c>
      <c r="F3" s="7">
        <f t="shared" ref="F3:F61" si="4">$AQ$6*C3+$AQ$7</f>
        <v>9.5417363875351384</v>
      </c>
      <c r="G3" s="7">
        <f t="shared" ref="G3:G61" si="5">$AQ$10*A3+$AQ$11</f>
        <v>11.118051970677284</v>
      </c>
      <c r="H3" s="7">
        <f t="shared" ref="H3:H61" si="6">TANH(G3)</f>
        <v>0.9999999995594322</v>
      </c>
      <c r="I3" s="7">
        <f t="shared" ref="I3:I61" si="7">$AQ$12*H3+$AQ$13</f>
        <v>-0.9376339144040573</v>
      </c>
      <c r="J3" s="7">
        <f t="shared" ref="J3:J61" si="8">$AQ$14*H3+$AQ$15</f>
        <v>-8.591574213054141</v>
      </c>
      <c r="K3" s="7">
        <f t="shared" ref="K3:K61" si="9">$AQ$16*H3+$AQ$17</f>
        <v>1.3546892810031639</v>
      </c>
      <c r="L3" s="7">
        <f t="shared" ref="L3:L61" si="10">$AQ$18*A3+$AQ$19</f>
        <v>9.1043061876145401</v>
      </c>
      <c r="M3" s="7">
        <f t="shared" ref="M3:M61" si="11">TANH(L3)</f>
        <v>0.99999997527535212</v>
      </c>
      <c r="N3" s="7">
        <f t="shared" ref="N3:N61" si="12">$AQ$20*M3+$AQ$21</f>
        <v>-5.7538185201053214</v>
      </c>
      <c r="O3" s="7">
        <f t="shared" ref="O3:O61" si="13">$AQ$22*M3+$AQ$23</f>
        <v>4.0303172816082755</v>
      </c>
      <c r="P3" s="7">
        <f t="shared" ref="P3:P61" si="14">$AQ$24*M3+$AQ$25</f>
        <v>-8.4303083133813761</v>
      </c>
      <c r="Q3" s="7">
        <f t="shared" ref="Q3:Q61" si="15">$AQ$26*A3+$AQ$27</f>
        <v>2.9408293506760059</v>
      </c>
      <c r="R3" s="7">
        <f t="shared" ref="R3:R61" si="16">TANH(Q3)</f>
        <v>0.9944352197835995</v>
      </c>
      <c r="S3" s="7">
        <f t="shared" ref="S3:S61" si="17">$AQ$28*R3+$AQ$29</f>
        <v>1.4840550999266298</v>
      </c>
      <c r="T3" s="7">
        <f t="shared" ref="T3:T61" si="18">$AQ$30*R3+$AQ$31</f>
        <v>-0.33224447912976718</v>
      </c>
      <c r="U3" s="7">
        <f t="shared" ref="U3:U61" si="19">$AQ$32*R3+$AQ$33</f>
        <v>-12.185949729472675</v>
      </c>
      <c r="V3" s="7">
        <f t="shared" ref="V3:V61" si="20">$AQ$34*A3+$AQ$35</f>
        <v>3.0715412757147633</v>
      </c>
      <c r="W3" s="7">
        <f t="shared" ref="W3:W61" si="21">TANH(V3)</f>
        <v>0.99571262815696771</v>
      </c>
      <c r="X3" s="7">
        <f t="shared" ref="X3:X61" si="22">$AQ$36*W3+$AQ$37</f>
        <v>7.9300041425672818E-2</v>
      </c>
      <c r="Y3" s="7">
        <f t="shared" ref="Y3:Y61" si="23">$AQ$38*W3+$AQ$39</f>
        <v>-4.6143088048392036</v>
      </c>
      <c r="Z3" s="7">
        <f t="shared" ref="Z3:Z61" si="24">$AQ$40*W3+$AQ$41</f>
        <v>9.6777010972849649</v>
      </c>
      <c r="AA3" s="7">
        <f t="shared" ref="AA3:AC61" si="25">SUM(D3,I3,N3,S3,X3)</f>
        <v>1.0085438636547452</v>
      </c>
      <c r="AB3" s="7">
        <f t="shared" si="25"/>
        <v>3.3926172120302134E-2</v>
      </c>
      <c r="AC3" s="7">
        <f t="shared" si="25"/>
        <v>-4.2131277030783565E-2</v>
      </c>
      <c r="AD3">
        <v>0.98960193539692398</v>
      </c>
      <c r="AE3">
        <v>2.1639113228485896E-3</v>
      </c>
      <c r="AF3">
        <v>2.6945909567850398E-3</v>
      </c>
      <c r="AG3">
        <f t="shared" ref="AG3:AG61" si="26">SUM((AA3-AD3)^2, (AB3-AE3)^2, (AC3-AF3)^2)</f>
        <v>3.3769962979288293E-3</v>
      </c>
      <c r="AH3">
        <f>AA3-AA2</f>
        <v>9.2393165720598969E-3</v>
      </c>
      <c r="AI3">
        <f t="shared" ref="AI3:AJ18" si="27">AB3-AB2</f>
        <v>4.0075885171373393E-2</v>
      </c>
      <c r="AJ3">
        <f t="shared" si="27"/>
        <v>-9.5042857875249354E-3</v>
      </c>
      <c r="AK3">
        <f>(AH3+$AQ$43*AD3*AE3)^2</f>
        <v>9.6244000768641521E-5</v>
      </c>
      <c r="AL3">
        <f>(AI3-$AQ$43*AE3*AE3+$AQ$42*AE3)^2</f>
        <v>1.6217866482922181E-3</v>
      </c>
      <c r="AM3">
        <f>(AJ3-$AQ$42*AE3)^2</f>
        <v>9.4110597647515453E-5</v>
      </c>
      <c r="AN3">
        <f>(1 - SUM(AA3:AC3))^2</f>
        <v>1.1475748681519465E-7</v>
      </c>
      <c r="AP3" t="s">
        <v>17</v>
      </c>
      <c r="AQ3">
        <v>7.2186261997464518</v>
      </c>
      <c r="AR3">
        <v>-4.3679721526767974</v>
      </c>
      <c r="AS3" t="s">
        <v>164</v>
      </c>
      <c r="AT3">
        <f>SUM(AT1:AT2)</f>
        <v>2.6718405933757153E-3</v>
      </c>
      <c r="AV3">
        <v>-3.2399106656853811</v>
      </c>
      <c r="AW3">
        <v>-3.4731311368055207</v>
      </c>
      <c r="AX3">
        <v>1.516422672194258</v>
      </c>
      <c r="AY3">
        <v>1.4119899470194586</v>
      </c>
    </row>
    <row r="4" spans="1:51">
      <c r="A4" s="6">
        <v>2</v>
      </c>
      <c r="B4" s="7">
        <f t="shared" si="0"/>
        <v>11.661510172863292</v>
      </c>
      <c r="C4" s="7">
        <f t="shared" si="1"/>
        <v>0.99999138080437044</v>
      </c>
      <c r="D4" s="7">
        <f t="shared" si="2"/>
        <v>6.1372896211163681</v>
      </c>
      <c r="E4" s="7">
        <f t="shared" si="3"/>
        <v>9.5420733780671281</v>
      </c>
      <c r="F4" s="7">
        <f t="shared" si="4"/>
        <v>9.5420733780671281</v>
      </c>
      <c r="G4" s="7">
        <f t="shared" si="5"/>
        <v>17.382714226872793</v>
      </c>
      <c r="H4" s="7">
        <f t="shared" si="6"/>
        <v>0.99999999999999833</v>
      </c>
      <c r="I4" s="7">
        <f t="shared" si="7"/>
        <v>-0.93763391255683359</v>
      </c>
      <c r="J4" s="7">
        <f t="shared" si="8"/>
        <v>-8.591574213193347</v>
      </c>
      <c r="K4" s="7">
        <f t="shared" si="9"/>
        <v>1.354689283175055</v>
      </c>
      <c r="L4" s="7">
        <f t="shared" si="10"/>
        <v>15.130393838709178</v>
      </c>
      <c r="M4" s="7">
        <f t="shared" si="11"/>
        <v>0.99999999999985567</v>
      </c>
      <c r="N4" s="7">
        <f t="shared" si="12"/>
        <v>-5.7538184962365513</v>
      </c>
      <c r="O4" s="7">
        <f t="shared" si="13"/>
        <v>4.0303175138003811</v>
      </c>
      <c r="P4" s="7">
        <f t="shared" si="14"/>
        <v>-8.4303084139952347</v>
      </c>
      <c r="Q4" s="7">
        <f t="shared" si="15"/>
        <v>2.8999719520101488</v>
      </c>
      <c r="R4" s="7">
        <f t="shared" si="16"/>
        <v>0.99396282972129169</v>
      </c>
      <c r="S4" s="7">
        <f t="shared" si="17"/>
        <v>1.4833523965019555</v>
      </c>
      <c r="T4" s="7">
        <f t="shared" si="18"/>
        <v>-0.33581793663574899</v>
      </c>
      <c r="U4" s="7">
        <f t="shared" si="19"/>
        <v>-12.181724110747119</v>
      </c>
      <c r="V4" s="7">
        <f t="shared" si="20"/>
        <v>2.8574910474885837</v>
      </c>
      <c r="W4" s="7">
        <f t="shared" si="21"/>
        <v>0.99342923952369988</v>
      </c>
      <c r="X4" s="7">
        <f t="shared" si="22"/>
        <v>7.8255132999885846E-2</v>
      </c>
      <c r="Y4" s="7">
        <f t="shared" si="23"/>
        <v>-4.6134302557428821</v>
      </c>
      <c r="Z4" s="7">
        <f t="shared" si="24"/>
        <v>9.67787067970926</v>
      </c>
      <c r="AA4" s="7">
        <f t="shared" si="25"/>
        <v>1.0074447418248247</v>
      </c>
      <c r="AB4" s="7">
        <f t="shared" si="25"/>
        <v>3.1568486295530995E-2</v>
      </c>
      <c r="AC4" s="7">
        <f t="shared" si="25"/>
        <v>-3.7399183790910229E-2</v>
      </c>
      <c r="AD4">
        <v>1.0027006748148801</v>
      </c>
      <c r="AE4">
        <v>3.31005964809079E-3</v>
      </c>
      <c r="AF4">
        <v>-4.7185297244242705E-3</v>
      </c>
      <c r="AG4">
        <f t="shared" si="26"/>
        <v>1.8890699985969284E-3</v>
      </c>
      <c r="AH4">
        <f t="shared" ref="AH4:AJ61" si="28">AA4-AA3</f>
        <v>-1.0991218299205574E-3</v>
      </c>
      <c r="AI4">
        <f t="shared" si="27"/>
        <v>-2.3576858247711385E-3</v>
      </c>
      <c r="AJ4">
        <f t="shared" si="27"/>
        <v>4.7320932398733362E-3</v>
      </c>
      <c r="AK4">
        <f t="shared" ref="AK4:AK61" si="29">(AH4+$AQ$43*AD4*AE4)^2</f>
        <v>4.5791048476525296E-8</v>
      </c>
      <c r="AL4">
        <f t="shared" ref="AL4:AL61" si="30">(AI4-$AQ$43*AE4*AE4+$AQ$42*AE4)^2</f>
        <v>4.2419792093560017E-6</v>
      </c>
      <c r="AM4">
        <f t="shared" ref="AM4:AM61" si="31">(AJ4-$AQ$42*AE4)^2</f>
        <v>1.9634576566292189E-5</v>
      </c>
      <c r="AN4">
        <f t="shared" ref="AN4:AN61" si="32">(1 - SUM(AA4:AC4))^2</f>
        <v>2.6051390974150191E-6</v>
      </c>
      <c r="AP4" t="s">
        <v>18</v>
      </c>
      <c r="AQ4">
        <v>9.152704072771769</v>
      </c>
      <c r="AR4">
        <v>-8.8473498692494879</v>
      </c>
      <c r="AS4" t="s">
        <v>160</v>
      </c>
      <c r="AT4">
        <f>AVERAGE(AG36:AG61)</f>
        <v>4.6383053727834955</v>
      </c>
      <c r="AV4">
        <v>-7.9117683187530261</v>
      </c>
      <c r="AW4">
        <v>-1.5685260554433009</v>
      </c>
      <c r="AX4">
        <v>-3.5062896454996233</v>
      </c>
      <c r="AY4">
        <v>-4.9370618883279445</v>
      </c>
    </row>
    <row r="5" spans="1:51">
      <c r="A5" s="6">
        <v>3</v>
      </c>
      <c r="B5" s="7">
        <f t="shared" si="0"/>
        <v>13.882952159421713</v>
      </c>
      <c r="C5" s="7">
        <f t="shared" si="1"/>
        <v>0.99999906521856496</v>
      </c>
      <c r="D5" s="7">
        <f t="shared" si="2"/>
        <v>6.1373599542854631</v>
      </c>
      <c r="E5" s="7">
        <f t="shared" si="3"/>
        <v>9.5421099284399151</v>
      </c>
      <c r="F5" s="7">
        <f t="shared" si="4"/>
        <v>9.5421099284399151</v>
      </c>
      <c r="G5" s="7">
        <f t="shared" si="5"/>
        <v>23.647376483068307</v>
      </c>
      <c r="H5" s="7">
        <f t="shared" si="6"/>
        <v>1</v>
      </c>
      <c r="I5" s="7">
        <f t="shared" si="7"/>
        <v>-0.93763391255682649</v>
      </c>
      <c r="J5" s="7">
        <f t="shared" si="8"/>
        <v>-8.591574213193347</v>
      </c>
      <c r="K5" s="7">
        <f t="shared" si="9"/>
        <v>1.354689283175063</v>
      </c>
      <c r="L5" s="7">
        <f t="shared" si="10"/>
        <v>21.156481489803816</v>
      </c>
      <c r="M5" s="7">
        <f t="shared" si="11"/>
        <v>1</v>
      </c>
      <c r="N5" s="7">
        <f t="shared" si="12"/>
        <v>-5.7538184962364118</v>
      </c>
      <c r="O5" s="7">
        <f t="shared" si="13"/>
        <v>4.0303175138017364</v>
      </c>
      <c r="P5" s="7">
        <f t="shared" si="14"/>
        <v>-8.4303084139958209</v>
      </c>
      <c r="Q5" s="7">
        <f t="shared" si="15"/>
        <v>2.8591145533442921</v>
      </c>
      <c r="R5" s="7">
        <f t="shared" si="16"/>
        <v>0.99345047050443747</v>
      </c>
      <c r="S5" s="7">
        <f t="shared" si="17"/>
        <v>1.4825902369963382</v>
      </c>
      <c r="T5" s="7">
        <f t="shared" si="18"/>
        <v>-0.33969374613157477</v>
      </c>
      <c r="U5" s="7">
        <f t="shared" si="19"/>
        <v>-12.177140960351505</v>
      </c>
      <c r="V5" s="7">
        <f t="shared" si="20"/>
        <v>2.6434408192624037</v>
      </c>
      <c r="W5" s="7">
        <f t="shared" si="21"/>
        <v>0.98993588566768942</v>
      </c>
      <c r="X5" s="7">
        <f t="shared" si="22"/>
        <v>7.6656528703964166E-2</v>
      </c>
      <c r="Y5" s="7">
        <f t="shared" si="23"/>
        <v>-4.6120861644092335</v>
      </c>
      <c r="Z5" s="7">
        <f t="shared" si="24"/>
        <v>9.6781301236809085</v>
      </c>
      <c r="AA5" s="7">
        <f t="shared" si="25"/>
        <v>1.0051543111925272</v>
      </c>
      <c r="AB5" s="7">
        <f t="shared" si="25"/>
        <v>2.9073318507496282E-2</v>
      </c>
      <c r="AC5" s="7">
        <f t="shared" si="25"/>
        <v>-3.2520039051439298E-2</v>
      </c>
      <c r="AD5">
        <v>0.99110329365628103</v>
      </c>
      <c r="AE5">
        <v>1.5165637719900501E-3</v>
      </c>
      <c r="AF5">
        <v>2.4789689316632598E-3</v>
      </c>
      <c r="AG5">
        <f t="shared" si="26"/>
        <v>2.1817363851580184E-3</v>
      </c>
      <c r="AH5">
        <f t="shared" si="28"/>
        <v>-2.2904306322975021E-3</v>
      </c>
      <c r="AI5">
        <f t="shared" si="27"/>
        <v>-2.4951677880347134E-3</v>
      </c>
      <c r="AJ5">
        <f t="shared" si="27"/>
        <v>4.8791447394709309E-3</v>
      </c>
      <c r="AK5">
        <f t="shared" si="29"/>
        <v>3.5705173724877748E-6</v>
      </c>
      <c r="AL5">
        <f t="shared" si="30"/>
        <v>5.5595603809512747E-6</v>
      </c>
      <c r="AM5">
        <f t="shared" si="31"/>
        <v>2.247931485825415E-5</v>
      </c>
      <c r="AN5">
        <f t="shared" si="32"/>
        <v>2.9158658231320974E-6</v>
      </c>
      <c r="AP5" t="s">
        <v>19</v>
      </c>
      <c r="AQ5">
        <v>-3.0153355627084584</v>
      </c>
      <c r="AR5">
        <v>-4.0431452449714644</v>
      </c>
      <c r="AS5" t="s">
        <v>161</v>
      </c>
      <c r="AT5">
        <f>AVERAGE(AK36:AN61)</f>
        <v>9.6131708908106066E-3</v>
      </c>
      <c r="AV5">
        <v>-7.1515963244397396</v>
      </c>
      <c r="AW5">
        <v>0.43803454002528452</v>
      </c>
      <c r="AX5">
        <v>0.29752956097069017</v>
      </c>
      <c r="AY5">
        <v>0.61658657370930137</v>
      </c>
    </row>
    <row r="6" spans="1:51">
      <c r="A6" s="6">
        <v>4</v>
      </c>
      <c r="B6" s="7">
        <f t="shared" si="0"/>
        <v>16.104394145980134</v>
      </c>
      <c r="C6" s="7">
        <f t="shared" si="1"/>
        <v>0.99999989862043026</v>
      </c>
      <c r="D6" s="7">
        <f t="shared" si="2"/>
        <v>6.1373675821661102</v>
      </c>
      <c r="E6" s="7">
        <f t="shared" si="3"/>
        <v>9.5421138924569604</v>
      </c>
      <c r="F6" s="7">
        <f t="shared" si="4"/>
        <v>9.5421138924569604</v>
      </c>
      <c r="G6" s="7">
        <f t="shared" si="5"/>
        <v>29.912038739263814</v>
      </c>
      <c r="H6" s="7">
        <f t="shared" si="6"/>
        <v>1</v>
      </c>
      <c r="I6" s="7">
        <f t="shared" si="7"/>
        <v>-0.93763391255682649</v>
      </c>
      <c r="J6" s="7">
        <f t="shared" si="8"/>
        <v>-8.591574213193347</v>
      </c>
      <c r="K6" s="7">
        <f t="shared" si="9"/>
        <v>1.354689283175063</v>
      </c>
      <c r="L6" s="7">
        <f t="shared" si="10"/>
        <v>27.182569140898455</v>
      </c>
      <c r="M6" s="7">
        <f t="shared" si="11"/>
        <v>1</v>
      </c>
      <c r="N6" s="7">
        <f t="shared" si="12"/>
        <v>-5.7538184962364118</v>
      </c>
      <c r="O6" s="7">
        <f t="shared" si="13"/>
        <v>4.0303175138017364</v>
      </c>
      <c r="P6" s="7">
        <f t="shared" si="14"/>
        <v>-8.4303084139958209</v>
      </c>
      <c r="Q6" s="7">
        <f t="shared" si="15"/>
        <v>2.818257154678435</v>
      </c>
      <c r="R6" s="7">
        <f t="shared" si="16"/>
        <v>0.99289478361432071</v>
      </c>
      <c r="S6" s="7">
        <f t="shared" si="17"/>
        <v>1.481763625448195</v>
      </c>
      <c r="T6" s="7">
        <f t="shared" si="18"/>
        <v>-0.34389731357912545</v>
      </c>
      <c r="U6" s="7">
        <f t="shared" si="19"/>
        <v>-12.172170235698763</v>
      </c>
      <c r="V6" s="7">
        <f t="shared" si="20"/>
        <v>2.4293905910362237</v>
      </c>
      <c r="W6" s="7">
        <f t="shared" si="21"/>
        <v>0.98459963370022163</v>
      </c>
      <c r="X6" s="7">
        <f t="shared" si="22"/>
        <v>7.4214590191311769E-2</v>
      </c>
      <c r="Y6" s="7">
        <f t="shared" si="23"/>
        <v>-4.6100330056628609</v>
      </c>
      <c r="Z6" s="7">
        <f t="shared" si="24"/>
        <v>9.6785264357813166</v>
      </c>
      <c r="AA6" s="7">
        <f t="shared" si="25"/>
        <v>1.0018933890123787</v>
      </c>
      <c r="AB6" s="7">
        <f t="shared" si="25"/>
        <v>2.6926873823363451E-2</v>
      </c>
      <c r="AC6" s="7">
        <f t="shared" si="25"/>
        <v>-2.7149038281244486E-2</v>
      </c>
      <c r="AD6">
        <v>0.99855053119660397</v>
      </c>
      <c r="AE6">
        <v>2.0051112150917699E-3</v>
      </c>
      <c r="AF6">
        <v>3.86363487767975E-3</v>
      </c>
      <c r="AG6">
        <f t="shared" si="26"/>
        <v>1.5940548463417941E-3</v>
      </c>
      <c r="AH6">
        <f t="shared" si="28"/>
        <v>-3.2609221801485067E-3</v>
      </c>
      <c r="AI6">
        <f t="shared" si="27"/>
        <v>-2.1464446841328311E-3</v>
      </c>
      <c r="AJ6">
        <f t="shared" si="27"/>
        <v>5.3710007701948115E-3</v>
      </c>
      <c r="AK6">
        <f t="shared" si="29"/>
        <v>7.4363134103976011E-6</v>
      </c>
      <c r="AL6">
        <f t="shared" si="30"/>
        <v>3.8619384649156782E-6</v>
      </c>
      <c r="AM6">
        <f t="shared" si="31"/>
        <v>2.6922248780207932E-5</v>
      </c>
      <c r="AN6">
        <f t="shared" si="32"/>
        <v>2.7929915115558391E-6</v>
      </c>
      <c r="AP6" t="s">
        <v>20</v>
      </c>
      <c r="AQ6">
        <v>4.7564292945814595</v>
      </c>
      <c r="AR6">
        <v>3.9319006217524342</v>
      </c>
      <c r="AS6" t="s">
        <v>162</v>
      </c>
      <c r="AT6">
        <f>SUM(AT3,SUM(AT4:AT5))</f>
        <v>4.6505903842676819</v>
      </c>
      <c r="AV6">
        <v>3.8628675271618929</v>
      </c>
      <c r="AW6">
        <v>1.4866847174599367</v>
      </c>
      <c r="AX6">
        <v>1.71305942392565</v>
      </c>
      <c r="AY6">
        <v>2.5155126160982451</v>
      </c>
    </row>
    <row r="7" spans="1:51">
      <c r="A7" s="6">
        <v>5</v>
      </c>
      <c r="B7" s="7">
        <f t="shared" si="0"/>
        <v>18.325836132538555</v>
      </c>
      <c r="C7" s="7">
        <f t="shared" si="1"/>
        <v>0.99999998900512022</v>
      </c>
      <c r="D7" s="7">
        <f t="shared" si="2"/>
        <v>6.1373684094304295</v>
      </c>
      <c r="E7" s="7">
        <f t="shared" si="3"/>
        <v>9.5421143223653484</v>
      </c>
      <c r="F7" s="7">
        <f t="shared" si="4"/>
        <v>9.5421143223653484</v>
      </c>
      <c r="G7" s="7">
        <f t="shared" si="5"/>
        <v>36.176700995459328</v>
      </c>
      <c r="H7" s="7">
        <f t="shared" si="6"/>
        <v>1</v>
      </c>
      <c r="I7" s="7">
        <f t="shared" si="7"/>
        <v>-0.93763391255682649</v>
      </c>
      <c r="J7" s="7">
        <f t="shared" si="8"/>
        <v>-8.591574213193347</v>
      </c>
      <c r="K7" s="7">
        <f t="shared" si="9"/>
        <v>1.354689283175063</v>
      </c>
      <c r="L7" s="7">
        <f t="shared" si="10"/>
        <v>33.208656791993093</v>
      </c>
      <c r="M7" s="7">
        <f t="shared" si="11"/>
        <v>1</v>
      </c>
      <c r="N7" s="7">
        <f t="shared" si="12"/>
        <v>-5.7538184962364118</v>
      </c>
      <c r="O7" s="7">
        <f t="shared" si="13"/>
        <v>4.0303175138017364</v>
      </c>
      <c r="P7" s="7">
        <f t="shared" si="14"/>
        <v>-8.4303084139958209</v>
      </c>
      <c r="Q7" s="7">
        <f t="shared" si="15"/>
        <v>2.7773997560125783</v>
      </c>
      <c r="R7" s="7">
        <f t="shared" si="16"/>
        <v>0.99229213244044434</v>
      </c>
      <c r="S7" s="7">
        <f t="shared" si="17"/>
        <v>1.4808671522207564</v>
      </c>
      <c r="T7" s="7">
        <f t="shared" si="18"/>
        <v>-0.34845614860257257</v>
      </c>
      <c r="U7" s="7">
        <f t="shared" si="19"/>
        <v>-12.166779406618089</v>
      </c>
      <c r="V7" s="7">
        <f t="shared" si="20"/>
        <v>2.2153403628100437</v>
      </c>
      <c r="W7" s="7">
        <f t="shared" si="21"/>
        <v>0.97646742396950736</v>
      </c>
      <c r="X7" s="7">
        <f t="shared" si="22"/>
        <v>7.0493184932440334E-2</v>
      </c>
      <c r="Y7" s="7">
        <f t="shared" si="23"/>
        <v>-4.6069040834084873</v>
      </c>
      <c r="Z7" s="7">
        <f t="shared" si="24"/>
        <v>9.6791303977267038</v>
      </c>
      <c r="AA7" s="7">
        <f t="shared" si="25"/>
        <v>0.99727633779038793</v>
      </c>
      <c r="AB7" s="7">
        <f t="shared" si="25"/>
        <v>2.5497390962677891E-2</v>
      </c>
      <c r="AC7" s="7">
        <f t="shared" si="25"/>
        <v>-2.1153817346794668E-2</v>
      </c>
      <c r="AD7">
        <v>0.99334815329542803</v>
      </c>
      <c r="AE7">
        <v>5.7859344004262394E-3</v>
      </c>
      <c r="AF7">
        <v>-4.6798608314981898E-3</v>
      </c>
      <c r="AG7">
        <f t="shared" si="26"/>
        <v>6.7536339649985639E-4</v>
      </c>
      <c r="AH7">
        <f t="shared" si="28"/>
        <v>-4.6170512219907422E-3</v>
      </c>
      <c r="AI7">
        <f t="shared" si="27"/>
        <v>-1.4294828606855603E-3</v>
      </c>
      <c r="AJ7">
        <f t="shared" si="27"/>
        <v>5.9952209344498186E-3</v>
      </c>
      <c r="AK7">
        <f t="shared" si="29"/>
        <v>9.5127992802687692E-6</v>
      </c>
      <c r="AL7">
        <f t="shared" si="30"/>
        <v>8.3222772834787447E-7</v>
      </c>
      <c r="AM7">
        <f t="shared" si="31"/>
        <v>2.9910785202064938E-5</v>
      </c>
      <c r="AN7">
        <f t="shared" si="32"/>
        <v>2.6241129641673983E-6</v>
      </c>
      <c r="AP7" t="s">
        <v>21</v>
      </c>
      <c r="AQ7">
        <v>4.7856850800802571</v>
      </c>
      <c r="AR7">
        <v>-2.2790035395015713</v>
      </c>
      <c r="AV7">
        <v>-2.40424578849687</v>
      </c>
      <c r="AW7">
        <v>3.396099913694884E-2</v>
      </c>
      <c r="AX7">
        <v>3.6093350998580083E-2</v>
      </c>
      <c r="AY7">
        <v>4.2642747206243739E-2</v>
      </c>
    </row>
    <row r="8" spans="1:51">
      <c r="A8" s="6">
        <v>6</v>
      </c>
      <c r="B8" s="7">
        <f t="shared" si="0"/>
        <v>20.547278119096973</v>
      </c>
      <c r="C8" s="7">
        <f t="shared" si="1"/>
        <v>0.99999999880757651</v>
      </c>
      <c r="D8" s="7">
        <f t="shared" si="2"/>
        <v>6.137368499149412</v>
      </c>
      <c r="E8" s="7">
        <f t="shared" si="3"/>
        <v>9.5421143689900383</v>
      </c>
      <c r="F8" s="7">
        <f t="shared" si="4"/>
        <v>9.5421143689900383</v>
      </c>
      <c r="G8" s="7">
        <f t="shared" si="5"/>
        <v>42.441363251654835</v>
      </c>
      <c r="H8" s="7">
        <f t="shared" si="6"/>
        <v>1</v>
      </c>
      <c r="I8" s="7">
        <f t="shared" si="7"/>
        <v>-0.93763391255682649</v>
      </c>
      <c r="J8" s="7">
        <f t="shared" si="8"/>
        <v>-8.591574213193347</v>
      </c>
      <c r="K8" s="7">
        <f t="shared" si="9"/>
        <v>1.354689283175063</v>
      </c>
      <c r="L8" s="7">
        <f t="shared" si="10"/>
        <v>39.234744443087735</v>
      </c>
      <c r="M8" s="7">
        <f t="shared" si="11"/>
        <v>1</v>
      </c>
      <c r="N8" s="7">
        <f t="shared" si="12"/>
        <v>-5.7538184962364118</v>
      </c>
      <c r="O8" s="7">
        <f t="shared" si="13"/>
        <v>4.0303175138017364</v>
      </c>
      <c r="P8" s="7">
        <f t="shared" si="14"/>
        <v>-8.4303084139958209</v>
      </c>
      <c r="Q8" s="7">
        <f t="shared" si="15"/>
        <v>2.7365423573467211</v>
      </c>
      <c r="R8" s="7">
        <f t="shared" si="16"/>
        <v>0.9916385799823918</v>
      </c>
      <c r="S8" s="7">
        <f t="shared" si="17"/>
        <v>1.4798949608324907</v>
      </c>
      <c r="T8" s="7">
        <f t="shared" si="18"/>
        <v>-0.35340003316562019</v>
      </c>
      <c r="U8" s="7">
        <f t="shared" si="19"/>
        <v>-12.160933255893859</v>
      </c>
      <c r="V8" s="7">
        <f t="shared" si="20"/>
        <v>2.0012901345838641</v>
      </c>
      <c r="W8" s="7">
        <f t="shared" si="21"/>
        <v>0.96411861587430281</v>
      </c>
      <c r="X8" s="7">
        <f t="shared" si="22"/>
        <v>6.4842209255715932E-2</v>
      </c>
      <c r="Y8" s="7">
        <f t="shared" si="23"/>
        <v>-4.6021527966434483</v>
      </c>
      <c r="Z8" s="7">
        <f t="shared" si="24"/>
        <v>9.6800475174773446</v>
      </c>
      <c r="AA8" s="7">
        <f t="shared" si="25"/>
        <v>0.99065326044438029</v>
      </c>
      <c r="AB8" s="7">
        <f t="shared" si="25"/>
        <v>2.5304839789359157E-2</v>
      </c>
      <c r="AC8" s="7">
        <f t="shared" si="25"/>
        <v>-1.4390500247234428E-2</v>
      </c>
      <c r="AD8">
        <v>0.98283073740154103</v>
      </c>
      <c r="AE8">
        <v>1.2651330839959601E-2</v>
      </c>
      <c r="AF8">
        <v>3.0346095032803499E-3</v>
      </c>
      <c r="AG8">
        <f t="shared" si="26"/>
        <v>5.2493760530577095E-4</v>
      </c>
      <c r="AH8">
        <f t="shared" si="28"/>
        <v>-6.6230773460076442E-3</v>
      </c>
      <c r="AI8">
        <f t="shared" si="27"/>
        <v>-1.925511733187335E-4</v>
      </c>
      <c r="AJ8">
        <f t="shared" si="27"/>
        <v>6.7633170995602399E-3</v>
      </c>
      <c r="AK8">
        <f t="shared" si="29"/>
        <v>1.0936658421295829E-5</v>
      </c>
      <c r="AL8">
        <f t="shared" si="30"/>
        <v>8.3762087964064836E-7</v>
      </c>
      <c r="AM8">
        <f t="shared" si="31"/>
        <v>3.1504250677411258E-5</v>
      </c>
      <c r="AN8">
        <f t="shared" si="32"/>
        <v>2.457369717690537E-6</v>
      </c>
      <c r="AP8" t="s">
        <v>22</v>
      </c>
      <c r="AQ8">
        <v>-1.6454513890880396</v>
      </c>
      <c r="AR8">
        <v>8.0870068716290433</v>
      </c>
      <c r="AV8">
        <v>5.7311683128267372</v>
      </c>
      <c r="AW8">
        <v>0.76959784446357393</v>
      </c>
      <c r="AX8">
        <v>0.76959784446357393</v>
      </c>
      <c r="AY8">
        <v>0.76959784446357393</v>
      </c>
    </row>
    <row r="9" spans="1:51">
      <c r="A9" s="6">
        <v>7</v>
      </c>
      <c r="B9" s="7">
        <f t="shared" si="0"/>
        <v>22.768720105655394</v>
      </c>
      <c r="C9" s="7">
        <f t="shared" si="1"/>
        <v>0.99999999987067856</v>
      </c>
      <c r="D9" s="7">
        <f t="shared" si="2"/>
        <v>6.1373685088796694</v>
      </c>
      <c r="E9" s="7">
        <f t="shared" si="3"/>
        <v>9.5421143740466086</v>
      </c>
      <c r="F9" s="7">
        <f t="shared" si="4"/>
        <v>9.5421143740466086</v>
      </c>
      <c r="G9" s="7">
        <f t="shared" si="5"/>
        <v>48.706025507850349</v>
      </c>
      <c r="H9" s="7">
        <f t="shared" si="6"/>
        <v>1</v>
      </c>
      <c r="I9" s="7">
        <f t="shared" si="7"/>
        <v>-0.93763391255682649</v>
      </c>
      <c r="J9" s="7">
        <f t="shared" si="8"/>
        <v>-8.591574213193347</v>
      </c>
      <c r="K9" s="7">
        <f t="shared" si="9"/>
        <v>1.354689283175063</v>
      </c>
      <c r="L9" s="7">
        <f t="shared" si="10"/>
        <v>45.260832094182369</v>
      </c>
      <c r="M9" s="7">
        <f t="shared" si="11"/>
        <v>1</v>
      </c>
      <c r="N9" s="7">
        <f t="shared" si="12"/>
        <v>-5.7538184962364118</v>
      </c>
      <c r="O9" s="7">
        <f t="shared" si="13"/>
        <v>4.0303175138017364</v>
      </c>
      <c r="P9" s="7">
        <f t="shared" si="14"/>
        <v>-8.4303084139958209</v>
      </c>
      <c r="Q9" s="7">
        <f t="shared" si="15"/>
        <v>2.6956849586808644</v>
      </c>
      <c r="R9" s="7">
        <f t="shared" si="16"/>
        <v>0.99092986489332291</v>
      </c>
      <c r="S9" s="7">
        <f t="shared" si="17"/>
        <v>1.4788407123206271</v>
      </c>
      <c r="T9" s="7">
        <f t="shared" si="18"/>
        <v>-0.35876120279366752</v>
      </c>
      <c r="U9" s="7">
        <f t="shared" si="19"/>
        <v>-12.154593664970156</v>
      </c>
      <c r="V9" s="7">
        <f t="shared" si="20"/>
        <v>1.787239906357684</v>
      </c>
      <c r="W9" s="7">
        <f t="shared" si="21"/>
        <v>0.94546851209342953</v>
      </c>
      <c r="X9" s="7">
        <f t="shared" si="22"/>
        <v>5.6307678471726463E-2</v>
      </c>
      <c r="Y9" s="7">
        <f t="shared" si="23"/>
        <v>-4.5949770440868045</v>
      </c>
      <c r="Z9" s="7">
        <f t="shared" si="24"/>
        <v>9.6814326210757713</v>
      </c>
      <c r="AA9" s="7">
        <f t="shared" si="25"/>
        <v>0.98106449087878467</v>
      </c>
      <c r="AB9" s="7">
        <f t="shared" si="25"/>
        <v>2.7119427774525917E-2</v>
      </c>
      <c r="AC9" s="7">
        <f t="shared" si="25"/>
        <v>-6.6658006685340609E-3</v>
      </c>
      <c r="AD9">
        <v>0.97539398785926001</v>
      </c>
      <c r="AE9">
        <v>2.03539996715329E-2</v>
      </c>
      <c r="AF9">
        <v>7.4668309922445502E-3</v>
      </c>
      <c r="AG9">
        <f t="shared" si="26"/>
        <v>2.776568995704479E-4</v>
      </c>
      <c r="AH9">
        <f t="shared" si="28"/>
        <v>-9.5887695655956229E-3</v>
      </c>
      <c r="AI9">
        <f t="shared" si="27"/>
        <v>1.8145879851667601E-3</v>
      </c>
      <c r="AJ9">
        <f t="shared" si="27"/>
        <v>7.7246995787003669E-3</v>
      </c>
      <c r="AK9">
        <f t="shared" si="29"/>
        <v>1.8440071971876453E-5</v>
      </c>
      <c r="AL9">
        <f t="shared" si="30"/>
        <v>1.2638026888236498E-5</v>
      </c>
      <c r="AM9">
        <f t="shared" si="31"/>
        <v>3.4501559991347659E-5</v>
      </c>
      <c r="AN9">
        <f t="shared" si="32"/>
        <v>2.3046822157019333E-6</v>
      </c>
      <c r="AP9" t="s">
        <v>23</v>
      </c>
      <c r="AQ9">
        <v>3.5527127887887739</v>
      </c>
      <c r="AR9">
        <v>-1.6063302422259558</v>
      </c>
      <c r="AV9">
        <v>-5.5360950305191494</v>
      </c>
      <c r="AW9">
        <v>1.8717886603681722</v>
      </c>
      <c r="AX9">
        <v>1.8717886603681722</v>
      </c>
      <c r="AY9">
        <v>1.8717886603681722</v>
      </c>
    </row>
    <row r="10" spans="1:51">
      <c r="A10" s="6">
        <v>8</v>
      </c>
      <c r="B10" s="7">
        <f t="shared" si="0"/>
        <v>24.990162092213815</v>
      </c>
      <c r="C10" s="7">
        <f t="shared" si="1"/>
        <v>0.99999999998597477</v>
      </c>
      <c r="D10" s="7">
        <f t="shared" si="2"/>
        <v>6.1373685099349427</v>
      </c>
      <c r="E10" s="7">
        <f t="shared" si="3"/>
        <v>9.5421143745950054</v>
      </c>
      <c r="F10" s="7">
        <f t="shared" si="4"/>
        <v>9.5421143745950054</v>
      </c>
      <c r="G10" s="7">
        <f t="shared" si="5"/>
        <v>54.970687764045856</v>
      </c>
      <c r="H10" s="7">
        <f t="shared" si="6"/>
        <v>1</v>
      </c>
      <c r="I10" s="7">
        <f t="shared" si="7"/>
        <v>-0.93763391255682649</v>
      </c>
      <c r="J10" s="7">
        <f t="shared" si="8"/>
        <v>-8.591574213193347</v>
      </c>
      <c r="K10" s="7">
        <f t="shared" si="9"/>
        <v>1.354689283175063</v>
      </c>
      <c r="L10" s="7">
        <f t="shared" si="10"/>
        <v>51.286919745277011</v>
      </c>
      <c r="M10" s="7">
        <f t="shared" si="11"/>
        <v>1</v>
      </c>
      <c r="N10" s="7">
        <f t="shared" si="12"/>
        <v>-5.7538184962364118</v>
      </c>
      <c r="O10" s="7">
        <f t="shared" si="13"/>
        <v>4.0303175138017364</v>
      </c>
      <c r="P10" s="7">
        <f t="shared" si="14"/>
        <v>-8.4303084139958209</v>
      </c>
      <c r="Q10" s="7">
        <f t="shared" si="15"/>
        <v>2.6548275600150077</v>
      </c>
      <c r="R10" s="7">
        <f t="shared" si="16"/>
        <v>0.99016137576522711</v>
      </c>
      <c r="S10" s="7">
        <f t="shared" si="17"/>
        <v>1.4776975469892064</v>
      </c>
      <c r="T10" s="7">
        <f t="shared" si="18"/>
        <v>-0.36457454109643184</v>
      </c>
      <c r="U10" s="7">
        <f t="shared" si="19"/>
        <v>-12.147719383927488</v>
      </c>
      <c r="V10" s="7">
        <f t="shared" si="20"/>
        <v>1.5731896781315042</v>
      </c>
      <c r="W10" s="7">
        <f t="shared" si="21"/>
        <v>0.91753164214544414</v>
      </c>
      <c r="X10" s="7">
        <f t="shared" si="22"/>
        <v>4.3523402342179551E-2</v>
      </c>
      <c r="Y10" s="7">
        <f t="shared" si="23"/>
        <v>-4.5842281459407532</v>
      </c>
      <c r="Z10" s="7">
        <f t="shared" si="24"/>
        <v>9.6835074330740518</v>
      </c>
      <c r="AA10" s="7">
        <f t="shared" si="25"/>
        <v>0.96713705047309029</v>
      </c>
      <c r="AB10" s="7">
        <f t="shared" si="25"/>
        <v>3.2054988166209775E-2</v>
      </c>
      <c r="AC10" s="7">
        <f t="shared" si="25"/>
        <v>2.2832929208114194E-3</v>
      </c>
      <c r="AD10">
        <v>0.96249140793574095</v>
      </c>
      <c r="AE10">
        <v>3.3533967396357001E-2</v>
      </c>
      <c r="AF10">
        <v>9.1761695406187595E-3</v>
      </c>
      <c r="AG10">
        <f t="shared" si="26"/>
        <v>7.1281122243923125E-5</v>
      </c>
      <c r="AH10">
        <f t="shared" si="28"/>
        <v>-1.392744040569438E-2</v>
      </c>
      <c r="AI10">
        <f t="shared" si="27"/>
        <v>4.9355603916838575E-3</v>
      </c>
      <c r="AJ10">
        <f t="shared" si="27"/>
        <v>8.9490935893454804E-3</v>
      </c>
      <c r="AK10">
        <f t="shared" si="29"/>
        <v>2.8300422842299986E-5</v>
      </c>
      <c r="AL10">
        <f t="shared" si="30"/>
        <v>5.90605261687206E-5</v>
      </c>
      <c r="AM10">
        <f t="shared" si="31"/>
        <v>3.4806138794713595E-5</v>
      </c>
      <c r="AN10">
        <f t="shared" si="32"/>
        <v>2.1766032122609775E-6</v>
      </c>
      <c r="AP10" t="s">
        <v>62</v>
      </c>
      <c r="AQ10">
        <v>6.2646622561955105</v>
      </c>
      <c r="AR10">
        <v>4.7732306151299797</v>
      </c>
      <c r="AV10">
        <v>3.7619799083289265</v>
      </c>
      <c r="AW10">
        <v>-7.5060741070273496E-2</v>
      </c>
      <c r="AX10">
        <v>-4.6666046520318305E-2</v>
      </c>
      <c r="AY10">
        <v>-4.6656553812179188E-2</v>
      </c>
    </row>
    <row r="11" spans="1:51">
      <c r="A11" s="6">
        <v>9</v>
      </c>
      <c r="B11" s="7">
        <f t="shared" si="0"/>
        <v>27.211604078772236</v>
      </c>
      <c r="C11" s="7">
        <f t="shared" si="1"/>
        <v>0.99999999999847899</v>
      </c>
      <c r="D11" s="7">
        <f t="shared" si="2"/>
        <v>6.1373685100493898</v>
      </c>
      <c r="E11" s="7">
        <f t="shared" si="3"/>
        <v>9.5421143746544814</v>
      </c>
      <c r="F11" s="7">
        <f t="shared" si="4"/>
        <v>9.5421143746544814</v>
      </c>
      <c r="G11" s="7">
        <f t="shared" si="5"/>
        <v>61.235350020241363</v>
      </c>
      <c r="H11" s="7">
        <f t="shared" si="6"/>
        <v>1</v>
      </c>
      <c r="I11" s="7">
        <f t="shared" si="7"/>
        <v>-0.93763391255682649</v>
      </c>
      <c r="J11" s="7">
        <f t="shared" si="8"/>
        <v>-8.591574213193347</v>
      </c>
      <c r="K11" s="7">
        <f t="shared" si="9"/>
        <v>1.354689283175063</v>
      </c>
      <c r="L11" s="7">
        <f t="shared" si="10"/>
        <v>57.313007396371653</v>
      </c>
      <c r="M11" s="7">
        <f t="shared" si="11"/>
        <v>1</v>
      </c>
      <c r="N11" s="7">
        <f t="shared" si="12"/>
        <v>-5.7538184962364118</v>
      </c>
      <c r="O11" s="7">
        <f t="shared" si="13"/>
        <v>4.0303175138017364</v>
      </c>
      <c r="P11" s="7">
        <f t="shared" si="14"/>
        <v>-8.4303084139958209</v>
      </c>
      <c r="Q11" s="7">
        <f t="shared" si="15"/>
        <v>2.6139701613491506</v>
      </c>
      <c r="R11" s="7">
        <f t="shared" si="16"/>
        <v>0.98932812355453692</v>
      </c>
      <c r="S11" s="7">
        <f t="shared" si="17"/>
        <v>1.4764580433908263</v>
      </c>
      <c r="T11" s="7">
        <f t="shared" si="18"/>
        <v>-0.37087778835806962</v>
      </c>
      <c r="U11" s="7">
        <f t="shared" si="19"/>
        <v>-12.140265784824656</v>
      </c>
      <c r="V11" s="7">
        <f t="shared" si="20"/>
        <v>1.3591394499053244</v>
      </c>
      <c r="W11" s="7">
        <f t="shared" si="21"/>
        <v>0.8761933250295264</v>
      </c>
      <c r="X11" s="7">
        <f t="shared" si="22"/>
        <v>2.4606449164367328E-2</v>
      </c>
      <c r="Y11" s="7">
        <f t="shared" si="23"/>
        <v>-4.5683229510840828</v>
      </c>
      <c r="Z11" s="7">
        <f t="shared" si="24"/>
        <v>9.6865775420912925</v>
      </c>
      <c r="AA11" s="7">
        <f t="shared" si="25"/>
        <v>0.94698059381134514</v>
      </c>
      <c r="AB11" s="7">
        <f t="shared" si="25"/>
        <v>4.1656935820718388E-2</v>
      </c>
      <c r="AC11" s="7">
        <f t="shared" si="25"/>
        <v>1.2807001100359372E-2</v>
      </c>
      <c r="AD11">
        <v>0.94450237023887595</v>
      </c>
      <c r="AE11">
        <v>4.7496166004264602E-2</v>
      </c>
      <c r="AF11">
        <v>7.5225339506602403E-3</v>
      </c>
      <c r="AG11">
        <f t="shared" si="26"/>
        <v>6.8163794267828338E-5</v>
      </c>
      <c r="AH11">
        <f t="shared" si="28"/>
        <v>-2.0156456661745148E-2</v>
      </c>
      <c r="AI11">
        <f t="shared" si="27"/>
        <v>9.6019476545086135E-3</v>
      </c>
      <c r="AJ11">
        <f t="shared" si="27"/>
        <v>1.0523708179547953E-2</v>
      </c>
      <c r="AK11">
        <f t="shared" si="29"/>
        <v>6.7122302993988039E-5</v>
      </c>
      <c r="AL11">
        <f t="shared" si="30"/>
        <v>1.7740667964520062E-4</v>
      </c>
      <c r="AM11">
        <f t="shared" si="31"/>
        <v>3.8497444319848777E-5</v>
      </c>
      <c r="AN11">
        <f t="shared" si="32"/>
        <v>2.0866690369142384E-6</v>
      </c>
      <c r="AP11" t="s">
        <v>63</v>
      </c>
      <c r="AQ11">
        <v>4.8533897144817733</v>
      </c>
      <c r="AR11">
        <v>3.7281736439772231</v>
      </c>
      <c r="AV11">
        <v>4.6852396836265031</v>
      </c>
      <c r="AW11">
        <v>1.9859149654738175</v>
      </c>
      <c r="AX11">
        <v>0.59632817272439997</v>
      </c>
      <c r="AY11">
        <v>0.59043114047559087</v>
      </c>
    </row>
    <row r="12" spans="1:51">
      <c r="A12" s="6">
        <v>10</v>
      </c>
      <c r="B12" s="7">
        <f t="shared" si="0"/>
        <v>29.433046065330657</v>
      </c>
      <c r="C12" s="7">
        <f t="shared" si="1"/>
        <v>0.99999999999983502</v>
      </c>
      <c r="D12" s="7">
        <f t="shared" si="2"/>
        <v>6.1373685100618012</v>
      </c>
      <c r="E12" s="7">
        <f t="shared" si="3"/>
        <v>9.5421143746609314</v>
      </c>
      <c r="F12" s="7">
        <f t="shared" si="4"/>
        <v>9.5421143746609314</v>
      </c>
      <c r="G12" s="7">
        <f t="shared" si="5"/>
        <v>67.500012276436877</v>
      </c>
      <c r="H12" s="7">
        <f t="shared" si="6"/>
        <v>1</v>
      </c>
      <c r="I12" s="7">
        <f t="shared" si="7"/>
        <v>-0.93763391255682649</v>
      </c>
      <c r="J12" s="7">
        <f t="shared" si="8"/>
        <v>-8.591574213193347</v>
      </c>
      <c r="K12" s="7">
        <f t="shared" si="9"/>
        <v>1.354689283175063</v>
      </c>
      <c r="L12" s="7">
        <f t="shared" si="10"/>
        <v>63.339095047466287</v>
      </c>
      <c r="M12" s="7">
        <f t="shared" si="11"/>
        <v>1</v>
      </c>
      <c r="N12" s="7">
        <f t="shared" si="12"/>
        <v>-5.7538184962364118</v>
      </c>
      <c r="O12" s="7">
        <f t="shared" si="13"/>
        <v>4.0303175138017364</v>
      </c>
      <c r="P12" s="7">
        <f t="shared" si="14"/>
        <v>-8.4303084139958209</v>
      </c>
      <c r="Q12" s="7">
        <f t="shared" si="15"/>
        <v>2.5731127626832939</v>
      </c>
      <c r="R12" s="7">
        <f t="shared" si="16"/>
        <v>0.9884247120461791</v>
      </c>
      <c r="S12" s="7">
        <f t="shared" si="17"/>
        <v>1.4751141743904668</v>
      </c>
      <c r="T12" s="7">
        <f t="shared" si="18"/>
        <v>-0.37771176496579173</v>
      </c>
      <c r="U12" s="7">
        <f t="shared" si="19"/>
        <v>-12.132184597494106</v>
      </c>
      <c r="V12" s="7">
        <f t="shared" si="20"/>
        <v>1.1450892216791444</v>
      </c>
      <c r="W12" s="7">
        <f t="shared" si="21"/>
        <v>0.81612069762033768</v>
      </c>
      <c r="X12" s="7">
        <f t="shared" si="22"/>
        <v>-2.8835687959961609E-3</v>
      </c>
      <c r="Y12" s="7">
        <f t="shared" si="23"/>
        <v>-4.5452096046501662</v>
      </c>
      <c r="Z12" s="7">
        <f t="shared" si="24"/>
        <v>9.6910390085457969</v>
      </c>
      <c r="AA12" s="7">
        <f t="shared" si="25"/>
        <v>0.91814670686303346</v>
      </c>
      <c r="AB12" s="7">
        <f t="shared" si="25"/>
        <v>5.793630565336283E-2</v>
      </c>
      <c r="AC12" s="7">
        <f t="shared" si="25"/>
        <v>2.5349654891863693E-2</v>
      </c>
      <c r="AD12">
        <v>0.91819898168117797</v>
      </c>
      <c r="AE12">
        <v>6.7597221336325009E-2</v>
      </c>
      <c r="AF12">
        <v>3.2927993138720797E-3</v>
      </c>
      <c r="AG12">
        <f t="shared" si="26"/>
        <v>5.7984090247829639E-4</v>
      </c>
      <c r="AH12">
        <f t="shared" si="28"/>
        <v>-2.8833886948311682E-2</v>
      </c>
      <c r="AI12">
        <f t="shared" si="27"/>
        <v>1.6279369832644441E-2</v>
      </c>
      <c r="AJ12">
        <f t="shared" si="27"/>
        <v>1.2542653791504321E-2</v>
      </c>
      <c r="AK12">
        <f t="shared" si="29"/>
        <v>1.5082904299602309E-4</v>
      </c>
      <c r="AL12">
        <f t="shared" si="30"/>
        <v>4.4976855740118393E-4</v>
      </c>
      <c r="AM12">
        <f t="shared" si="31"/>
        <v>4.0904739692784292E-5</v>
      </c>
      <c r="AN12">
        <f t="shared" si="32"/>
        <v>2.0525359026906862E-6</v>
      </c>
      <c r="AP12" t="s">
        <v>64</v>
      </c>
      <c r="AQ12">
        <v>4.1928401525336136</v>
      </c>
      <c r="AR12">
        <v>-1.7087540746297549</v>
      </c>
      <c r="AV12">
        <v>7.1519440216271315</v>
      </c>
      <c r="AW12">
        <v>2.705188699912555E-2</v>
      </c>
      <c r="AX12">
        <v>4.1988016084207616E-2</v>
      </c>
      <c r="AY12">
        <v>4.3602994634112151E-2</v>
      </c>
    </row>
    <row r="13" spans="1:51">
      <c r="A13" s="6">
        <v>11</v>
      </c>
      <c r="B13" s="7">
        <f t="shared" si="0"/>
        <v>31.654488051889075</v>
      </c>
      <c r="C13" s="7">
        <f t="shared" si="1"/>
        <v>0.99999999999998201</v>
      </c>
      <c r="D13" s="7">
        <f t="shared" si="2"/>
        <v>6.1373685100631459</v>
      </c>
      <c r="E13" s="7">
        <f t="shared" si="3"/>
        <v>9.5421143746616313</v>
      </c>
      <c r="F13" s="7">
        <f t="shared" si="4"/>
        <v>9.5421143746616313</v>
      </c>
      <c r="G13" s="7">
        <f t="shared" si="5"/>
        <v>73.764674532632398</v>
      </c>
      <c r="H13" s="7">
        <f t="shared" si="6"/>
        <v>1</v>
      </c>
      <c r="I13" s="7">
        <f t="shared" si="7"/>
        <v>-0.93763391255682649</v>
      </c>
      <c r="J13" s="7">
        <f t="shared" si="8"/>
        <v>-8.591574213193347</v>
      </c>
      <c r="K13" s="7">
        <f t="shared" si="9"/>
        <v>1.354689283175063</v>
      </c>
      <c r="L13" s="7">
        <f t="shared" si="10"/>
        <v>69.365182698560915</v>
      </c>
      <c r="M13" s="7">
        <f t="shared" si="11"/>
        <v>1</v>
      </c>
      <c r="N13" s="7">
        <f t="shared" si="12"/>
        <v>-5.7538184962364118</v>
      </c>
      <c r="O13" s="7">
        <f t="shared" si="13"/>
        <v>4.0303175138017364</v>
      </c>
      <c r="P13" s="7">
        <f t="shared" si="14"/>
        <v>-8.4303084139958209</v>
      </c>
      <c r="Q13" s="7">
        <f t="shared" si="15"/>
        <v>2.5322553640174368</v>
      </c>
      <c r="R13" s="7">
        <f t="shared" si="16"/>
        <v>0.98744530625490023</v>
      </c>
      <c r="S13" s="7">
        <f t="shared" si="17"/>
        <v>1.4736572601609095</v>
      </c>
      <c r="T13" s="7">
        <f t="shared" si="18"/>
        <v>-0.38512061044223778</v>
      </c>
      <c r="U13" s="7">
        <f t="shared" si="19"/>
        <v>-12.123423626885774</v>
      </c>
      <c r="V13" s="7">
        <f t="shared" si="20"/>
        <v>0.93103899345296437</v>
      </c>
      <c r="W13" s="7">
        <f t="shared" si="21"/>
        <v>0.73107794106815516</v>
      </c>
      <c r="X13" s="7">
        <f t="shared" si="22"/>
        <v>-4.1800243591890385E-2</v>
      </c>
      <c r="Y13" s="7">
        <f t="shared" si="23"/>
        <v>-4.5124888334993241</v>
      </c>
      <c r="Z13" s="7">
        <f t="shared" si="24"/>
        <v>9.6973549534598025</v>
      </c>
      <c r="AA13" s="7">
        <f t="shared" si="25"/>
        <v>0.87777311783892664</v>
      </c>
      <c r="AB13" s="7">
        <f t="shared" si="25"/>
        <v>8.3248231328458822E-2</v>
      </c>
      <c r="AC13" s="7">
        <f t="shared" si="25"/>
        <v>4.0426570414901164E-2</v>
      </c>
      <c r="AD13">
        <v>0.89021613947898592</v>
      </c>
      <c r="AE13">
        <v>9.5969397639399309E-2</v>
      </c>
      <c r="AF13">
        <v>1.96514990734073E-2</v>
      </c>
      <c r="AG13">
        <f t="shared" si="26"/>
        <v>7.4826044908975035E-4</v>
      </c>
      <c r="AH13">
        <f t="shared" si="28"/>
        <v>-4.0373589024106815E-2</v>
      </c>
      <c r="AI13">
        <f t="shared" si="27"/>
        <v>2.5311925675095992E-2</v>
      </c>
      <c r="AJ13">
        <f t="shared" si="27"/>
        <v>1.5076915523037471E-2</v>
      </c>
      <c r="AK13">
        <f t="shared" si="29"/>
        <v>3.0939389665316321E-4</v>
      </c>
      <c r="AL13">
        <f t="shared" si="30"/>
        <v>9.9746761654382721E-4</v>
      </c>
      <c r="AM13">
        <f t="shared" si="31"/>
        <v>4.0321371970767009E-5</v>
      </c>
      <c r="AN13">
        <f t="shared" si="32"/>
        <v>2.0964711167687603E-6</v>
      </c>
      <c r="AP13" t="s">
        <v>65</v>
      </c>
      <c r="AQ13">
        <v>-5.1304740650904401</v>
      </c>
      <c r="AR13">
        <v>7.2602805692045687</v>
      </c>
      <c r="AV13">
        <v>4.0993020942423222</v>
      </c>
      <c r="AW13">
        <v>0.51920425897022493</v>
      </c>
      <c r="AX13">
        <v>-0.21891027383243225</v>
      </c>
      <c r="AY13">
        <v>5.78307297669185E-4</v>
      </c>
    </row>
    <row r="14" spans="1:51">
      <c r="A14" s="6">
        <v>12</v>
      </c>
      <c r="B14" s="7">
        <f t="shared" si="0"/>
        <v>33.875930038447493</v>
      </c>
      <c r="C14" s="7">
        <f t="shared" si="1"/>
        <v>0.999999999999998</v>
      </c>
      <c r="D14" s="7">
        <f t="shared" si="2"/>
        <v>6.1373685100632933</v>
      </c>
      <c r="E14" s="7">
        <f t="shared" si="3"/>
        <v>9.5421143746617076</v>
      </c>
      <c r="F14" s="7">
        <f t="shared" si="4"/>
        <v>9.5421143746617076</v>
      </c>
      <c r="G14" s="7">
        <f t="shared" si="5"/>
        <v>80.029336788827905</v>
      </c>
      <c r="H14" s="7">
        <f t="shared" si="6"/>
        <v>1</v>
      </c>
      <c r="I14" s="7">
        <f t="shared" si="7"/>
        <v>-0.93763391255682649</v>
      </c>
      <c r="J14" s="7">
        <f t="shared" si="8"/>
        <v>-8.591574213193347</v>
      </c>
      <c r="K14" s="7">
        <f t="shared" si="9"/>
        <v>1.354689283175063</v>
      </c>
      <c r="L14" s="7">
        <f t="shared" si="10"/>
        <v>75.391270349655557</v>
      </c>
      <c r="M14" s="7">
        <f t="shared" si="11"/>
        <v>1</v>
      </c>
      <c r="N14" s="7">
        <f t="shared" si="12"/>
        <v>-5.7538184962364118</v>
      </c>
      <c r="O14" s="7">
        <f t="shared" si="13"/>
        <v>4.0303175138017364</v>
      </c>
      <c r="P14" s="7">
        <f t="shared" si="14"/>
        <v>-8.4303084139958209</v>
      </c>
      <c r="Q14" s="7">
        <f t="shared" si="15"/>
        <v>2.4913979653515801</v>
      </c>
      <c r="R14" s="7">
        <f t="shared" si="16"/>
        <v>0.98638359866504699</v>
      </c>
      <c r="S14" s="7">
        <f t="shared" si="17"/>
        <v>1.4720779179627526</v>
      </c>
      <c r="T14" s="7">
        <f t="shared" si="18"/>
        <v>-0.39315203882916006</v>
      </c>
      <c r="U14" s="7">
        <f t="shared" si="19"/>
        <v>-12.113926451075532</v>
      </c>
      <c r="V14" s="7">
        <f t="shared" si="20"/>
        <v>0.71698876522678479</v>
      </c>
      <c r="W14" s="7">
        <f t="shared" si="21"/>
        <v>0.61504060931826676</v>
      </c>
      <c r="X14" s="7">
        <f t="shared" si="22"/>
        <v>-9.4900440327902791E-2</v>
      </c>
      <c r="Y14" s="7">
        <f t="shared" si="23"/>
        <v>-4.4678426915928986</v>
      </c>
      <c r="Z14" s="7">
        <f t="shared" si="24"/>
        <v>9.705972799646986</v>
      </c>
      <c r="AA14" s="7">
        <f t="shared" si="25"/>
        <v>0.82309357890490475</v>
      </c>
      <c r="AB14" s="7">
        <f t="shared" si="25"/>
        <v>0.11986294484803839</v>
      </c>
      <c r="AC14" s="7">
        <f t="shared" si="25"/>
        <v>5.8541592412403531E-2</v>
      </c>
      <c r="AD14">
        <v>0.83105634839519704</v>
      </c>
      <c r="AE14">
        <v>0.139820372745182</v>
      </c>
      <c r="AF14">
        <v>2.4532806481925299E-2</v>
      </c>
      <c r="AG14">
        <f t="shared" si="26"/>
        <v>1.6183021466903101E-3</v>
      </c>
      <c r="AH14">
        <f t="shared" si="28"/>
        <v>-5.4679538934021887E-2</v>
      </c>
      <c r="AI14">
        <f t="shared" si="27"/>
        <v>3.6614713519579567E-2</v>
      </c>
      <c r="AJ14">
        <f t="shared" si="27"/>
        <v>1.8115021997502367E-2</v>
      </c>
      <c r="AK14">
        <f t="shared" si="29"/>
        <v>5.6125865314278608E-4</v>
      </c>
      <c r="AL14">
        <f t="shared" si="30"/>
        <v>1.9461915475089769E-3</v>
      </c>
      <c r="AM14">
        <f t="shared" si="31"/>
        <v>2.9164501791564257E-5</v>
      </c>
      <c r="AN14">
        <f t="shared" si="32"/>
        <v>2.2443520448730247E-6</v>
      </c>
      <c r="AP14" t="s">
        <v>66</v>
      </c>
      <c r="AQ14">
        <v>-0.31597131721646399</v>
      </c>
      <c r="AR14">
        <v>-5.256010638150113</v>
      </c>
      <c r="AV14">
        <v>-8.0362948075819212</v>
      </c>
      <c r="AW14">
        <v>0.43396492601132824</v>
      </c>
      <c r="AX14">
        <v>1.0770024379408789</v>
      </c>
      <c r="AY14">
        <v>1.0882078762425926</v>
      </c>
    </row>
    <row r="15" spans="1:51">
      <c r="A15" s="6">
        <v>13</v>
      </c>
      <c r="B15" s="7">
        <f t="shared" si="0"/>
        <v>36.097372025005917</v>
      </c>
      <c r="C15" s="7">
        <f t="shared" si="1"/>
        <v>0.99999999999999978</v>
      </c>
      <c r="D15" s="7">
        <f t="shared" si="2"/>
        <v>6.1373685100633093</v>
      </c>
      <c r="E15" s="7">
        <f t="shared" si="3"/>
        <v>9.5421143746617147</v>
      </c>
      <c r="F15" s="7">
        <f t="shared" si="4"/>
        <v>9.5421143746617147</v>
      </c>
      <c r="G15" s="7">
        <f t="shared" si="5"/>
        <v>86.293999045023412</v>
      </c>
      <c r="H15" s="7">
        <f t="shared" si="6"/>
        <v>1</v>
      </c>
      <c r="I15" s="7">
        <f t="shared" si="7"/>
        <v>-0.93763391255682649</v>
      </c>
      <c r="J15" s="7">
        <f t="shared" si="8"/>
        <v>-8.591574213193347</v>
      </c>
      <c r="K15" s="7">
        <f t="shared" si="9"/>
        <v>1.354689283175063</v>
      </c>
      <c r="L15" s="7">
        <f t="shared" si="10"/>
        <v>81.417358000750198</v>
      </c>
      <c r="M15" s="7">
        <f t="shared" si="11"/>
        <v>1</v>
      </c>
      <c r="N15" s="7">
        <f t="shared" si="12"/>
        <v>-5.7538184962364118</v>
      </c>
      <c r="O15" s="7">
        <f t="shared" si="13"/>
        <v>4.0303175138017364</v>
      </c>
      <c r="P15" s="7">
        <f t="shared" si="14"/>
        <v>-8.4303084139958209</v>
      </c>
      <c r="Q15" s="7">
        <f t="shared" si="15"/>
        <v>2.4505405666857234</v>
      </c>
      <c r="R15" s="7">
        <f t="shared" si="16"/>
        <v>0.98523277321426317</v>
      </c>
      <c r="S15" s="7">
        <f t="shared" si="17"/>
        <v>1.4703660085683898</v>
      </c>
      <c r="T15" s="7">
        <f t="shared" si="18"/>
        <v>-0.40185761113753493</v>
      </c>
      <c r="U15" s="7">
        <f t="shared" si="19"/>
        <v>-12.103632099092508</v>
      </c>
      <c r="V15" s="7">
        <f t="shared" si="20"/>
        <v>0.50293853700060476</v>
      </c>
      <c r="W15" s="7">
        <f t="shared" si="21"/>
        <v>0.46442502241785238</v>
      </c>
      <c r="X15" s="7">
        <f t="shared" si="22"/>
        <v>-0.16382409770017484</v>
      </c>
      <c r="Y15" s="7">
        <f t="shared" si="23"/>
        <v>-4.4098923340254776</v>
      </c>
      <c r="Z15" s="7">
        <f t="shared" si="24"/>
        <v>9.7171586994063635</v>
      </c>
      <c r="AA15" s="7">
        <f t="shared" si="25"/>
        <v>0.752458012138286</v>
      </c>
      <c r="AB15" s="7">
        <f t="shared" si="25"/>
        <v>0.16910773010709157</v>
      </c>
      <c r="AC15" s="7">
        <f t="shared" si="25"/>
        <v>8.0021844154812172E-2</v>
      </c>
      <c r="AD15">
        <v>0.77338802087821101</v>
      </c>
      <c r="AE15">
        <v>0.19576330278256401</v>
      </c>
      <c r="AF15">
        <v>3.84479753657469E-2</v>
      </c>
      <c r="AG15">
        <f t="shared" si="26"/>
        <v>2.8769713866011459E-3</v>
      </c>
      <c r="AH15">
        <f t="shared" si="28"/>
        <v>-7.0635566766618751E-2</v>
      </c>
      <c r="AI15">
        <f t="shared" si="27"/>
        <v>4.9244785259053181E-2</v>
      </c>
      <c r="AJ15">
        <f t="shared" si="27"/>
        <v>2.148025174240864E-2</v>
      </c>
      <c r="AK15">
        <f t="shared" si="29"/>
        <v>9.1560180427308091E-4</v>
      </c>
      <c r="AL15">
        <f t="shared" si="30"/>
        <v>3.2292243120307109E-3</v>
      </c>
      <c r="AM15">
        <f t="shared" si="31"/>
        <v>1.3531070767644172E-5</v>
      </c>
      <c r="AN15">
        <f t="shared" si="32"/>
        <v>2.5204305780674312E-6</v>
      </c>
      <c r="AP15" t="s">
        <v>67</v>
      </c>
      <c r="AQ15">
        <v>-8.275602895976883</v>
      </c>
      <c r="AR15">
        <v>8.579731423831829</v>
      </c>
      <c r="AV15">
        <v>-5.1634986230709945</v>
      </c>
      <c r="AW15">
        <v>1.6141091723617336E-2</v>
      </c>
      <c r="AX15">
        <v>2.0163213590130347E-2</v>
      </c>
      <c r="AY15">
        <v>2.2827269962569376E-2</v>
      </c>
    </row>
    <row r="16" spans="1:51">
      <c r="A16" s="6">
        <v>14</v>
      </c>
      <c r="B16" s="7">
        <f t="shared" si="0"/>
        <v>38.318814011564335</v>
      </c>
      <c r="C16" s="7">
        <f t="shared" si="1"/>
        <v>1</v>
      </c>
      <c r="D16" s="7">
        <f t="shared" si="2"/>
        <v>6.1373685100633111</v>
      </c>
      <c r="E16" s="7">
        <f t="shared" si="3"/>
        <v>9.5421143746617165</v>
      </c>
      <c r="F16" s="7">
        <f t="shared" si="4"/>
        <v>9.5421143746617165</v>
      </c>
      <c r="G16" s="7">
        <f t="shared" si="5"/>
        <v>92.558661301218933</v>
      </c>
      <c r="H16" s="7">
        <f t="shared" si="6"/>
        <v>1</v>
      </c>
      <c r="I16" s="7">
        <f t="shared" si="7"/>
        <v>-0.93763391255682649</v>
      </c>
      <c r="J16" s="7">
        <f t="shared" si="8"/>
        <v>-8.591574213193347</v>
      </c>
      <c r="K16" s="7">
        <f t="shared" si="9"/>
        <v>1.354689283175063</v>
      </c>
      <c r="L16" s="7">
        <f t="shared" si="10"/>
        <v>87.443445651844826</v>
      </c>
      <c r="M16" s="7">
        <f t="shared" si="11"/>
        <v>1</v>
      </c>
      <c r="N16" s="7">
        <f t="shared" si="12"/>
        <v>-5.7538184962364118</v>
      </c>
      <c r="O16" s="7">
        <f t="shared" si="13"/>
        <v>4.0303175138017364</v>
      </c>
      <c r="P16" s="7">
        <f t="shared" si="14"/>
        <v>-8.4303084139958209</v>
      </c>
      <c r="Q16" s="7">
        <f t="shared" si="15"/>
        <v>2.4096831680198663</v>
      </c>
      <c r="R16" s="7">
        <f t="shared" si="16"/>
        <v>0.98398546693321642</v>
      </c>
      <c r="S16" s="7">
        <f t="shared" si="17"/>
        <v>1.4685105791992208</v>
      </c>
      <c r="T16" s="7">
        <f t="shared" si="18"/>
        <v>-0.41129302552895908</v>
      </c>
      <c r="U16" s="7">
        <f t="shared" si="19"/>
        <v>-12.092474707779182</v>
      </c>
      <c r="V16" s="7">
        <f t="shared" si="20"/>
        <v>0.28888830877442473</v>
      </c>
      <c r="W16" s="7">
        <f t="shared" si="21"/>
        <v>0.28111129152151437</v>
      </c>
      <c r="X16" s="7">
        <f t="shared" si="22"/>
        <v>-0.24771085231798207</v>
      </c>
      <c r="Y16" s="7">
        <f t="shared" si="23"/>
        <v>-4.3393611461778034</v>
      </c>
      <c r="Z16" s="7">
        <f t="shared" si="24"/>
        <v>9.7307730208754926</v>
      </c>
      <c r="AA16" s="7">
        <f t="shared" si="25"/>
        <v>0.66671582815131147</v>
      </c>
      <c r="AB16" s="7">
        <f t="shared" si="25"/>
        <v>0.2302035035633434</v>
      </c>
      <c r="AC16" s="7">
        <f t="shared" si="25"/>
        <v>0.10479355693726866</v>
      </c>
      <c r="AD16">
        <v>0.68790871012265198</v>
      </c>
      <c r="AE16">
        <v>0.25894601239861498</v>
      </c>
      <c r="AF16">
        <v>6.3388110834698502E-2</v>
      </c>
      <c r="AG16">
        <f t="shared" si="26"/>
        <v>2.9896810273496765E-3</v>
      </c>
      <c r="AH16">
        <f t="shared" si="28"/>
        <v>-8.5742183986974529E-2</v>
      </c>
      <c r="AI16">
        <f t="shared" si="27"/>
        <v>6.1095773456251834E-2</v>
      </c>
      <c r="AJ16">
        <f t="shared" si="27"/>
        <v>2.477171278245649E-2</v>
      </c>
      <c r="AK16">
        <f t="shared" si="29"/>
        <v>1.46206287493841E-3</v>
      </c>
      <c r="AL16">
        <f t="shared" si="30"/>
        <v>4.4570229906813787E-3</v>
      </c>
      <c r="AM16">
        <f t="shared" si="31"/>
        <v>1.4991157707600414E-6</v>
      </c>
      <c r="AN16">
        <f t="shared" si="32"/>
        <v>2.9339875338884378E-6</v>
      </c>
      <c r="AP16" t="s">
        <v>68</v>
      </c>
      <c r="AQ16">
        <v>4.9297735615237777</v>
      </c>
      <c r="AR16">
        <v>1.6994831292153469</v>
      </c>
      <c r="AV16">
        <v>1.8212362205896027</v>
      </c>
      <c r="AW16">
        <v>-0.4595878954031829</v>
      </c>
      <c r="AX16">
        <v>-1.1166458402593751</v>
      </c>
      <c r="AY16">
        <v>-1.1286395304414496</v>
      </c>
    </row>
    <row r="17" spans="1:54">
      <c r="A17" s="6">
        <v>15</v>
      </c>
      <c r="B17" s="7">
        <f t="shared" si="0"/>
        <v>40.54025599812276</v>
      </c>
      <c r="C17" s="7">
        <f t="shared" si="1"/>
        <v>1</v>
      </c>
      <c r="D17" s="7">
        <f t="shared" si="2"/>
        <v>6.1373685100633111</v>
      </c>
      <c r="E17" s="7">
        <f t="shared" si="3"/>
        <v>9.5421143746617165</v>
      </c>
      <c r="F17" s="7">
        <f t="shared" si="4"/>
        <v>9.5421143746617165</v>
      </c>
      <c r="G17" s="7">
        <f t="shared" si="5"/>
        <v>98.82332355741444</v>
      </c>
      <c r="H17" s="7">
        <f t="shared" si="6"/>
        <v>1</v>
      </c>
      <c r="I17" s="7">
        <f t="shared" si="7"/>
        <v>-0.93763391255682649</v>
      </c>
      <c r="J17" s="7">
        <f t="shared" si="8"/>
        <v>-8.591574213193347</v>
      </c>
      <c r="K17" s="7">
        <f t="shared" si="9"/>
        <v>1.354689283175063</v>
      </c>
      <c r="L17" s="7">
        <f t="shared" si="10"/>
        <v>93.469533302939467</v>
      </c>
      <c r="M17" s="7">
        <f t="shared" si="11"/>
        <v>1</v>
      </c>
      <c r="N17" s="7">
        <f t="shared" si="12"/>
        <v>-5.7538184962364118</v>
      </c>
      <c r="O17" s="7">
        <f t="shared" si="13"/>
        <v>4.0303175138017364</v>
      </c>
      <c r="P17" s="7">
        <f t="shared" si="14"/>
        <v>-8.4303084139958209</v>
      </c>
      <c r="Q17" s="7">
        <f t="shared" si="15"/>
        <v>2.3688257693540096</v>
      </c>
      <c r="R17" s="7">
        <f t="shared" si="16"/>
        <v>0.98263372916298541</v>
      </c>
      <c r="S17" s="7">
        <f t="shared" si="17"/>
        <v>1.4664998028595098</v>
      </c>
      <c r="T17" s="7">
        <f t="shared" si="18"/>
        <v>-0.42151842582115151</v>
      </c>
      <c r="U17" s="7">
        <f t="shared" si="19"/>
        <v>-12.080383156983162</v>
      </c>
      <c r="V17" s="7">
        <f t="shared" si="20"/>
        <v>7.4838080548245145E-2</v>
      </c>
      <c r="W17" s="7">
        <f t="shared" si="21"/>
        <v>7.4698676677744671E-2</v>
      </c>
      <c r="X17" s="7">
        <f t="shared" si="22"/>
        <v>-0.34216795755911034</v>
      </c>
      <c r="Y17" s="7">
        <f t="shared" si="23"/>
        <v>-4.2599425077567226</v>
      </c>
      <c r="Z17" s="7">
        <f t="shared" si="24"/>
        <v>9.7461028473976317</v>
      </c>
      <c r="AA17" s="7">
        <f t="shared" si="25"/>
        <v>0.57024794657047218</v>
      </c>
      <c r="AB17" s="7">
        <f t="shared" si="25"/>
        <v>0.29939674169223185</v>
      </c>
      <c r="AC17" s="7">
        <f t="shared" si="25"/>
        <v>0.13221493425542796</v>
      </c>
      <c r="AD17">
        <v>0.59497831839092707</v>
      </c>
      <c r="AE17">
        <v>0.33076845698165103</v>
      </c>
      <c r="AF17">
        <v>7.3720662375898097E-2</v>
      </c>
      <c r="AG17">
        <f t="shared" si="26"/>
        <v>5.0173556532946851E-3</v>
      </c>
      <c r="AH17">
        <f t="shared" si="28"/>
        <v>-9.6467881580839299E-2</v>
      </c>
      <c r="AI17">
        <f t="shared" si="27"/>
        <v>6.9193238128888446E-2</v>
      </c>
      <c r="AJ17">
        <f t="shared" si="27"/>
        <v>2.7421377318159301E-2</v>
      </c>
      <c r="AK17">
        <f t="shared" si="29"/>
        <v>1.9345828835626827E-3</v>
      </c>
      <c r="AL17">
        <f t="shared" si="30"/>
        <v>4.9131894880450524E-3</v>
      </c>
      <c r="AM17">
        <f t="shared" si="31"/>
        <v>7.0604246712000772E-6</v>
      </c>
      <c r="AN17">
        <f t="shared" si="32"/>
        <v>3.4581959099435524E-6</v>
      </c>
      <c r="AP17" t="s">
        <v>69</v>
      </c>
      <c r="AQ17">
        <v>-3.5750842783487147</v>
      </c>
      <c r="AR17">
        <v>-0.27470773900536993</v>
      </c>
      <c r="AV17">
        <v>-1.2580319810071363</v>
      </c>
      <c r="AW17">
        <v>-3.3406902819697404E-3</v>
      </c>
      <c r="AX17">
        <v>-3.4576139822131129E-3</v>
      </c>
      <c r="AY17">
        <v>-3.4707999571624054E-3</v>
      </c>
    </row>
    <row r="18" spans="1:54">
      <c r="A18" s="6">
        <v>16</v>
      </c>
      <c r="B18" s="7">
        <f t="shared" si="0"/>
        <v>42.761697984681177</v>
      </c>
      <c r="C18" s="7">
        <f t="shared" si="1"/>
        <v>1</v>
      </c>
      <c r="D18" s="7">
        <f t="shared" si="2"/>
        <v>6.1373685100633111</v>
      </c>
      <c r="E18" s="7">
        <f t="shared" si="3"/>
        <v>9.5421143746617165</v>
      </c>
      <c r="F18" s="7">
        <f t="shared" si="4"/>
        <v>9.5421143746617165</v>
      </c>
      <c r="G18" s="7">
        <f t="shared" si="5"/>
        <v>105.08798581360995</v>
      </c>
      <c r="H18" s="7">
        <f t="shared" si="6"/>
        <v>1</v>
      </c>
      <c r="I18" s="7">
        <f t="shared" si="7"/>
        <v>-0.93763391255682649</v>
      </c>
      <c r="J18" s="7">
        <f t="shared" si="8"/>
        <v>-8.591574213193347</v>
      </c>
      <c r="K18" s="7">
        <f t="shared" si="9"/>
        <v>1.354689283175063</v>
      </c>
      <c r="L18" s="7">
        <f t="shared" si="10"/>
        <v>99.495620954034109</v>
      </c>
      <c r="M18" s="7">
        <f t="shared" si="11"/>
        <v>1</v>
      </c>
      <c r="N18" s="7">
        <f t="shared" si="12"/>
        <v>-5.7538184962364118</v>
      </c>
      <c r="O18" s="7">
        <f t="shared" si="13"/>
        <v>4.0303175138017364</v>
      </c>
      <c r="P18" s="7">
        <f t="shared" si="14"/>
        <v>-8.4303084139958209</v>
      </c>
      <c r="Q18" s="7">
        <f t="shared" si="15"/>
        <v>2.3279683706881524</v>
      </c>
      <c r="R18" s="7">
        <f t="shared" si="16"/>
        <v>0.9811689782846732</v>
      </c>
      <c r="S18" s="7">
        <f t="shared" si="17"/>
        <v>1.4643209139695605</v>
      </c>
      <c r="T18" s="7">
        <f t="shared" si="18"/>
        <v>-0.4325987288125539</v>
      </c>
      <c r="U18" s="7">
        <f t="shared" si="19"/>
        <v>-12.067280682495378</v>
      </c>
      <c r="V18" s="7">
        <f t="shared" si="20"/>
        <v>-0.13921214767793488</v>
      </c>
      <c r="W18" s="7">
        <f t="shared" si="21"/>
        <v>-0.13831975339073027</v>
      </c>
      <c r="X18" s="7">
        <f t="shared" si="22"/>
        <v>-0.43964797002107731</v>
      </c>
      <c r="Y18" s="7">
        <f t="shared" si="23"/>
        <v>-4.1779822376083162</v>
      </c>
      <c r="Z18" s="7">
        <f t="shared" si="24"/>
        <v>9.7619232737869766</v>
      </c>
      <c r="AA18" s="7">
        <f t="shared" si="25"/>
        <v>0.47058904521855599</v>
      </c>
      <c r="AB18" s="7">
        <f t="shared" si="25"/>
        <v>0.3702767088492358</v>
      </c>
      <c r="AC18" s="7">
        <f t="shared" si="25"/>
        <v>0.16113783513255697</v>
      </c>
      <c r="AD18">
        <v>0.48898600704502004</v>
      </c>
      <c r="AE18">
        <v>0.40789980280525601</v>
      </c>
      <c r="AF18">
        <v>9.9755417736937704E-2</v>
      </c>
      <c r="AG18">
        <f t="shared" si="26"/>
        <v>5.5217465685979223E-3</v>
      </c>
      <c r="AH18">
        <f t="shared" si="28"/>
        <v>-9.9658901351916185E-2</v>
      </c>
      <c r="AI18">
        <f t="shared" si="27"/>
        <v>7.0879967157003954E-2</v>
      </c>
      <c r="AJ18">
        <f t="shared" si="27"/>
        <v>2.892290087712901E-2</v>
      </c>
      <c r="AK18">
        <f t="shared" si="29"/>
        <v>2.1591136392683972E-3</v>
      </c>
      <c r="AL18">
        <f t="shared" si="30"/>
        <v>4.0450227512822063E-3</v>
      </c>
      <c r="AM18">
        <f t="shared" si="31"/>
        <v>6.674208923900901E-5</v>
      </c>
      <c r="AN18">
        <f t="shared" si="32"/>
        <v>4.0143696837539824E-6</v>
      </c>
      <c r="AP18" t="s">
        <v>81</v>
      </c>
      <c r="AQ18">
        <v>6.0260876510946382</v>
      </c>
      <c r="AR18">
        <v>1.3125896574989429</v>
      </c>
      <c r="AV18">
        <v>-8.928918630720363E-2</v>
      </c>
      <c r="AW18">
        <v>0.19820491028290049</v>
      </c>
      <c r="AX18">
        <v>0.17422660331224202</v>
      </c>
      <c r="AY18">
        <v>0.1718440799582758</v>
      </c>
    </row>
    <row r="19" spans="1:54">
      <c r="A19" s="6">
        <v>17</v>
      </c>
      <c r="B19" s="7">
        <f t="shared" si="0"/>
        <v>44.983139971239595</v>
      </c>
      <c r="C19" s="7">
        <f t="shared" si="1"/>
        <v>1</v>
      </c>
      <c r="D19" s="7">
        <f t="shared" si="2"/>
        <v>6.1373685100633111</v>
      </c>
      <c r="E19" s="7">
        <f t="shared" si="3"/>
        <v>9.5421143746617165</v>
      </c>
      <c r="F19" s="7">
        <f t="shared" si="4"/>
        <v>9.5421143746617165</v>
      </c>
      <c r="G19" s="7">
        <f t="shared" si="5"/>
        <v>111.35264806980545</v>
      </c>
      <c r="H19" s="7">
        <f t="shared" si="6"/>
        <v>1</v>
      </c>
      <c r="I19" s="7">
        <f t="shared" si="7"/>
        <v>-0.93763391255682649</v>
      </c>
      <c r="J19" s="7">
        <f t="shared" si="8"/>
        <v>-8.591574213193347</v>
      </c>
      <c r="K19" s="7">
        <f t="shared" si="9"/>
        <v>1.354689283175063</v>
      </c>
      <c r="L19" s="7">
        <f t="shared" si="10"/>
        <v>105.52170860512875</v>
      </c>
      <c r="M19" s="7">
        <f t="shared" si="11"/>
        <v>1</v>
      </c>
      <c r="N19" s="7">
        <f t="shared" si="12"/>
        <v>-5.7538184962364118</v>
      </c>
      <c r="O19" s="7">
        <f t="shared" si="13"/>
        <v>4.0303175138017364</v>
      </c>
      <c r="P19" s="7">
        <f t="shared" si="14"/>
        <v>-8.4303084139958209</v>
      </c>
      <c r="Q19" s="7">
        <f t="shared" si="15"/>
        <v>2.2871109720222957</v>
      </c>
      <c r="R19" s="7">
        <f t="shared" si="16"/>
        <v>0.97958195591283481</v>
      </c>
      <c r="S19" s="7">
        <f t="shared" si="17"/>
        <v>1.4619601402261895</v>
      </c>
      <c r="T19" s="7">
        <f t="shared" si="18"/>
        <v>-0.44460397079224556</v>
      </c>
      <c r="U19" s="7">
        <f t="shared" si="19"/>
        <v>-12.053084466301593</v>
      </c>
      <c r="V19" s="7">
        <f t="shared" si="20"/>
        <v>-0.35326237590411491</v>
      </c>
      <c r="W19" s="7">
        <f t="shared" si="21"/>
        <v>-0.33926560551975521</v>
      </c>
      <c r="X19" s="7">
        <f t="shared" si="22"/>
        <v>-0.53160341332906369</v>
      </c>
      <c r="Y19" s="7">
        <f t="shared" si="23"/>
        <v>-4.1006669728192433</v>
      </c>
      <c r="Z19" s="7">
        <f t="shared" si="24"/>
        <v>9.7768470954526858</v>
      </c>
      <c r="AA19" s="7">
        <f t="shared" si="25"/>
        <v>0.37627282816719854</v>
      </c>
      <c r="AB19" s="7">
        <f t="shared" si="25"/>
        <v>0.43558673165861705</v>
      </c>
      <c r="AC19" s="7">
        <f t="shared" si="25"/>
        <v>0.19025787299205099</v>
      </c>
      <c r="AD19">
        <v>0.39651123517081099</v>
      </c>
      <c r="AE19">
        <v>0.47372642816447597</v>
      </c>
      <c r="AF19">
        <v>0.13353312106332502</v>
      </c>
      <c r="AG19">
        <f t="shared" si="26"/>
        <v>5.0819270489783977E-3</v>
      </c>
      <c r="AH19">
        <f t="shared" si="28"/>
        <v>-9.4316217051357454E-2</v>
      </c>
      <c r="AI19">
        <f t="shared" si="28"/>
        <v>6.5310022809381252E-2</v>
      </c>
      <c r="AJ19">
        <f t="shared" si="28"/>
        <v>2.9120037859494019E-2</v>
      </c>
      <c r="AK19">
        <f t="shared" si="29"/>
        <v>1.9556146697501608E-3</v>
      </c>
      <c r="AL19">
        <f t="shared" si="30"/>
        <v>2.3560810452920946E-3</v>
      </c>
      <c r="AM19">
        <f t="shared" si="31"/>
        <v>1.9483718196225104E-4</v>
      </c>
      <c r="AN19">
        <f t="shared" si="32"/>
        <v>4.4835217381784159E-6</v>
      </c>
      <c r="AP19" t="s">
        <v>82</v>
      </c>
      <c r="AQ19">
        <v>3.0782185365199028</v>
      </c>
      <c r="AR19">
        <v>3.0642468078253877</v>
      </c>
      <c r="AV19">
        <v>1.3590206160036671</v>
      </c>
      <c r="AW19">
        <v>-3.0737312434095121</v>
      </c>
      <c r="AX19">
        <v>-2.5704451877485792</v>
      </c>
      <c r="AY19">
        <v>-2.5247126231796022</v>
      </c>
    </row>
    <row r="20" spans="1:54">
      <c r="A20" s="6">
        <v>18</v>
      </c>
      <c r="B20" s="7">
        <f t="shared" si="0"/>
        <v>47.20458195779802</v>
      </c>
      <c r="C20" s="7">
        <f t="shared" si="1"/>
        <v>1</v>
      </c>
      <c r="D20" s="7">
        <f t="shared" si="2"/>
        <v>6.1373685100633111</v>
      </c>
      <c r="E20" s="7">
        <f t="shared" si="3"/>
        <v>9.5421143746617165</v>
      </c>
      <c r="F20" s="7">
        <f t="shared" si="4"/>
        <v>9.5421143746617165</v>
      </c>
      <c r="G20" s="7">
        <f t="shared" si="5"/>
        <v>117.61731032600096</v>
      </c>
      <c r="H20" s="7">
        <f t="shared" si="6"/>
        <v>1</v>
      </c>
      <c r="I20" s="7">
        <f t="shared" si="7"/>
        <v>-0.93763391255682649</v>
      </c>
      <c r="J20" s="7">
        <f t="shared" si="8"/>
        <v>-8.591574213193347</v>
      </c>
      <c r="K20" s="7">
        <f t="shared" si="9"/>
        <v>1.354689283175063</v>
      </c>
      <c r="L20" s="7">
        <f t="shared" si="10"/>
        <v>111.54779625622339</v>
      </c>
      <c r="M20" s="7">
        <f t="shared" si="11"/>
        <v>1</v>
      </c>
      <c r="N20" s="7">
        <f t="shared" si="12"/>
        <v>-5.7538184962364118</v>
      </c>
      <c r="O20" s="7">
        <f t="shared" si="13"/>
        <v>4.0303175138017364</v>
      </c>
      <c r="P20" s="7">
        <f t="shared" si="14"/>
        <v>-8.4303084139958209</v>
      </c>
      <c r="Q20" s="7">
        <f t="shared" si="15"/>
        <v>2.246253573356439</v>
      </c>
      <c r="R20" s="7">
        <f t="shared" si="16"/>
        <v>0.97786267852614284</v>
      </c>
      <c r="S20" s="7">
        <f t="shared" si="17"/>
        <v>1.4594026306509635</v>
      </c>
      <c r="T20" s="7">
        <f t="shared" si="18"/>
        <v>-0.45760967343621051</v>
      </c>
      <c r="U20" s="7">
        <f t="shared" si="19"/>
        <v>-12.037705203909537</v>
      </c>
      <c r="V20" s="7">
        <f t="shared" si="20"/>
        <v>-0.5673126041302945</v>
      </c>
      <c r="W20" s="7">
        <f t="shared" si="21"/>
        <v>-0.51338290907951778</v>
      </c>
      <c r="X20" s="7">
        <f t="shared" si="22"/>
        <v>-0.61128176282865287</v>
      </c>
      <c r="Y20" s="7">
        <f t="shared" si="23"/>
        <v>-4.0336741720898281</v>
      </c>
      <c r="Z20" s="7">
        <f t="shared" si="24"/>
        <v>9.7897784177950431</v>
      </c>
      <c r="AA20" s="7">
        <f t="shared" si="25"/>
        <v>0.29403696909238342</v>
      </c>
      <c r="AB20" s="7">
        <f t="shared" si="25"/>
        <v>0.48957382974406727</v>
      </c>
      <c r="AC20" s="7">
        <f t="shared" si="25"/>
        <v>0.21856845772646416</v>
      </c>
      <c r="AD20">
        <v>0.31251275507811599</v>
      </c>
      <c r="AE20">
        <v>0.52750319456345507</v>
      </c>
      <c r="AF20">
        <v>0.171732007304878</v>
      </c>
      <c r="AG20">
        <f t="shared" si="26"/>
        <v>3.9736444714865028E-3</v>
      </c>
      <c r="AH20">
        <f t="shared" si="28"/>
        <v>-8.2235859074815121E-2</v>
      </c>
      <c r="AI20">
        <f t="shared" si="28"/>
        <v>5.3987098085450214E-2</v>
      </c>
      <c r="AJ20">
        <f t="shared" si="28"/>
        <v>2.8310584734413169E-2</v>
      </c>
      <c r="AK20">
        <f t="shared" si="29"/>
        <v>1.464756553489293E-3</v>
      </c>
      <c r="AL20">
        <f t="shared" si="30"/>
        <v>7.6992757823771531E-4</v>
      </c>
      <c r="AM20">
        <f t="shared" si="31"/>
        <v>3.8643962208342745E-4</v>
      </c>
      <c r="AN20">
        <f t="shared" si="32"/>
        <v>4.74915916700742E-6</v>
      </c>
      <c r="AP20" t="s">
        <v>83</v>
      </c>
      <c r="AQ20">
        <v>0.96538927562673948</v>
      </c>
      <c r="AR20">
        <v>4.4064075425088483</v>
      </c>
      <c r="AV20">
        <v>-4.7448828147313113</v>
      </c>
      <c r="AW20">
        <v>-0.48192085850192568</v>
      </c>
      <c r="AX20">
        <v>-0.73044302214574686</v>
      </c>
      <c r="AY20">
        <v>-0.76253811853295927</v>
      </c>
    </row>
    <row r="21" spans="1:54">
      <c r="A21" s="6">
        <v>19</v>
      </c>
      <c r="B21" s="7">
        <f t="shared" si="0"/>
        <v>49.426023944356437</v>
      </c>
      <c r="C21" s="7">
        <f t="shared" si="1"/>
        <v>1</v>
      </c>
      <c r="D21" s="7">
        <f t="shared" si="2"/>
        <v>6.1373685100633111</v>
      </c>
      <c r="E21" s="7">
        <f t="shared" si="3"/>
        <v>9.5421143746617165</v>
      </c>
      <c r="F21" s="7">
        <f t="shared" si="4"/>
        <v>9.5421143746617165</v>
      </c>
      <c r="G21" s="7">
        <f t="shared" si="5"/>
        <v>123.88197258219648</v>
      </c>
      <c r="H21" s="7">
        <f t="shared" si="6"/>
        <v>1</v>
      </c>
      <c r="I21" s="7">
        <f t="shared" si="7"/>
        <v>-0.93763391255682649</v>
      </c>
      <c r="J21" s="7">
        <f t="shared" si="8"/>
        <v>-8.591574213193347</v>
      </c>
      <c r="K21" s="7">
        <f t="shared" si="9"/>
        <v>1.354689283175063</v>
      </c>
      <c r="L21" s="7">
        <f t="shared" si="10"/>
        <v>117.57388390731802</v>
      </c>
      <c r="M21" s="7">
        <f t="shared" si="11"/>
        <v>1</v>
      </c>
      <c r="N21" s="7">
        <f t="shared" si="12"/>
        <v>-5.7538184962364118</v>
      </c>
      <c r="O21" s="7">
        <f t="shared" si="13"/>
        <v>4.0303175138017364</v>
      </c>
      <c r="P21" s="7">
        <f t="shared" si="14"/>
        <v>-8.4303084139958209</v>
      </c>
      <c r="Q21" s="7">
        <f t="shared" si="15"/>
        <v>2.2053961746905819</v>
      </c>
      <c r="R21" s="7">
        <f t="shared" si="16"/>
        <v>0.97600038653622667</v>
      </c>
      <c r="S21" s="7">
        <f t="shared" si="17"/>
        <v>1.456632379827598</v>
      </c>
      <c r="T21" s="7">
        <f t="shared" si="18"/>
        <v>-0.47169722908288136</v>
      </c>
      <c r="U21" s="7">
        <f t="shared" si="19"/>
        <v>-12.021046648760011</v>
      </c>
      <c r="V21" s="7">
        <f t="shared" si="20"/>
        <v>-0.78136283235647497</v>
      </c>
      <c r="W21" s="7">
        <f t="shared" si="21"/>
        <v>-0.65348824055881127</v>
      </c>
      <c r="X21" s="7">
        <f t="shared" si="22"/>
        <v>-0.67539579021210194</v>
      </c>
      <c r="Y21" s="7">
        <f t="shared" si="23"/>
        <v>-3.9797677058109064</v>
      </c>
      <c r="Z21" s="7">
        <f t="shared" si="24"/>
        <v>9.8001837432061372</v>
      </c>
      <c r="AA21" s="7">
        <f t="shared" si="25"/>
        <v>0.22715269088556878</v>
      </c>
      <c r="AB21" s="7">
        <f t="shared" si="25"/>
        <v>0.52939274037631812</v>
      </c>
      <c r="AC21" s="7">
        <f t="shared" si="25"/>
        <v>0.2456323382870842</v>
      </c>
      <c r="AD21">
        <v>0.23552071001902899</v>
      </c>
      <c r="AE21">
        <v>0.55793614971574401</v>
      </c>
      <c r="AF21">
        <v>0.208737490794312</v>
      </c>
      <c r="AG21">
        <f t="shared" si="26"/>
        <v>2.2459797324509007E-3</v>
      </c>
      <c r="AH21">
        <f t="shared" si="28"/>
        <v>-6.688427820681464E-2</v>
      </c>
      <c r="AI21">
        <f t="shared" si="28"/>
        <v>3.9818910632250848E-2</v>
      </c>
      <c r="AJ21">
        <f t="shared" si="28"/>
        <v>2.7063880560620035E-2</v>
      </c>
      <c r="AK21">
        <f t="shared" si="29"/>
        <v>1.0137954405938811E-3</v>
      </c>
      <c r="AL21">
        <f t="shared" si="30"/>
        <v>5.6811045992576835E-5</v>
      </c>
      <c r="AM21">
        <f t="shared" si="31"/>
        <v>5.6037310845582231E-4</v>
      </c>
      <c r="AN21">
        <f t="shared" si="32"/>
        <v>4.7426802084257312E-6</v>
      </c>
      <c r="AP21" t="s">
        <v>84</v>
      </c>
      <c r="AQ21">
        <v>-6.7192077718631511</v>
      </c>
      <c r="AR21">
        <v>7.1542313646184947</v>
      </c>
      <c r="AV21">
        <v>3.9249102036149544</v>
      </c>
      <c r="AW21">
        <v>6.7675242947319872E-2</v>
      </c>
      <c r="AX21">
        <v>0.17132877135125008</v>
      </c>
      <c r="AY21">
        <v>0.30649172933208901</v>
      </c>
    </row>
    <row r="22" spans="1:54">
      <c r="A22" s="6">
        <v>20</v>
      </c>
      <c r="B22" s="7">
        <f t="shared" si="0"/>
        <v>51.647465930914862</v>
      </c>
      <c r="C22" s="7">
        <f t="shared" si="1"/>
        <v>1</v>
      </c>
      <c r="D22" s="7">
        <f t="shared" si="2"/>
        <v>6.1373685100633111</v>
      </c>
      <c r="E22" s="7">
        <f t="shared" si="3"/>
        <v>9.5421143746617165</v>
      </c>
      <c r="F22" s="7">
        <f t="shared" si="4"/>
        <v>9.5421143746617165</v>
      </c>
      <c r="G22" s="7">
        <f t="shared" si="5"/>
        <v>130.14663483839198</v>
      </c>
      <c r="H22" s="7">
        <f t="shared" si="6"/>
        <v>1</v>
      </c>
      <c r="I22" s="7">
        <f t="shared" si="7"/>
        <v>-0.93763391255682649</v>
      </c>
      <c r="J22" s="7">
        <f t="shared" si="8"/>
        <v>-8.591574213193347</v>
      </c>
      <c r="K22" s="7">
        <f t="shared" si="9"/>
        <v>1.354689283175063</v>
      </c>
      <c r="L22" s="7">
        <f t="shared" si="10"/>
        <v>123.59997155841266</v>
      </c>
      <c r="M22" s="7">
        <f t="shared" si="11"/>
        <v>1</v>
      </c>
      <c r="N22" s="7">
        <f t="shared" si="12"/>
        <v>-5.7538184962364118</v>
      </c>
      <c r="O22" s="7">
        <f t="shared" si="13"/>
        <v>4.0303175138017364</v>
      </c>
      <c r="P22" s="7">
        <f t="shared" si="14"/>
        <v>-8.4303084139958209</v>
      </c>
      <c r="Q22" s="7">
        <f t="shared" si="15"/>
        <v>2.1645387760247248</v>
      </c>
      <c r="R22" s="7">
        <f t="shared" si="16"/>
        <v>0.97398349082975522</v>
      </c>
      <c r="S22" s="7">
        <f t="shared" si="17"/>
        <v>1.4536321483806773</v>
      </c>
      <c r="T22" s="7">
        <f t="shared" si="18"/>
        <v>-0.48695430512267457</v>
      </c>
      <c r="U22" s="7">
        <f t="shared" si="19"/>
        <v>-12.003005134035668</v>
      </c>
      <c r="V22" s="7">
        <f t="shared" si="20"/>
        <v>-0.99541306058265455</v>
      </c>
      <c r="W22" s="7">
        <f t="shared" si="21"/>
        <v>-0.75966101945919784</v>
      </c>
      <c r="X22" s="7">
        <f t="shared" si="22"/>
        <v>-0.72398183887936718</v>
      </c>
      <c r="Y22" s="7">
        <f t="shared" si="23"/>
        <v>-3.9389170167964136</v>
      </c>
      <c r="Z22" s="7">
        <f t="shared" si="24"/>
        <v>9.8080689700036778</v>
      </c>
      <c r="AA22" s="7">
        <f t="shared" si="25"/>
        <v>0.17556641077138291</v>
      </c>
      <c r="AB22" s="7">
        <f t="shared" si="25"/>
        <v>0.55498635335101776</v>
      </c>
      <c r="AC22" s="7">
        <f t="shared" si="25"/>
        <v>0.27155907980896821</v>
      </c>
      <c r="AD22">
        <v>0.188024971201353</v>
      </c>
      <c r="AE22">
        <v>0.5772776209197521</v>
      </c>
      <c r="AF22">
        <v>0.245867937524964</v>
      </c>
      <c r="AG22">
        <f t="shared" si="26"/>
        <v>1.3121511296650731E-3</v>
      </c>
      <c r="AH22">
        <f t="shared" si="28"/>
        <v>-5.1586280114185867E-2</v>
      </c>
      <c r="AI22">
        <f t="shared" si="28"/>
        <v>2.5593612974699642E-2</v>
      </c>
      <c r="AJ22">
        <f t="shared" si="28"/>
        <v>2.5926741521884011E-2</v>
      </c>
      <c r="AK22">
        <f t="shared" si="29"/>
        <v>5.1254215637609778E-4</v>
      </c>
      <c r="AL22">
        <f t="shared" si="30"/>
        <v>1.1631039207842772E-4</v>
      </c>
      <c r="AM22">
        <f t="shared" si="31"/>
        <v>7.0586725189241274E-4</v>
      </c>
      <c r="AN22">
        <f t="shared" si="32"/>
        <v>4.4598847904600062E-6</v>
      </c>
      <c r="AP22" t="s">
        <v>85</v>
      </c>
      <c r="AQ22">
        <v>9.3911736225420501</v>
      </c>
      <c r="AR22">
        <v>-5.3242286821337208</v>
      </c>
      <c r="AV22">
        <v>0.47532114472736725</v>
      </c>
      <c r="AW22">
        <v>0.45196789995576114</v>
      </c>
      <c r="AX22">
        <v>0.74392550607767149</v>
      </c>
      <c r="AY22">
        <v>0.76948358941693829</v>
      </c>
    </row>
    <row r="23" spans="1:54">
      <c r="A23" s="6">
        <v>21</v>
      </c>
      <c r="B23" s="7">
        <f t="shared" si="0"/>
        <v>53.86890791747328</v>
      </c>
      <c r="C23" s="7">
        <f t="shared" si="1"/>
        <v>1</v>
      </c>
      <c r="D23" s="7">
        <f t="shared" si="2"/>
        <v>6.1373685100633111</v>
      </c>
      <c r="E23" s="7">
        <f t="shared" si="3"/>
        <v>9.5421143746617165</v>
      </c>
      <c r="F23" s="7">
        <f t="shared" si="4"/>
        <v>9.5421143746617165</v>
      </c>
      <c r="G23" s="7">
        <f t="shared" si="5"/>
        <v>136.4112970945875</v>
      </c>
      <c r="H23" s="7">
        <f t="shared" si="6"/>
        <v>1</v>
      </c>
      <c r="I23" s="7">
        <f t="shared" si="7"/>
        <v>-0.93763391255682649</v>
      </c>
      <c r="J23" s="7">
        <f t="shared" si="8"/>
        <v>-8.591574213193347</v>
      </c>
      <c r="K23" s="7">
        <f t="shared" si="9"/>
        <v>1.354689283175063</v>
      </c>
      <c r="L23" s="7">
        <f t="shared" si="10"/>
        <v>129.6260592095073</v>
      </c>
      <c r="M23" s="7">
        <f t="shared" si="11"/>
        <v>1</v>
      </c>
      <c r="N23" s="7">
        <f t="shared" si="12"/>
        <v>-5.7538184962364118</v>
      </c>
      <c r="O23" s="7">
        <f t="shared" si="13"/>
        <v>4.0303175138017364</v>
      </c>
      <c r="P23" s="7">
        <f t="shared" si="14"/>
        <v>-8.4303084139958209</v>
      </c>
      <c r="Q23" s="7">
        <f t="shared" si="15"/>
        <v>2.1236813773588681</v>
      </c>
      <c r="R23" s="7">
        <f t="shared" si="16"/>
        <v>0.97179951686064203</v>
      </c>
      <c r="S23" s="7">
        <f t="shared" si="17"/>
        <v>1.450383379810064</v>
      </c>
      <c r="T23" s="7">
        <f t="shared" si="18"/>
        <v>-0.50347526691994293</v>
      </c>
      <c r="U23" s="7">
        <f t="shared" si="19"/>
        <v>-11.98346907255519</v>
      </c>
      <c r="V23" s="7">
        <f t="shared" si="20"/>
        <v>-1.2094632888088341</v>
      </c>
      <c r="W23" s="7">
        <f t="shared" si="21"/>
        <v>-0.83651842088572104</v>
      </c>
      <c r="X23" s="7">
        <f t="shared" si="22"/>
        <v>-0.75915278839037215</v>
      </c>
      <c r="Y23" s="7">
        <f t="shared" si="23"/>
        <v>-3.9093456159472124</v>
      </c>
      <c r="Z23" s="7">
        <f t="shared" si="24"/>
        <v>9.8137770059766858</v>
      </c>
      <c r="AA23" s="7">
        <f t="shared" si="25"/>
        <v>0.13714669268976465</v>
      </c>
      <c r="AB23" s="7">
        <f t="shared" si="25"/>
        <v>0.56803679240295057</v>
      </c>
      <c r="AC23" s="7">
        <f t="shared" si="25"/>
        <v>0.2968031772624542</v>
      </c>
      <c r="AD23">
        <v>0.137907399961987</v>
      </c>
      <c r="AE23">
        <v>0.57947852857229998</v>
      </c>
      <c r="AF23">
        <v>0.28965693379235602</v>
      </c>
      <c r="AG23">
        <f t="shared" si="26"/>
        <v>1.825607978569312E-4</v>
      </c>
      <c r="AH23">
        <f t="shared" si="28"/>
        <v>-3.8419718081618259E-2</v>
      </c>
      <c r="AI23">
        <f t="shared" si="28"/>
        <v>1.3050439051932816E-2</v>
      </c>
      <c r="AJ23">
        <f t="shared" si="28"/>
        <v>2.5244097453485992E-2</v>
      </c>
      <c r="AK23">
        <f t="shared" si="29"/>
        <v>2.9267013412648013E-4</v>
      </c>
      <c r="AL23">
        <f t="shared" si="30"/>
        <v>5.6676015434728086E-4</v>
      </c>
      <c r="AM23">
        <f t="shared" si="31"/>
        <v>7.5355446935492572E-4</v>
      </c>
      <c r="AN23">
        <f t="shared" si="32"/>
        <v>3.9468273134473142E-6</v>
      </c>
      <c r="AP23" t="s">
        <v>86</v>
      </c>
      <c r="AQ23">
        <v>-5.3608561087403137</v>
      </c>
      <c r="AR23">
        <v>6.8603842297015829</v>
      </c>
      <c r="AV23">
        <v>1.7605231609365932</v>
      </c>
      <c r="AW23">
        <v>5.4982082298761295E-2</v>
      </c>
      <c r="AX23">
        <v>9.4786352285014266E-2</v>
      </c>
      <c r="AY23">
        <v>0.14883200617185688</v>
      </c>
    </row>
    <row r="24" spans="1:54">
      <c r="A24" s="6">
        <v>22</v>
      </c>
      <c r="B24" s="7">
        <f t="shared" si="0"/>
        <v>56.090349904031697</v>
      </c>
      <c r="C24" s="7">
        <f t="shared" si="1"/>
        <v>1</v>
      </c>
      <c r="D24" s="7">
        <f t="shared" si="2"/>
        <v>6.1373685100633111</v>
      </c>
      <c r="E24" s="7">
        <f t="shared" si="3"/>
        <v>9.5421143746617165</v>
      </c>
      <c r="F24" s="7">
        <f t="shared" si="4"/>
        <v>9.5421143746617165</v>
      </c>
      <c r="G24" s="7">
        <f t="shared" si="5"/>
        <v>142.67595935078302</v>
      </c>
      <c r="H24" s="7">
        <f t="shared" si="6"/>
        <v>1</v>
      </c>
      <c r="I24" s="7">
        <f t="shared" si="7"/>
        <v>-0.93763391255682649</v>
      </c>
      <c r="J24" s="7">
        <f t="shared" si="8"/>
        <v>-8.591574213193347</v>
      </c>
      <c r="K24" s="7">
        <f t="shared" si="9"/>
        <v>1.354689283175063</v>
      </c>
      <c r="L24" s="7">
        <f t="shared" si="10"/>
        <v>135.65214686060193</v>
      </c>
      <c r="M24" s="7">
        <f t="shared" si="11"/>
        <v>1</v>
      </c>
      <c r="N24" s="7">
        <f t="shared" si="12"/>
        <v>-5.7538184962364118</v>
      </c>
      <c r="O24" s="7">
        <f t="shared" si="13"/>
        <v>4.0303175138017364</v>
      </c>
      <c r="P24" s="7">
        <f t="shared" si="14"/>
        <v>-8.4303084139958209</v>
      </c>
      <c r="Q24" s="7">
        <f t="shared" si="15"/>
        <v>2.0828239786930114</v>
      </c>
      <c r="R24" s="7">
        <f t="shared" si="16"/>
        <v>0.9694350464199627</v>
      </c>
      <c r="S24" s="7">
        <f t="shared" si="17"/>
        <v>1.4468661138707899</v>
      </c>
      <c r="T24" s="7">
        <f t="shared" si="18"/>
        <v>-0.52136161830218697</v>
      </c>
      <c r="U24" s="7">
        <f t="shared" si="19"/>
        <v>-11.962318435894149</v>
      </c>
      <c r="V24" s="7">
        <f t="shared" si="20"/>
        <v>-1.4235135170350146</v>
      </c>
      <c r="W24" s="7">
        <f t="shared" si="21"/>
        <v>-0.89032960557230967</v>
      </c>
      <c r="X24" s="7">
        <f t="shared" si="22"/>
        <v>-0.78377748847925977</v>
      </c>
      <c r="Y24" s="7">
        <f t="shared" si="23"/>
        <v>-3.8886414016099793</v>
      </c>
      <c r="Z24" s="7">
        <f t="shared" si="24"/>
        <v>9.8177734483783308</v>
      </c>
      <c r="AA24" s="7">
        <f t="shared" si="25"/>
        <v>0.10900472666160288</v>
      </c>
      <c r="AB24" s="7">
        <f t="shared" si="25"/>
        <v>0.57085465535793967</v>
      </c>
      <c r="AC24" s="7">
        <f t="shared" si="25"/>
        <v>0.32195025632513996</v>
      </c>
      <c r="AD24">
        <v>9.9076317792327895E-2</v>
      </c>
      <c r="AE24">
        <v>0.57261055388682602</v>
      </c>
      <c r="AF24">
        <v>0.33141838551950203</v>
      </c>
      <c r="AG24">
        <f t="shared" si="26"/>
        <v>1.9130195276037488E-4</v>
      </c>
      <c r="AH24">
        <f t="shared" si="28"/>
        <v>-2.8141966028161769E-2</v>
      </c>
      <c r="AI24">
        <f t="shared" si="28"/>
        <v>2.8178629549890921E-3</v>
      </c>
      <c r="AJ24">
        <f t="shared" si="28"/>
        <v>2.5147079062685762E-2</v>
      </c>
      <c r="AK24">
        <f t="shared" si="29"/>
        <v>1.6931862248419812E-4</v>
      </c>
      <c r="AL24">
        <f t="shared" si="30"/>
        <v>1.0597419270569036E-3</v>
      </c>
      <c r="AM24">
        <f t="shared" si="31"/>
        <v>7.2487074752619119E-4</v>
      </c>
      <c r="AN24">
        <f t="shared" si="32"/>
        <v>3.2747909385456463E-6</v>
      </c>
      <c r="AP24" t="s">
        <v>87</v>
      </c>
      <c r="AQ24">
        <v>-4.069398504210584</v>
      </c>
      <c r="AR24">
        <v>-3.459281967448808</v>
      </c>
      <c r="AV24">
        <v>4.1197063135313847</v>
      </c>
      <c r="AW24">
        <v>3.1604597277335049E-2</v>
      </c>
      <c r="AX24">
        <v>-1.6777591460894893E-2</v>
      </c>
      <c r="AY24">
        <v>-1.8564495670337416E-3</v>
      </c>
      <c r="BB24" s="4"/>
    </row>
    <row r="25" spans="1:54">
      <c r="A25" s="6">
        <v>23</v>
      </c>
      <c r="B25" s="7">
        <f t="shared" si="0"/>
        <v>58.311791890590122</v>
      </c>
      <c r="C25" s="7">
        <f t="shared" si="1"/>
        <v>1</v>
      </c>
      <c r="D25" s="7">
        <f t="shared" si="2"/>
        <v>6.1373685100633111</v>
      </c>
      <c r="E25" s="7">
        <f t="shared" si="3"/>
        <v>9.5421143746617165</v>
      </c>
      <c r="F25" s="7">
        <f t="shared" si="4"/>
        <v>9.5421143746617165</v>
      </c>
      <c r="G25" s="7">
        <f t="shared" si="5"/>
        <v>148.94062160697851</v>
      </c>
      <c r="H25" s="7">
        <f t="shared" si="6"/>
        <v>1</v>
      </c>
      <c r="I25" s="7">
        <f t="shared" si="7"/>
        <v>-0.93763391255682649</v>
      </c>
      <c r="J25" s="7">
        <f t="shared" si="8"/>
        <v>-8.591574213193347</v>
      </c>
      <c r="K25" s="7">
        <f t="shared" si="9"/>
        <v>1.354689283175063</v>
      </c>
      <c r="L25" s="7">
        <f t="shared" si="10"/>
        <v>141.67823451169659</v>
      </c>
      <c r="M25" s="7">
        <f t="shared" si="11"/>
        <v>1</v>
      </c>
      <c r="N25" s="7">
        <f t="shared" si="12"/>
        <v>-5.7538184962364118</v>
      </c>
      <c r="O25" s="7">
        <f t="shared" si="13"/>
        <v>4.0303175138017364</v>
      </c>
      <c r="P25" s="7">
        <f t="shared" si="14"/>
        <v>-8.4303084139958209</v>
      </c>
      <c r="Q25" s="7">
        <f t="shared" si="15"/>
        <v>2.0419665800271543</v>
      </c>
      <c r="R25" s="7">
        <f t="shared" si="16"/>
        <v>0.9668756572720304</v>
      </c>
      <c r="S25" s="7">
        <f t="shared" si="17"/>
        <v>1.443058896778753</v>
      </c>
      <c r="T25" s="7">
        <f t="shared" si="18"/>
        <v>-0.54072245819099773</v>
      </c>
      <c r="U25" s="7">
        <f t="shared" si="19"/>
        <v>-11.939424214418251</v>
      </c>
      <c r="V25" s="7">
        <f t="shared" si="20"/>
        <v>-1.6375637452611942</v>
      </c>
      <c r="W25" s="7">
        <f t="shared" si="21"/>
        <v>-0.92713122128770109</v>
      </c>
      <c r="X25" s="7">
        <f t="shared" si="22"/>
        <v>-0.80061838791412887</v>
      </c>
      <c r="Y25" s="7">
        <f t="shared" si="23"/>
        <v>-3.8744817330547199</v>
      </c>
      <c r="Z25" s="7">
        <f t="shared" si="24"/>
        <v>9.8205066262176715</v>
      </c>
      <c r="AA25" s="7">
        <f t="shared" si="25"/>
        <v>8.8356610134696867E-2</v>
      </c>
      <c r="AB25" s="7">
        <f t="shared" si="25"/>
        <v>0.56565348402438831</v>
      </c>
      <c r="AC25" s="7">
        <f t="shared" si="25"/>
        <v>0.34757765564037868</v>
      </c>
      <c r="AD25">
        <v>7.6771548896384309E-2</v>
      </c>
      <c r="AE25">
        <v>0.554625055849157</v>
      </c>
      <c r="AF25">
        <v>0.37486334043008496</v>
      </c>
      <c r="AG25">
        <f t="shared" si="26"/>
        <v>1.0003484663548964E-3</v>
      </c>
      <c r="AH25">
        <f t="shared" si="28"/>
        <v>-2.0648116526906013E-2</v>
      </c>
      <c r="AI25">
        <f t="shared" si="28"/>
        <v>-5.2011713335513576E-3</v>
      </c>
      <c r="AJ25">
        <f t="shared" si="28"/>
        <v>2.5627399315238719E-2</v>
      </c>
      <c r="AK25">
        <f t="shared" si="29"/>
        <v>8.6355089481371988E-5</v>
      </c>
      <c r="AL25">
        <f t="shared" si="30"/>
        <v>1.3543465298979642E-3</v>
      </c>
      <c r="AM25">
        <f t="shared" si="31"/>
        <v>6.1541638079553489E-4</v>
      </c>
      <c r="AN25">
        <f t="shared" si="32"/>
        <v>2.5209494256975137E-6</v>
      </c>
      <c r="AP25" t="s">
        <v>88</v>
      </c>
      <c r="AQ25">
        <v>-4.3609099097852368</v>
      </c>
      <c r="AR25">
        <v>4.9816326549705414E-2</v>
      </c>
      <c r="AV25">
        <v>-8.3560108036064378</v>
      </c>
      <c r="AW25">
        <v>-8.3128093043605425E-2</v>
      </c>
      <c r="AX25">
        <v>-0.19228380359493491</v>
      </c>
      <c r="AY25">
        <v>-0.28229502492564496</v>
      </c>
      <c r="BB25" s="4"/>
    </row>
    <row r="26" spans="1:54">
      <c r="A26" s="6">
        <v>24</v>
      </c>
      <c r="B26" s="7">
        <f t="shared" si="0"/>
        <v>60.53323387714854</v>
      </c>
      <c r="C26" s="7">
        <f t="shared" si="1"/>
        <v>1</v>
      </c>
      <c r="D26" s="7">
        <f t="shared" si="2"/>
        <v>6.1373685100633111</v>
      </c>
      <c r="E26" s="7">
        <f t="shared" si="3"/>
        <v>9.5421143746617165</v>
      </c>
      <c r="F26" s="7">
        <f t="shared" si="4"/>
        <v>9.5421143746617165</v>
      </c>
      <c r="G26" s="7">
        <f t="shared" si="5"/>
        <v>155.20528386317403</v>
      </c>
      <c r="H26" s="7">
        <f t="shared" si="6"/>
        <v>1</v>
      </c>
      <c r="I26" s="7">
        <f t="shared" si="7"/>
        <v>-0.93763391255682649</v>
      </c>
      <c r="J26" s="7">
        <f t="shared" si="8"/>
        <v>-8.591574213193347</v>
      </c>
      <c r="K26" s="7">
        <f t="shared" si="9"/>
        <v>1.354689283175063</v>
      </c>
      <c r="L26" s="7">
        <f t="shared" si="10"/>
        <v>147.70432216279121</v>
      </c>
      <c r="M26" s="7">
        <f t="shared" si="11"/>
        <v>1</v>
      </c>
      <c r="N26" s="7">
        <f t="shared" si="12"/>
        <v>-5.7538184962364118</v>
      </c>
      <c r="O26" s="7">
        <f t="shared" si="13"/>
        <v>4.0303175138017364</v>
      </c>
      <c r="P26" s="7">
        <f t="shared" si="14"/>
        <v>-8.4303084139958209</v>
      </c>
      <c r="Q26" s="7">
        <f t="shared" si="15"/>
        <v>2.0011091813612976</v>
      </c>
      <c r="R26" s="7">
        <f t="shared" si="16"/>
        <v>0.96410586091755179</v>
      </c>
      <c r="S26" s="7">
        <f t="shared" si="17"/>
        <v>1.4389386886303548</v>
      </c>
      <c r="T26" s="7">
        <f t="shared" si="18"/>
        <v>-0.56167495140094914</v>
      </c>
      <c r="U26" s="7">
        <f t="shared" si="19"/>
        <v>-11.914647860562958</v>
      </c>
      <c r="V26" s="7">
        <f t="shared" si="20"/>
        <v>-1.8516139734873738</v>
      </c>
      <c r="W26" s="7">
        <f t="shared" si="21"/>
        <v>-0.95189772733057498</v>
      </c>
      <c r="X26" s="7">
        <f t="shared" si="22"/>
        <v>-0.81195186416274567</v>
      </c>
      <c r="Y26" s="7">
        <f t="shared" si="23"/>
        <v>-3.8649526536917107</v>
      </c>
      <c r="Z26" s="7">
        <f t="shared" si="24"/>
        <v>9.8223459820219876</v>
      </c>
      <c r="AA26" s="7">
        <f t="shared" si="25"/>
        <v>7.2902925737681867E-2</v>
      </c>
      <c r="AB26" s="7">
        <f t="shared" si="25"/>
        <v>0.55423007017744608</v>
      </c>
      <c r="AC26" s="7">
        <f t="shared" si="25"/>
        <v>0.37419336529998759</v>
      </c>
      <c r="AD26">
        <v>5.50331848909218E-2</v>
      </c>
      <c r="AE26">
        <v>0.53385373128166391</v>
      </c>
      <c r="AF26">
        <v>0.41205954274061996</v>
      </c>
      <c r="AG26">
        <f t="shared" si="26"/>
        <v>2.1683702186915859E-3</v>
      </c>
      <c r="AH26">
        <f t="shared" si="28"/>
        <v>-1.5453684397015E-2</v>
      </c>
      <c r="AI26">
        <f t="shared" si="28"/>
        <v>-1.1423413846942232E-2</v>
      </c>
      <c r="AJ26">
        <f t="shared" si="28"/>
        <v>2.661570965960891E-2</v>
      </c>
      <c r="AK26">
        <f t="shared" si="29"/>
        <v>5.8041732159324578E-5</v>
      </c>
      <c r="AL26">
        <f t="shared" si="30"/>
        <v>1.5118856836439643E-3</v>
      </c>
      <c r="AM26">
        <f t="shared" si="31"/>
        <v>4.8094378355071173E-4</v>
      </c>
      <c r="AN26">
        <f t="shared" si="32"/>
        <v>1.7592340729627575E-6</v>
      </c>
      <c r="AP26" t="s">
        <v>89</v>
      </c>
      <c r="AQ26">
        <v>-4.085739866585688E-2</v>
      </c>
      <c r="AR26">
        <v>0.24302269412522728</v>
      </c>
      <c r="AV26">
        <v>5.1800580080535239</v>
      </c>
      <c r="AW26">
        <v>-1.1631763919777596</v>
      </c>
      <c r="AX26">
        <v>-2.0176133846299114</v>
      </c>
      <c r="AY26">
        <v>-2.0175770004586382</v>
      </c>
    </row>
    <row r="27" spans="1:54">
      <c r="A27" s="6">
        <v>25</v>
      </c>
      <c r="B27" s="7">
        <f t="shared" si="0"/>
        <v>62.754675863706957</v>
      </c>
      <c r="C27" s="7">
        <f t="shared" si="1"/>
        <v>1</v>
      </c>
      <c r="D27" s="7">
        <f t="shared" si="2"/>
        <v>6.1373685100633111</v>
      </c>
      <c r="E27" s="7">
        <f t="shared" si="3"/>
        <v>9.5421143746617165</v>
      </c>
      <c r="F27" s="7">
        <f t="shared" si="4"/>
        <v>9.5421143746617165</v>
      </c>
      <c r="G27" s="7">
        <f t="shared" si="5"/>
        <v>161.46994611936955</v>
      </c>
      <c r="H27" s="7">
        <f t="shared" si="6"/>
        <v>1</v>
      </c>
      <c r="I27" s="7">
        <f t="shared" si="7"/>
        <v>-0.93763391255682649</v>
      </c>
      <c r="J27" s="7">
        <f t="shared" si="8"/>
        <v>-8.591574213193347</v>
      </c>
      <c r="K27" s="7">
        <f t="shared" si="9"/>
        <v>1.354689283175063</v>
      </c>
      <c r="L27" s="7">
        <f t="shared" si="10"/>
        <v>153.73040981388584</v>
      </c>
      <c r="M27" s="7">
        <f t="shared" si="11"/>
        <v>1</v>
      </c>
      <c r="N27" s="7">
        <f t="shared" si="12"/>
        <v>-5.7538184962364118</v>
      </c>
      <c r="O27" s="7">
        <f t="shared" si="13"/>
        <v>4.0303175138017364</v>
      </c>
      <c r="P27" s="7">
        <f t="shared" si="14"/>
        <v>-8.4303084139958209</v>
      </c>
      <c r="Q27" s="7">
        <f t="shared" si="15"/>
        <v>1.9602517826954406</v>
      </c>
      <c r="R27" s="7">
        <f t="shared" si="16"/>
        <v>0.96110903883036469</v>
      </c>
      <c r="S27" s="7">
        <f t="shared" si="17"/>
        <v>1.4344807685515149</v>
      </c>
      <c r="T27" s="7">
        <f t="shared" si="18"/>
        <v>-0.58434481098527868</v>
      </c>
      <c r="U27" s="7">
        <f t="shared" si="19"/>
        <v>-11.88784071845901</v>
      </c>
      <c r="V27" s="7">
        <f t="shared" si="20"/>
        <v>-2.0656642017135542</v>
      </c>
      <c r="W27" s="7">
        <f t="shared" si="21"/>
        <v>-0.96838473260620261</v>
      </c>
      <c r="X27" s="7">
        <f t="shared" si="22"/>
        <v>-0.81949653285273694</v>
      </c>
      <c r="Y27" s="7">
        <f t="shared" si="23"/>
        <v>-3.8586091677975829</v>
      </c>
      <c r="Z27" s="7">
        <f t="shared" si="24"/>
        <v>9.8235704368884509</v>
      </c>
      <c r="AA27" s="7">
        <f t="shared" si="25"/>
        <v>6.0900336968850666E-2</v>
      </c>
      <c r="AB27" s="7">
        <f t="shared" si="25"/>
        <v>0.53790369648724434</v>
      </c>
      <c r="AC27" s="7">
        <f t="shared" si="25"/>
        <v>0.40222496227039883</v>
      </c>
      <c r="AD27">
        <v>4.1882891498532304E-2</v>
      </c>
      <c r="AE27">
        <v>0.51004856673586696</v>
      </c>
      <c r="AF27">
        <v>0.44388223355148898</v>
      </c>
      <c r="AG27">
        <f t="shared" si="26"/>
        <v>2.8728997362689399E-3</v>
      </c>
      <c r="AH27">
        <f t="shared" si="28"/>
        <v>-1.2002588768831202E-2</v>
      </c>
      <c r="AI27">
        <f t="shared" si="28"/>
        <v>-1.6326373690201734E-2</v>
      </c>
      <c r="AJ27">
        <f t="shared" si="28"/>
        <v>2.8031596970411243E-2</v>
      </c>
      <c r="AK27">
        <f t="shared" si="29"/>
        <v>3.9759859106432102E-5</v>
      </c>
      <c r="AL27">
        <f t="shared" si="30"/>
        <v>1.546331697461299E-3</v>
      </c>
      <c r="AM27">
        <f t="shared" si="31"/>
        <v>3.3671566828842272E-4</v>
      </c>
      <c r="AN27">
        <f t="shared" si="32"/>
        <v>1.0588322051428184E-6</v>
      </c>
      <c r="AP27" t="s">
        <v>90</v>
      </c>
      <c r="AQ27">
        <v>2.9816867493418626</v>
      </c>
      <c r="AR27">
        <v>-3.6837562969425819</v>
      </c>
      <c r="AV27">
        <v>7.2118759022578756</v>
      </c>
      <c r="AW27">
        <v>-2.0063677540001486</v>
      </c>
      <c r="AX27">
        <v>-7.0631313569445</v>
      </c>
      <c r="AY27">
        <v>-7.0067656459304279</v>
      </c>
    </row>
    <row r="28" spans="1:54">
      <c r="A28" s="6">
        <v>26</v>
      </c>
      <c r="B28" s="7">
        <f t="shared" si="0"/>
        <v>64.976117850265382</v>
      </c>
      <c r="C28" s="7">
        <f t="shared" si="1"/>
        <v>1</v>
      </c>
      <c r="D28" s="7">
        <f t="shared" si="2"/>
        <v>6.1373685100633111</v>
      </c>
      <c r="E28" s="7">
        <f t="shared" si="3"/>
        <v>9.5421143746617165</v>
      </c>
      <c r="F28" s="7">
        <f t="shared" si="4"/>
        <v>9.5421143746617165</v>
      </c>
      <c r="G28" s="7">
        <f t="shared" si="5"/>
        <v>167.73460837556505</v>
      </c>
      <c r="H28" s="7">
        <f t="shared" si="6"/>
        <v>1</v>
      </c>
      <c r="I28" s="7">
        <f t="shared" si="7"/>
        <v>-0.93763391255682649</v>
      </c>
      <c r="J28" s="7">
        <f t="shared" si="8"/>
        <v>-8.591574213193347</v>
      </c>
      <c r="K28" s="7">
        <f t="shared" si="9"/>
        <v>1.354689283175063</v>
      </c>
      <c r="L28" s="7">
        <f t="shared" si="10"/>
        <v>159.7564974649805</v>
      </c>
      <c r="M28" s="7">
        <f t="shared" si="11"/>
        <v>1</v>
      </c>
      <c r="N28" s="7">
        <f t="shared" si="12"/>
        <v>-5.7538184962364118</v>
      </c>
      <c r="O28" s="7">
        <f t="shared" si="13"/>
        <v>4.0303175138017364</v>
      </c>
      <c r="P28" s="7">
        <f t="shared" si="14"/>
        <v>-8.4303084139958209</v>
      </c>
      <c r="Q28" s="7">
        <f t="shared" si="15"/>
        <v>1.9193943840295837</v>
      </c>
      <c r="R28" s="7">
        <f t="shared" si="16"/>
        <v>0.95786737761456053</v>
      </c>
      <c r="S28" s="7">
        <f t="shared" si="17"/>
        <v>1.4296586382407048</v>
      </c>
      <c r="T28" s="7">
        <f t="shared" si="18"/>
        <v>-0.60886678874847178</v>
      </c>
      <c r="U28" s="7">
        <f t="shared" si="19"/>
        <v>-11.858843443900584</v>
      </c>
      <c r="V28" s="7">
        <f t="shared" si="20"/>
        <v>-2.2797144299397338</v>
      </c>
      <c r="W28" s="7">
        <f t="shared" si="21"/>
        <v>-0.97928081724650429</v>
      </c>
      <c r="X28" s="7">
        <f t="shared" si="22"/>
        <v>-0.82448272332546657</v>
      </c>
      <c r="Y28" s="7">
        <f t="shared" si="23"/>
        <v>-3.8544168261284044</v>
      </c>
      <c r="Z28" s="7">
        <f t="shared" si="24"/>
        <v>9.8243796659534119</v>
      </c>
      <c r="AA28" s="7">
        <f t="shared" si="25"/>
        <v>5.1092016185311007E-2</v>
      </c>
      <c r="AB28" s="7">
        <f t="shared" si="25"/>
        <v>0.51757406039322973</v>
      </c>
      <c r="AC28" s="7">
        <f t="shared" si="25"/>
        <v>0.43203146589378605</v>
      </c>
      <c r="AD28">
        <v>2.6899076645389701E-2</v>
      </c>
      <c r="AE28">
        <v>0.48054748715594703</v>
      </c>
      <c r="AF28">
        <v>0.487722954635535</v>
      </c>
      <c r="AG28">
        <f t="shared" si="26"/>
        <v>5.057807367550498E-3</v>
      </c>
      <c r="AH28">
        <f t="shared" si="28"/>
        <v>-9.8083207835396591E-3</v>
      </c>
      <c r="AI28">
        <f t="shared" si="28"/>
        <v>-2.0329636094014614E-2</v>
      </c>
      <c r="AJ28">
        <f t="shared" si="28"/>
        <v>2.9806503623387215E-2</v>
      </c>
      <c r="AK28">
        <f t="shared" si="29"/>
        <v>4.0462968641234381E-5</v>
      </c>
      <c r="AL28">
        <f t="shared" si="30"/>
        <v>1.4604482676631163E-3</v>
      </c>
      <c r="AM28">
        <f t="shared" si="31"/>
        <v>1.9299372574006906E-4</v>
      </c>
      <c r="AN28">
        <f t="shared" si="32"/>
        <v>4.8656550069976254E-7</v>
      </c>
      <c r="AP28" t="s">
        <v>91</v>
      </c>
      <c r="AQ28">
        <v>1.4875491267565419</v>
      </c>
      <c r="AR28">
        <v>-0.36311749744769273</v>
      </c>
      <c r="AV28">
        <v>-7.7375685310313456</v>
      </c>
      <c r="AW28">
        <v>9.2057355769132362E-2</v>
      </c>
      <c r="AX28">
        <v>-0.17763813014355226</v>
      </c>
      <c r="AY28">
        <v>-0.40505735096459605</v>
      </c>
    </row>
    <row r="29" spans="1:54">
      <c r="A29" s="6">
        <v>27</v>
      </c>
      <c r="B29" s="7">
        <f t="shared" si="0"/>
        <v>67.1975598368238</v>
      </c>
      <c r="C29" s="7">
        <f t="shared" si="1"/>
        <v>1</v>
      </c>
      <c r="D29" s="7">
        <f t="shared" si="2"/>
        <v>6.1373685100633111</v>
      </c>
      <c r="E29" s="7">
        <f t="shared" si="3"/>
        <v>9.5421143746617165</v>
      </c>
      <c r="F29" s="7">
        <f t="shared" si="4"/>
        <v>9.5421143746617165</v>
      </c>
      <c r="G29" s="7">
        <f t="shared" si="5"/>
        <v>173.99927063176057</v>
      </c>
      <c r="H29" s="7">
        <f t="shared" si="6"/>
        <v>1</v>
      </c>
      <c r="I29" s="7">
        <f t="shared" si="7"/>
        <v>-0.93763391255682649</v>
      </c>
      <c r="J29" s="7">
        <f t="shared" si="8"/>
        <v>-8.591574213193347</v>
      </c>
      <c r="K29" s="7">
        <f t="shared" si="9"/>
        <v>1.354689283175063</v>
      </c>
      <c r="L29" s="7">
        <f t="shared" si="10"/>
        <v>165.78258511607513</v>
      </c>
      <c r="M29" s="7">
        <f t="shared" si="11"/>
        <v>1</v>
      </c>
      <c r="N29" s="7">
        <f t="shared" si="12"/>
        <v>-5.7538184962364118</v>
      </c>
      <c r="O29" s="7">
        <f t="shared" si="13"/>
        <v>4.0303175138017364</v>
      </c>
      <c r="P29" s="7">
        <f t="shared" si="14"/>
        <v>-8.4303084139958209</v>
      </c>
      <c r="Q29" s="7">
        <f t="shared" si="15"/>
        <v>1.8785369853637268</v>
      </c>
      <c r="R29" s="7">
        <f t="shared" si="16"/>
        <v>0.9543618036454814</v>
      </c>
      <c r="S29" s="7">
        <f t="shared" si="17"/>
        <v>1.4244439247442209</v>
      </c>
      <c r="T29" s="7">
        <f t="shared" si="18"/>
        <v>-0.63538516966313541</v>
      </c>
      <c r="U29" s="7">
        <f t="shared" si="19"/>
        <v>-11.827485419696613</v>
      </c>
      <c r="V29" s="7">
        <f t="shared" si="20"/>
        <v>-2.4937646581659134</v>
      </c>
      <c r="W29" s="7">
        <f t="shared" si="21"/>
        <v>-0.98644746233660952</v>
      </c>
      <c r="X29" s="7">
        <f t="shared" si="22"/>
        <v>-0.82776227360883592</v>
      </c>
      <c r="Y29" s="7">
        <f t="shared" si="23"/>
        <v>-3.8516594113476552</v>
      </c>
      <c r="Z29" s="7">
        <f t="shared" si="24"/>
        <v>9.8249119174636235</v>
      </c>
      <c r="AA29" s="7">
        <f t="shared" si="25"/>
        <v>4.2597752405457712E-2</v>
      </c>
      <c r="AB29" s="7">
        <f t="shared" si="25"/>
        <v>0.4938130942593153</v>
      </c>
      <c r="AC29" s="7">
        <f t="shared" si="25"/>
        <v>0.46392174160796884</v>
      </c>
      <c r="AD29">
        <v>2.8643066551244298E-2</v>
      </c>
      <c r="AE29">
        <v>0.45621581041098197</v>
      </c>
      <c r="AF29">
        <v>0.51359201939365806</v>
      </c>
      <c r="AG29">
        <f t="shared" si="26"/>
        <v>4.0754255053694621E-3</v>
      </c>
      <c r="AH29">
        <f t="shared" si="28"/>
        <v>-8.4942637798532949E-3</v>
      </c>
      <c r="AI29">
        <f t="shared" si="28"/>
        <v>-2.376096613391443E-2</v>
      </c>
      <c r="AJ29">
        <f t="shared" si="28"/>
        <v>3.1890275714182792E-2</v>
      </c>
      <c r="AK29">
        <f t="shared" si="29"/>
        <v>2.5093635043822333E-5</v>
      </c>
      <c r="AL29">
        <f t="shared" si="30"/>
        <v>1.4274153358809611E-3</v>
      </c>
      <c r="AM29">
        <f t="shared" si="31"/>
        <v>9.208011014184737E-5</v>
      </c>
      <c r="AN29">
        <f t="shared" si="32"/>
        <v>1.106149591654083E-7</v>
      </c>
      <c r="AP29" t="s">
        <v>92</v>
      </c>
      <c r="AQ29">
        <v>4.7838571215866868E-3</v>
      </c>
      <c r="AR29">
        <v>-8.742944161217105</v>
      </c>
      <c r="AV29">
        <v>5.8990568562928063</v>
      </c>
      <c r="AW29">
        <v>-0.51612924180728281</v>
      </c>
      <c r="AX29">
        <v>1.0547523481860521</v>
      </c>
      <c r="AY29">
        <v>0.50467686778622167</v>
      </c>
    </row>
    <row r="30" spans="1:54">
      <c r="A30" s="6">
        <v>28</v>
      </c>
      <c r="B30" s="7">
        <f t="shared" si="0"/>
        <v>69.419001823382217</v>
      </c>
      <c r="C30" s="7">
        <f t="shared" si="1"/>
        <v>1</v>
      </c>
      <c r="D30" s="7">
        <f t="shared" si="2"/>
        <v>6.1373685100633111</v>
      </c>
      <c r="E30" s="7">
        <f t="shared" si="3"/>
        <v>9.5421143746617165</v>
      </c>
      <c r="F30" s="7">
        <f t="shared" si="4"/>
        <v>9.5421143746617165</v>
      </c>
      <c r="G30" s="7">
        <f t="shared" si="5"/>
        <v>180.26393288795609</v>
      </c>
      <c r="H30" s="7">
        <f t="shared" si="6"/>
        <v>1</v>
      </c>
      <c r="I30" s="7">
        <f t="shared" si="7"/>
        <v>-0.93763391255682649</v>
      </c>
      <c r="J30" s="7">
        <f t="shared" si="8"/>
        <v>-8.591574213193347</v>
      </c>
      <c r="K30" s="7">
        <f t="shared" si="9"/>
        <v>1.354689283175063</v>
      </c>
      <c r="L30" s="7">
        <f t="shared" si="10"/>
        <v>171.80867276716975</v>
      </c>
      <c r="M30" s="7">
        <f t="shared" si="11"/>
        <v>1</v>
      </c>
      <c r="N30" s="7">
        <f t="shared" si="12"/>
        <v>-5.7538184962364118</v>
      </c>
      <c r="O30" s="7">
        <f t="shared" si="13"/>
        <v>4.0303175138017364</v>
      </c>
      <c r="P30" s="7">
        <f t="shared" si="14"/>
        <v>-8.4303084139958209</v>
      </c>
      <c r="Q30" s="7">
        <f t="shared" si="15"/>
        <v>1.8376795866978699</v>
      </c>
      <c r="R30" s="7">
        <f t="shared" si="16"/>
        <v>0.95057191789282047</v>
      </c>
      <c r="S30" s="7">
        <f t="shared" si="17"/>
        <v>1.4188062835023429</v>
      </c>
      <c r="T30" s="7">
        <f t="shared" si="18"/>
        <v>-0.66405426490933284</v>
      </c>
      <c r="U30" s="7">
        <f t="shared" si="19"/>
        <v>-11.793584172651057</v>
      </c>
      <c r="V30" s="7">
        <f t="shared" si="20"/>
        <v>-2.7078148863920939</v>
      </c>
      <c r="W30" s="7">
        <f t="shared" si="21"/>
        <v>-0.99114629507711249</v>
      </c>
      <c r="X30" s="7">
        <f t="shared" si="22"/>
        <v>-0.82991252076798394</v>
      </c>
      <c r="Y30" s="7">
        <f t="shared" si="23"/>
        <v>-3.8498515039254197</v>
      </c>
      <c r="Z30" s="7">
        <f t="shared" si="24"/>
        <v>9.8252608897918066</v>
      </c>
      <c r="AA30" s="7">
        <f t="shared" si="25"/>
        <v>3.4809864004431756E-2</v>
      </c>
      <c r="AB30" s="7">
        <f t="shared" si="25"/>
        <v>0.46695190643535334</v>
      </c>
      <c r="AC30" s="7">
        <f t="shared" si="25"/>
        <v>0.49817196098170768</v>
      </c>
      <c r="AD30">
        <v>1.8585382566350301E-2</v>
      </c>
      <c r="AE30">
        <v>0.43462182741029998</v>
      </c>
      <c r="AF30">
        <v>0.547713142498501</v>
      </c>
      <c r="AG30">
        <f t="shared" si="26"/>
        <v>3.7627964737807088E-3</v>
      </c>
      <c r="AH30">
        <f t="shared" si="28"/>
        <v>-7.7878884010259553E-3</v>
      </c>
      <c r="AI30">
        <f t="shared" si="28"/>
        <v>-2.6861187823961963E-2</v>
      </c>
      <c r="AJ30">
        <f t="shared" si="28"/>
        <v>3.4250219373738844E-2</v>
      </c>
      <c r="AK30">
        <f t="shared" si="29"/>
        <v>3.1738522211984579E-5</v>
      </c>
      <c r="AL30">
        <f t="shared" si="30"/>
        <v>1.4224094211150642E-3</v>
      </c>
      <c r="AM30">
        <f t="shared" si="31"/>
        <v>2.779650987706124E-5</v>
      </c>
      <c r="AN30">
        <f t="shared" si="32"/>
        <v>4.3915244973679207E-9</v>
      </c>
      <c r="AP30" t="s">
        <v>93</v>
      </c>
      <c r="AQ30">
        <v>7.5646331096045252</v>
      </c>
      <c r="AR30">
        <v>0.35171447122824773</v>
      </c>
      <c r="AV30">
        <v>9.5238981409850769</v>
      </c>
      <c r="AW30">
        <v>-8.0345558514604537E-2</v>
      </c>
      <c r="AX30">
        <v>-0.23255843593841266</v>
      </c>
      <c r="AY30">
        <v>-0.69708261131433225</v>
      </c>
    </row>
    <row r="31" spans="1:54">
      <c r="A31" s="6">
        <v>29</v>
      </c>
      <c r="B31" s="7">
        <f t="shared" si="0"/>
        <v>71.640443809940635</v>
      </c>
      <c r="C31" s="7">
        <f t="shared" si="1"/>
        <v>1</v>
      </c>
      <c r="D31" s="7">
        <f t="shared" si="2"/>
        <v>6.1373685100633111</v>
      </c>
      <c r="E31" s="7">
        <f t="shared" si="3"/>
        <v>9.5421143746617165</v>
      </c>
      <c r="F31" s="7">
        <f t="shared" si="4"/>
        <v>9.5421143746617165</v>
      </c>
      <c r="G31" s="7">
        <f t="shared" si="5"/>
        <v>186.52859514415158</v>
      </c>
      <c r="H31" s="7">
        <f t="shared" si="6"/>
        <v>1</v>
      </c>
      <c r="I31" s="7">
        <f t="shared" si="7"/>
        <v>-0.93763391255682649</v>
      </c>
      <c r="J31" s="7">
        <f t="shared" si="8"/>
        <v>-8.591574213193347</v>
      </c>
      <c r="K31" s="7">
        <f t="shared" si="9"/>
        <v>1.354689283175063</v>
      </c>
      <c r="L31" s="7">
        <f t="shared" si="10"/>
        <v>177.83476041826441</v>
      </c>
      <c r="M31" s="7">
        <f t="shared" si="11"/>
        <v>1</v>
      </c>
      <c r="N31" s="7">
        <f t="shared" si="12"/>
        <v>-5.7538184962364118</v>
      </c>
      <c r="O31" s="7">
        <f t="shared" si="13"/>
        <v>4.0303175138017364</v>
      </c>
      <c r="P31" s="7">
        <f t="shared" si="14"/>
        <v>-8.4303084139958209</v>
      </c>
      <c r="Q31" s="7">
        <f t="shared" si="15"/>
        <v>1.7968221880320132</v>
      </c>
      <c r="R31" s="7">
        <f t="shared" si="16"/>
        <v>0.946475931778468</v>
      </c>
      <c r="S31" s="7">
        <f t="shared" si="17"/>
        <v>1.412713302934731</v>
      </c>
      <c r="T31" s="7">
        <f t="shared" si="18"/>
        <v>-0.69503889708644362</v>
      </c>
      <c r="U31" s="7">
        <f t="shared" si="19"/>
        <v>-11.756944799799161</v>
      </c>
      <c r="V31" s="7">
        <f t="shared" si="20"/>
        <v>-2.9218651146182735</v>
      </c>
      <c r="W31" s="7">
        <f t="shared" si="21"/>
        <v>-0.99422072403504635</v>
      </c>
      <c r="X31" s="7">
        <f t="shared" si="22"/>
        <v>-0.8313194195655973</v>
      </c>
      <c r="Y31" s="7">
        <f t="shared" si="23"/>
        <v>-3.8486685967569492</v>
      </c>
      <c r="Z31" s="7">
        <f t="shared" si="24"/>
        <v>9.8254892211009928</v>
      </c>
      <c r="AA31" s="7">
        <f t="shared" si="25"/>
        <v>2.7309984639206419E-2</v>
      </c>
      <c r="AB31" s="7">
        <f t="shared" si="25"/>
        <v>0.43715018142671314</v>
      </c>
      <c r="AC31" s="7">
        <f t="shared" si="25"/>
        <v>0.53503966514279</v>
      </c>
      <c r="AD31">
        <v>1.6441050975567299E-2</v>
      </c>
      <c r="AE31">
        <v>0.40770546813070097</v>
      </c>
      <c r="AF31">
        <v>0.57331041777418701</v>
      </c>
      <c r="AG31">
        <f t="shared" si="26"/>
        <v>2.4497753670425244E-3</v>
      </c>
      <c r="AH31">
        <f t="shared" si="28"/>
        <v>-7.499879365225337E-3</v>
      </c>
      <c r="AI31">
        <f t="shared" si="28"/>
        <v>-2.9801725008640201E-2</v>
      </c>
      <c r="AJ31">
        <f t="shared" si="28"/>
        <v>3.6867704161082315E-2</v>
      </c>
      <c r="AK31">
        <f t="shared" si="29"/>
        <v>3.2629789091146776E-5</v>
      </c>
      <c r="AL31">
        <f t="shared" si="30"/>
        <v>1.3731916591581126E-3</v>
      </c>
      <c r="AM31">
        <f t="shared" si="31"/>
        <v>4.2893728438055383E-8</v>
      </c>
      <c r="AN31">
        <f t="shared" si="32"/>
        <v>2.5016881978094487E-7</v>
      </c>
      <c r="AP31" t="s">
        <v>94</v>
      </c>
      <c r="AQ31">
        <v>-7.8547820680616365</v>
      </c>
      <c r="AR31">
        <v>-1.8570578026948572</v>
      </c>
      <c r="AV31">
        <v>4.309362779832461</v>
      </c>
      <c r="AW31">
        <v>-0.3505183862714436</v>
      </c>
      <c r="AX31">
        <v>-1.0199107912464231</v>
      </c>
      <c r="AY31">
        <v>-1.9459440712001268</v>
      </c>
    </row>
    <row r="32" spans="1:54">
      <c r="A32" s="6">
        <v>30</v>
      </c>
      <c r="B32" s="7">
        <f t="shared" si="0"/>
        <v>73.861885796499067</v>
      </c>
      <c r="C32" s="7">
        <f t="shared" si="1"/>
        <v>1</v>
      </c>
      <c r="D32" s="7">
        <f t="shared" si="2"/>
        <v>6.1373685100633111</v>
      </c>
      <c r="E32" s="7">
        <f t="shared" si="3"/>
        <v>9.5421143746617165</v>
      </c>
      <c r="F32" s="7">
        <f t="shared" si="4"/>
        <v>9.5421143746617165</v>
      </c>
      <c r="G32" s="7">
        <f t="shared" si="5"/>
        <v>192.7932574003471</v>
      </c>
      <c r="H32" s="7">
        <f t="shared" si="6"/>
        <v>1</v>
      </c>
      <c r="I32" s="7">
        <f t="shared" si="7"/>
        <v>-0.93763391255682649</v>
      </c>
      <c r="J32" s="7">
        <f t="shared" si="8"/>
        <v>-8.591574213193347</v>
      </c>
      <c r="K32" s="7">
        <f t="shared" si="9"/>
        <v>1.354689283175063</v>
      </c>
      <c r="L32" s="7">
        <f t="shared" si="10"/>
        <v>183.86084806935904</v>
      </c>
      <c r="M32" s="7">
        <f t="shared" si="11"/>
        <v>1</v>
      </c>
      <c r="N32" s="7">
        <f t="shared" si="12"/>
        <v>-5.7538184962364118</v>
      </c>
      <c r="O32" s="7">
        <f t="shared" si="13"/>
        <v>4.0303175138017364</v>
      </c>
      <c r="P32" s="7">
        <f t="shared" si="14"/>
        <v>-8.4303084139958209</v>
      </c>
      <c r="Q32" s="7">
        <f t="shared" si="15"/>
        <v>1.7559647893661563</v>
      </c>
      <c r="R32" s="7">
        <f t="shared" si="16"/>
        <v>0.94205060509734029</v>
      </c>
      <c r="S32" s="7">
        <f t="shared" si="17"/>
        <v>1.406130412094607</v>
      </c>
      <c r="T32" s="7">
        <f t="shared" si="18"/>
        <v>-0.72851486981931846</v>
      </c>
      <c r="U32" s="7">
        <f t="shared" si="19"/>
        <v>-11.717359413097498</v>
      </c>
      <c r="V32" s="7">
        <f t="shared" si="20"/>
        <v>-3.1359153428444531</v>
      </c>
      <c r="W32" s="7">
        <f t="shared" si="21"/>
        <v>-0.99622958608332113</v>
      </c>
      <c r="X32" s="7">
        <f t="shared" si="22"/>
        <v>-0.83223870104484421</v>
      </c>
      <c r="Y32" s="7">
        <f t="shared" si="23"/>
        <v>-3.847895673606053</v>
      </c>
      <c r="Z32" s="7">
        <f t="shared" si="24"/>
        <v>9.8256384150188651</v>
      </c>
      <c r="AA32" s="7">
        <f t="shared" si="25"/>
        <v>1.9807812319835527E-2</v>
      </c>
      <c r="AB32" s="7">
        <f t="shared" si="25"/>
        <v>0.40444713184473446</v>
      </c>
      <c r="AC32" s="7">
        <f t="shared" si="25"/>
        <v>0.57477424576232572</v>
      </c>
      <c r="AD32">
        <v>1.6927265894710001E-2</v>
      </c>
      <c r="AE32">
        <v>0.38076372682378795</v>
      </c>
      <c r="AF32">
        <v>0.602138744531867</v>
      </c>
      <c r="AG32">
        <f t="shared" si="26"/>
        <v>1.3180170140017241E-3</v>
      </c>
      <c r="AH32">
        <f t="shared" si="28"/>
        <v>-7.5021723193708922E-3</v>
      </c>
      <c r="AI32">
        <f t="shared" si="28"/>
        <v>-3.2703049581978672E-2</v>
      </c>
      <c r="AJ32">
        <f t="shared" si="28"/>
        <v>3.973458061953572E-2</v>
      </c>
      <c r="AK32">
        <f t="shared" si="29"/>
        <v>3.3446542011108743E-5</v>
      </c>
      <c r="AL32">
        <f t="shared" si="30"/>
        <v>1.3500276663372182E-3</v>
      </c>
      <c r="AM32">
        <f t="shared" si="31"/>
        <v>2.6109272410256259E-5</v>
      </c>
      <c r="AN32">
        <f t="shared" si="32"/>
        <v>9.4247219804075502E-7</v>
      </c>
      <c r="AP32" t="s">
        <v>95</v>
      </c>
      <c r="AQ32">
        <v>-8.9451897123162656</v>
      </c>
      <c r="AR32">
        <v>2.3228991078540526E-2</v>
      </c>
      <c r="AV32">
        <v>3.7615689700686992</v>
      </c>
      <c r="AW32">
        <v>-0.16714699843058228</v>
      </c>
      <c r="AX32">
        <v>6.4796567617445761E-2</v>
      </c>
      <c r="AY32">
        <v>6.753264162589645E-2</v>
      </c>
    </row>
    <row r="33" spans="1:51">
      <c r="A33" s="6">
        <v>31</v>
      </c>
      <c r="B33" s="7">
        <f t="shared" si="0"/>
        <v>76.083327783057484</v>
      </c>
      <c r="C33" s="7">
        <f t="shared" si="1"/>
        <v>1</v>
      </c>
      <c r="D33" s="7">
        <f t="shared" si="2"/>
        <v>6.1373685100633111</v>
      </c>
      <c r="E33" s="7">
        <f t="shared" si="3"/>
        <v>9.5421143746617165</v>
      </c>
      <c r="F33" s="7">
        <f t="shared" si="4"/>
        <v>9.5421143746617165</v>
      </c>
      <c r="G33" s="7">
        <f t="shared" si="5"/>
        <v>199.05791965654259</v>
      </c>
      <c r="H33" s="7">
        <f t="shared" si="6"/>
        <v>1</v>
      </c>
      <c r="I33" s="7">
        <f t="shared" si="7"/>
        <v>-0.93763391255682649</v>
      </c>
      <c r="J33" s="7">
        <f t="shared" si="8"/>
        <v>-8.591574213193347</v>
      </c>
      <c r="K33" s="7">
        <f t="shared" si="9"/>
        <v>1.354689283175063</v>
      </c>
      <c r="L33" s="7">
        <f t="shared" si="10"/>
        <v>189.88693572045369</v>
      </c>
      <c r="M33" s="7">
        <f t="shared" si="11"/>
        <v>1</v>
      </c>
      <c r="N33" s="7">
        <f t="shared" si="12"/>
        <v>-5.7538184962364118</v>
      </c>
      <c r="O33" s="7">
        <f t="shared" si="13"/>
        <v>4.0303175138017364</v>
      </c>
      <c r="P33" s="7">
        <f t="shared" si="14"/>
        <v>-8.4303084139958209</v>
      </c>
      <c r="Q33" s="7">
        <f t="shared" si="15"/>
        <v>1.7151073907002994</v>
      </c>
      <c r="R33" s="7">
        <f t="shared" si="16"/>
        <v>0.93727118722744718</v>
      </c>
      <c r="S33" s="7">
        <f t="shared" si="17"/>
        <v>1.3990207932158429</v>
      </c>
      <c r="T33" s="7">
        <f t="shared" si="18"/>
        <v>-0.76466941248254727</v>
      </c>
      <c r="U33" s="7">
        <f t="shared" si="19"/>
        <v>-11.67460661353687</v>
      </c>
      <c r="V33" s="7">
        <f t="shared" si="20"/>
        <v>-3.3499655710706335</v>
      </c>
      <c r="W33" s="7">
        <f t="shared" si="21"/>
        <v>-0.99754103365227054</v>
      </c>
      <c r="X33" s="7">
        <f t="shared" si="22"/>
        <v>-0.8328388365604581</v>
      </c>
      <c r="Y33" s="7">
        <f t="shared" si="23"/>
        <v>-3.8473910853551581</v>
      </c>
      <c r="Z33" s="7">
        <f t="shared" si="24"/>
        <v>9.8257358134445383</v>
      </c>
      <c r="AA33" s="7">
        <f t="shared" si="25"/>
        <v>1.2098057925457595E-2</v>
      </c>
      <c r="AB33" s="7">
        <f t="shared" si="25"/>
        <v>0.36879717743240059</v>
      </c>
      <c r="AC33" s="7">
        <f t="shared" si="25"/>
        <v>0.61762444374862646</v>
      </c>
      <c r="AD33">
        <v>5.5360201456173194E-3</v>
      </c>
      <c r="AE33">
        <v>0.35516465630493699</v>
      </c>
      <c r="AF33">
        <v>0.624921752972462</v>
      </c>
      <c r="AG33">
        <f t="shared" si="26"/>
        <v>2.8215669402306779E-4</v>
      </c>
      <c r="AH33">
        <f t="shared" si="28"/>
        <v>-7.7097543943779323E-3</v>
      </c>
      <c r="AI33">
        <f t="shared" si="28"/>
        <v>-3.5649954412333873E-2</v>
      </c>
      <c r="AJ33">
        <f t="shared" si="28"/>
        <v>4.2850197986300742E-2</v>
      </c>
      <c r="AK33">
        <f t="shared" si="29"/>
        <v>5.1629902154568921E-5</v>
      </c>
      <c r="AL33">
        <f t="shared" si="30"/>
        <v>1.3685079886927363E-3</v>
      </c>
      <c r="AM33">
        <f t="shared" si="31"/>
        <v>1.1137001783448507E-4</v>
      </c>
      <c r="AN33">
        <f t="shared" si="32"/>
        <v>2.1913499477780909E-6</v>
      </c>
      <c r="AP33" t="s">
        <v>96</v>
      </c>
      <c r="AQ33">
        <v>-3.2905380318994566</v>
      </c>
      <c r="AR33">
        <v>4.2352209910184406</v>
      </c>
      <c r="AV33">
        <v>6.6325998254285867</v>
      </c>
      <c r="AW33">
        <v>9.3634608476603209E-2</v>
      </c>
      <c r="AX33">
        <v>-2.9907552410257058E-2</v>
      </c>
      <c r="AY33">
        <v>-3.1050465688157322E-2</v>
      </c>
    </row>
    <row r="34" spans="1:51">
      <c r="A34" s="6">
        <v>32</v>
      </c>
      <c r="B34" s="7">
        <f t="shared" si="0"/>
        <v>78.304769769615902</v>
      </c>
      <c r="C34" s="7">
        <f t="shared" si="1"/>
        <v>1</v>
      </c>
      <c r="D34" s="7">
        <f t="shared" si="2"/>
        <v>6.1373685100633111</v>
      </c>
      <c r="E34" s="7">
        <f t="shared" si="3"/>
        <v>9.5421143746617165</v>
      </c>
      <c r="F34" s="7">
        <f t="shared" si="4"/>
        <v>9.5421143746617165</v>
      </c>
      <c r="G34" s="7">
        <f t="shared" si="5"/>
        <v>205.32258191273812</v>
      </c>
      <c r="H34" s="7">
        <f t="shared" si="6"/>
        <v>1</v>
      </c>
      <c r="I34" s="7">
        <f t="shared" si="7"/>
        <v>-0.93763391255682649</v>
      </c>
      <c r="J34" s="7">
        <f t="shared" si="8"/>
        <v>-8.591574213193347</v>
      </c>
      <c r="K34" s="7">
        <f t="shared" si="9"/>
        <v>1.354689283175063</v>
      </c>
      <c r="L34" s="7">
        <f t="shared" si="10"/>
        <v>195.91302337154832</v>
      </c>
      <c r="M34" s="7">
        <f t="shared" si="11"/>
        <v>1</v>
      </c>
      <c r="N34" s="7">
        <f t="shared" si="12"/>
        <v>-5.7538184962364118</v>
      </c>
      <c r="O34" s="7">
        <f t="shared" si="13"/>
        <v>4.0303175138017364</v>
      </c>
      <c r="P34" s="7">
        <f t="shared" si="14"/>
        <v>-8.4303084139958209</v>
      </c>
      <c r="Q34" s="7">
        <f t="shared" si="15"/>
        <v>1.6742499920344425</v>
      </c>
      <c r="R34" s="7">
        <f t="shared" si="16"/>
        <v>0.93211136307678588</v>
      </c>
      <c r="S34" s="7">
        <f t="shared" si="17"/>
        <v>1.3913453013063095</v>
      </c>
      <c r="T34" s="7">
        <f t="shared" si="18"/>
        <v>-0.80370158909237688</v>
      </c>
      <c r="U34" s="7">
        <f t="shared" si="19"/>
        <v>-11.628451007627014</v>
      </c>
      <c r="V34" s="7">
        <f t="shared" si="20"/>
        <v>-3.5640157992968131</v>
      </c>
      <c r="W34" s="7">
        <f t="shared" si="21"/>
        <v>-0.99839669217535254</v>
      </c>
      <c r="X34" s="7">
        <f t="shared" si="22"/>
        <v>-0.83323039706283542</v>
      </c>
      <c r="Y34" s="7">
        <f t="shared" si="23"/>
        <v>-3.8470618649976331</v>
      </c>
      <c r="Z34" s="7">
        <f t="shared" si="24"/>
        <v>9.825799361385787</v>
      </c>
      <c r="AA34" s="7">
        <f t="shared" si="25"/>
        <v>4.0310055135468481E-3</v>
      </c>
      <c r="AB34" s="7">
        <f t="shared" si="25"/>
        <v>0.3300942211800959</v>
      </c>
      <c r="AC34" s="7">
        <f t="shared" si="25"/>
        <v>0.66384359759973144</v>
      </c>
      <c r="AD34">
        <v>5.5516744239331806E-3</v>
      </c>
      <c r="AE34">
        <v>0.33275256354035898</v>
      </c>
      <c r="AF34">
        <v>0.65513191440359508</v>
      </c>
      <c r="AG34">
        <f t="shared" si="26"/>
        <v>8.5272642149229156E-5</v>
      </c>
      <c r="AH34">
        <f t="shared" si="28"/>
        <v>-8.0670524119107467E-3</v>
      </c>
      <c r="AI34">
        <f t="shared" si="28"/>
        <v>-3.8702956252304688E-2</v>
      </c>
      <c r="AJ34">
        <f t="shared" si="28"/>
        <v>4.6219153851104977E-2</v>
      </c>
      <c r="AK34">
        <f t="shared" si="29"/>
        <v>5.7371425599813011E-5</v>
      </c>
      <c r="AL34">
        <f t="shared" si="30"/>
        <v>1.4419270125442594E-3</v>
      </c>
      <c r="AM34">
        <f t="shared" si="31"/>
        <v>2.5472815251026263E-4</v>
      </c>
      <c r="AN34">
        <f t="shared" si="32"/>
        <v>4.1256747511868569E-6</v>
      </c>
      <c r="AP34" t="s">
        <v>107</v>
      </c>
      <c r="AQ34">
        <v>-0.21405022822617989</v>
      </c>
      <c r="AR34">
        <v>-8.0337058197564634E-2</v>
      </c>
      <c r="AV34">
        <v>7.1641033651608829E-2</v>
      </c>
      <c r="AW34">
        <v>-2.5505349563610769</v>
      </c>
      <c r="AX34">
        <v>-0.15391343825243761</v>
      </c>
      <c r="AY34">
        <v>-0.14863731223834148</v>
      </c>
    </row>
    <row r="35" spans="1:51">
      <c r="A35" s="6">
        <v>33</v>
      </c>
      <c r="B35" s="7">
        <f t="shared" si="0"/>
        <v>80.52621175617432</v>
      </c>
      <c r="C35" s="7">
        <f t="shared" si="1"/>
        <v>1</v>
      </c>
      <c r="D35" s="7">
        <f t="shared" si="2"/>
        <v>6.1373685100633111</v>
      </c>
      <c r="E35" s="7">
        <f t="shared" si="3"/>
        <v>9.5421143746617165</v>
      </c>
      <c r="F35" s="7">
        <f t="shared" si="4"/>
        <v>9.5421143746617165</v>
      </c>
      <c r="G35" s="7">
        <f t="shared" si="5"/>
        <v>211.58724416893364</v>
      </c>
      <c r="H35" s="7">
        <f t="shared" si="6"/>
        <v>1</v>
      </c>
      <c r="I35" s="7">
        <f t="shared" si="7"/>
        <v>-0.93763391255682649</v>
      </c>
      <c r="J35" s="7">
        <f t="shared" si="8"/>
        <v>-8.591574213193347</v>
      </c>
      <c r="K35" s="7">
        <f t="shared" si="9"/>
        <v>1.354689283175063</v>
      </c>
      <c r="L35" s="7">
        <f t="shared" si="10"/>
        <v>201.93911102264295</v>
      </c>
      <c r="M35" s="7">
        <f t="shared" si="11"/>
        <v>1</v>
      </c>
      <c r="N35" s="7">
        <f t="shared" si="12"/>
        <v>-5.7538184962364118</v>
      </c>
      <c r="O35" s="7">
        <f t="shared" si="13"/>
        <v>4.0303175138017364</v>
      </c>
      <c r="P35" s="7">
        <f t="shared" si="14"/>
        <v>-8.4303084139958209</v>
      </c>
      <c r="Q35" s="7">
        <f t="shared" si="15"/>
        <v>1.6333925933685856</v>
      </c>
      <c r="R35" s="7">
        <f t="shared" si="16"/>
        <v>0.9265432054596292</v>
      </c>
      <c r="S35" s="7">
        <f t="shared" si="17"/>
        <v>1.3830623933052653</v>
      </c>
      <c r="T35" s="7">
        <f t="shared" si="18"/>
        <v>-0.84582265856261696</v>
      </c>
      <c r="U35" s="7">
        <f t="shared" si="19"/>
        <v>-11.578642781393468</v>
      </c>
      <c r="V35" s="7">
        <f t="shared" si="20"/>
        <v>-3.7780660275229927</v>
      </c>
      <c r="W35" s="7">
        <f t="shared" si="21"/>
        <v>-0.99895475882601115</v>
      </c>
      <c r="X35" s="7">
        <f t="shared" si="22"/>
        <v>-0.83348577564225368</v>
      </c>
      <c r="Y35" s="7">
        <f t="shared" si="23"/>
        <v>-3.8468471451096211</v>
      </c>
      <c r="Z35" s="7">
        <f t="shared" si="24"/>
        <v>9.8258408078107013</v>
      </c>
      <c r="AA35" s="7">
        <f t="shared" si="25"/>
        <v>-4.5072810669156693E-3</v>
      </c>
      <c r="AB35" s="7">
        <f t="shared" si="25"/>
        <v>0.28818787159786785</v>
      </c>
      <c r="AC35" s="7">
        <f t="shared" si="25"/>
        <v>0.71369327025819196</v>
      </c>
      <c r="AD35">
        <v>1.2931474477337201E-2</v>
      </c>
      <c r="AE35">
        <v>0.31162242112024097</v>
      </c>
      <c r="AF35">
        <v>0.68166378325101906</v>
      </c>
      <c r="AG35">
        <f t="shared" si="26"/>
        <v>1.8791763441914258E-3</v>
      </c>
      <c r="AH35">
        <f t="shared" si="28"/>
        <v>-8.5382865804625174E-3</v>
      </c>
      <c r="AI35">
        <f t="shared" si="28"/>
        <v>-4.1906349582228053E-2</v>
      </c>
      <c r="AJ35">
        <f t="shared" si="28"/>
        <v>4.984967265846052E-2</v>
      </c>
      <c r="AK35">
        <f t="shared" si="29"/>
        <v>5.5705453508140109E-5</v>
      </c>
      <c r="AL35">
        <f t="shared" si="30"/>
        <v>1.5576003076567164E-3</v>
      </c>
      <c r="AM35">
        <f t="shared" si="31"/>
        <v>4.627747302725719E-4</v>
      </c>
      <c r="AN35">
        <f t="shared" si="32"/>
        <v>6.8966071547946394E-6</v>
      </c>
      <c r="AP35" t="s">
        <v>108</v>
      </c>
      <c r="AQ35">
        <v>3.2855915039409433</v>
      </c>
      <c r="AR35">
        <v>2.2415366918871547</v>
      </c>
      <c r="AV35">
        <v>-1.227214239152262</v>
      </c>
      <c r="AW35">
        <v>-1.2935814736586655</v>
      </c>
      <c r="AX35">
        <v>0.78109259877811277</v>
      </c>
      <c r="AY35">
        <v>0.73024377411072294</v>
      </c>
    </row>
    <row r="36" spans="1:51">
      <c r="A36" s="6">
        <v>34</v>
      </c>
      <c r="B36" s="7">
        <f t="shared" si="0"/>
        <v>82.747653742732737</v>
      </c>
      <c r="C36" s="7">
        <f t="shared" si="1"/>
        <v>1</v>
      </c>
      <c r="D36" s="7">
        <f t="shared" si="2"/>
        <v>6.1373685100633111</v>
      </c>
      <c r="E36" s="7">
        <f t="shared" si="3"/>
        <v>9.5421143746617165</v>
      </c>
      <c r="F36" s="7">
        <f t="shared" si="4"/>
        <v>9.5421143746617165</v>
      </c>
      <c r="G36" s="7">
        <f t="shared" si="5"/>
        <v>217.85190642512913</v>
      </c>
      <c r="H36" s="7">
        <f t="shared" si="6"/>
        <v>1</v>
      </c>
      <c r="I36" s="7">
        <f t="shared" si="7"/>
        <v>-0.93763391255682649</v>
      </c>
      <c r="J36" s="7">
        <f t="shared" si="8"/>
        <v>-8.591574213193347</v>
      </c>
      <c r="K36" s="7">
        <f t="shared" si="9"/>
        <v>1.354689283175063</v>
      </c>
      <c r="L36" s="7">
        <f t="shared" si="10"/>
        <v>207.9651986737376</v>
      </c>
      <c r="M36" s="7">
        <f t="shared" si="11"/>
        <v>1</v>
      </c>
      <c r="N36" s="7">
        <f t="shared" si="12"/>
        <v>-5.7538184962364118</v>
      </c>
      <c r="O36" s="7">
        <f t="shared" si="13"/>
        <v>4.0303175138017364</v>
      </c>
      <c r="P36" s="7">
        <f t="shared" si="14"/>
        <v>-8.4303084139958209</v>
      </c>
      <c r="Q36" s="7">
        <f t="shared" si="15"/>
        <v>1.5925351947027286</v>
      </c>
      <c r="R36" s="7">
        <f t="shared" si="16"/>
        <v>0.92053713586299268</v>
      </c>
      <c r="S36" s="7">
        <f t="shared" si="17"/>
        <v>1.3741280697215494</v>
      </c>
      <c r="T36" s="7">
        <f t="shared" si="18"/>
        <v>-0.89125637149192283</v>
      </c>
      <c r="U36" s="7">
        <f t="shared" si="19"/>
        <v>-11.524917349426179</v>
      </c>
      <c r="V36" s="7">
        <f t="shared" si="20"/>
        <v>-3.9921162557491732</v>
      </c>
      <c r="W36" s="7">
        <f t="shared" si="21"/>
        <v>-0.99931864429916439</v>
      </c>
      <c r="X36" s="7">
        <f t="shared" si="22"/>
        <v>-0.83365229438171817</v>
      </c>
      <c r="Y36" s="7">
        <f t="shared" si="23"/>
        <v>-3.8467071377324511</v>
      </c>
      <c r="Z36" s="7">
        <f t="shared" si="24"/>
        <v>9.8258678328119657</v>
      </c>
      <c r="AA36" s="7">
        <f t="shared" si="25"/>
        <v>-1.3608123390095983E-2</v>
      </c>
      <c r="AB36" s="7">
        <f t="shared" si="25"/>
        <v>0.242894166045732</v>
      </c>
      <c r="AC36" s="7">
        <f t="shared" si="25"/>
        <v>0.76744572722674498</v>
      </c>
      <c r="AD36">
        <v>8.6066661943624695E-3</v>
      </c>
      <c r="AE36">
        <v>0.29035002727487702</v>
      </c>
      <c r="AF36">
        <v>0.69814062804294097</v>
      </c>
      <c r="AG36">
        <f t="shared" si="26"/>
        <v>7.5487524141585449E-3</v>
      </c>
      <c r="AH36">
        <f t="shared" si="28"/>
        <v>-9.1008423231803137E-3</v>
      </c>
      <c r="AI36">
        <f t="shared" si="28"/>
        <v>-4.5293705552135854E-2</v>
      </c>
      <c r="AJ36">
        <f t="shared" si="28"/>
        <v>5.375245696855302E-2</v>
      </c>
      <c r="AK36">
        <f t="shared" si="29"/>
        <v>7.1139210468274994E-5</v>
      </c>
      <c r="AL36">
        <f t="shared" si="30"/>
        <v>1.7117401896855336E-3</v>
      </c>
      <c r="AM36">
        <f t="shared" si="31"/>
        <v>7.4798940880402786E-4</v>
      </c>
      <c r="AN36">
        <f t="shared" si="32"/>
        <v>1.0681328101711959E-5</v>
      </c>
      <c r="AP36" t="s">
        <v>109</v>
      </c>
      <c r="AQ36">
        <v>0.45761304517469187</v>
      </c>
      <c r="AR36">
        <v>-4.2700269126349752</v>
      </c>
      <c r="AV36">
        <v>-1.2276815742688856</v>
      </c>
      <c r="AW36">
        <v>0.26070645634249168</v>
      </c>
      <c r="AX36">
        <v>1.4234095966775542</v>
      </c>
      <c r="AY36">
        <v>2.0829721063405828</v>
      </c>
    </row>
    <row r="37" spans="1:51">
      <c r="A37" s="6">
        <v>35</v>
      </c>
      <c r="B37" s="7">
        <f t="shared" si="0"/>
        <v>84.969095729291169</v>
      </c>
      <c r="C37" s="7">
        <f t="shared" si="1"/>
        <v>1</v>
      </c>
      <c r="D37" s="7">
        <f t="shared" si="2"/>
        <v>6.1373685100633111</v>
      </c>
      <c r="E37" s="7">
        <f t="shared" si="3"/>
        <v>9.5421143746617165</v>
      </c>
      <c r="F37" s="7">
        <f t="shared" si="4"/>
        <v>9.5421143746617165</v>
      </c>
      <c r="G37" s="7">
        <f t="shared" si="5"/>
        <v>224.11656868132465</v>
      </c>
      <c r="H37" s="7">
        <f t="shared" si="6"/>
        <v>1</v>
      </c>
      <c r="I37" s="7">
        <f t="shared" si="7"/>
        <v>-0.93763391255682649</v>
      </c>
      <c r="J37" s="7">
        <f t="shared" si="8"/>
        <v>-8.591574213193347</v>
      </c>
      <c r="K37" s="7">
        <f t="shared" si="9"/>
        <v>1.354689283175063</v>
      </c>
      <c r="L37" s="7">
        <f t="shared" si="10"/>
        <v>213.99128632483223</v>
      </c>
      <c r="M37" s="7">
        <f t="shared" si="11"/>
        <v>1</v>
      </c>
      <c r="N37" s="7">
        <f t="shared" si="12"/>
        <v>-5.7538184962364118</v>
      </c>
      <c r="O37" s="7">
        <f t="shared" si="13"/>
        <v>4.0303175138017364</v>
      </c>
      <c r="P37" s="7">
        <f t="shared" si="14"/>
        <v>-8.4303084139958209</v>
      </c>
      <c r="Q37" s="7">
        <f t="shared" si="15"/>
        <v>1.5516777960368717</v>
      </c>
      <c r="R37" s="7">
        <f t="shared" si="16"/>
        <v>0.91406189585406039</v>
      </c>
      <c r="S37" s="7">
        <f t="shared" si="17"/>
        <v>1.3644958321007232</v>
      </c>
      <c r="T37" s="7">
        <f t="shared" si="18"/>
        <v>-0.94023918645612792</v>
      </c>
      <c r="U37" s="7">
        <f t="shared" si="19"/>
        <v>-11.4669950991135</v>
      </c>
      <c r="V37" s="7">
        <f t="shared" si="20"/>
        <v>-4.2061664839753528</v>
      </c>
      <c r="W37" s="7">
        <f t="shared" si="21"/>
        <v>-0.99955587649677813</v>
      </c>
      <c r="X37" s="7">
        <f t="shared" si="22"/>
        <v>-0.83376085493008167</v>
      </c>
      <c r="Y37" s="7">
        <f t="shared" si="23"/>
        <v>-3.8466158610527854</v>
      </c>
      <c r="Z37" s="7">
        <f t="shared" si="24"/>
        <v>9.8258854515434457</v>
      </c>
      <c r="AA37" s="7">
        <f t="shared" si="25"/>
        <v>-2.3348921559285696E-2</v>
      </c>
      <c r="AB37" s="7">
        <f t="shared" si="25"/>
        <v>0.19400262776119259</v>
      </c>
      <c r="AC37" s="7">
        <f t="shared" si="25"/>
        <v>0.82538559627090358</v>
      </c>
      <c r="AD37">
        <v>7.3575980325581393E-3</v>
      </c>
      <c r="AE37">
        <v>0.272509543831852</v>
      </c>
      <c r="AF37">
        <v>0.71941411557586699</v>
      </c>
      <c r="AG37">
        <f t="shared" si="26"/>
        <v>1.8336180937068361E-2</v>
      </c>
      <c r="AH37">
        <f t="shared" si="28"/>
        <v>-9.7407981691897128E-3</v>
      </c>
      <c r="AI37">
        <f t="shared" si="28"/>
        <v>-4.8891538284539404E-2</v>
      </c>
      <c r="AJ37">
        <f t="shared" si="28"/>
        <v>5.7939869044158598E-2</v>
      </c>
      <c r="AK37">
        <f t="shared" si="29"/>
        <v>8.4752035140322121E-5</v>
      </c>
      <c r="AL37">
        <f t="shared" si="30"/>
        <v>1.9285586964407169E-3</v>
      </c>
      <c r="AM37">
        <f t="shared" si="31"/>
        <v>1.0995283350081603E-3</v>
      </c>
      <c r="AN37">
        <f t="shared" si="32"/>
        <v>1.5687124901885236E-5</v>
      </c>
      <c r="AP37" t="s">
        <v>110</v>
      </c>
      <c r="AQ37">
        <v>-0.37635104646413281</v>
      </c>
      <c r="AR37">
        <v>0.61403036638574915</v>
      </c>
      <c r="AV37">
        <v>-1.7976533110692574</v>
      </c>
      <c r="AW37">
        <v>0.35133762254431516</v>
      </c>
      <c r="AX37">
        <v>0.71259000195653832</v>
      </c>
      <c r="AY37">
        <v>1.0547734180759021</v>
      </c>
    </row>
    <row r="38" spans="1:51">
      <c r="A38" s="6">
        <v>36</v>
      </c>
      <c r="B38" s="7">
        <f t="shared" si="0"/>
        <v>87.190537715849587</v>
      </c>
      <c r="C38" s="7">
        <f t="shared" si="1"/>
        <v>1</v>
      </c>
      <c r="D38" s="7">
        <f t="shared" si="2"/>
        <v>6.1373685100633111</v>
      </c>
      <c r="E38" s="7">
        <f t="shared" si="3"/>
        <v>9.5421143746617165</v>
      </c>
      <c r="F38" s="7">
        <f t="shared" si="4"/>
        <v>9.5421143746617165</v>
      </c>
      <c r="G38" s="7">
        <f t="shared" si="5"/>
        <v>230.38123093752014</v>
      </c>
      <c r="H38" s="7">
        <f t="shared" si="6"/>
        <v>1</v>
      </c>
      <c r="I38" s="7">
        <f t="shared" si="7"/>
        <v>-0.93763391255682649</v>
      </c>
      <c r="J38" s="7">
        <f t="shared" si="8"/>
        <v>-8.591574213193347</v>
      </c>
      <c r="K38" s="7">
        <f t="shared" si="9"/>
        <v>1.354689283175063</v>
      </c>
      <c r="L38" s="7">
        <f t="shared" si="10"/>
        <v>220.01737397592689</v>
      </c>
      <c r="M38" s="7">
        <f t="shared" si="11"/>
        <v>1</v>
      </c>
      <c r="N38" s="7">
        <f t="shared" si="12"/>
        <v>-5.7538184962364118</v>
      </c>
      <c r="O38" s="7">
        <f t="shared" si="13"/>
        <v>4.0303175138017364</v>
      </c>
      <c r="P38" s="7">
        <f t="shared" si="14"/>
        <v>-8.4303084139958209</v>
      </c>
      <c r="Q38" s="7">
        <f t="shared" si="15"/>
        <v>1.510820397371015</v>
      </c>
      <c r="R38" s="7">
        <f t="shared" si="16"/>
        <v>0.90708453168840586</v>
      </c>
      <c r="S38" s="7">
        <f t="shared" si="17"/>
        <v>1.3541166601290415</v>
      </c>
      <c r="T38" s="7">
        <f t="shared" si="18"/>
        <v>-0.99302038644140644</v>
      </c>
      <c r="U38" s="7">
        <f t="shared" si="19"/>
        <v>-11.404581252959803</v>
      </c>
      <c r="V38" s="7">
        <f t="shared" si="20"/>
        <v>-4.4202167122015323</v>
      </c>
      <c r="W38" s="7">
        <f t="shared" si="21"/>
        <v>-0.99971052192370136</v>
      </c>
      <c r="X38" s="7">
        <f t="shared" si="22"/>
        <v>-0.83383162269481836</v>
      </c>
      <c r="Y38" s="7">
        <f t="shared" si="23"/>
        <v>-3.8465563601872321</v>
      </c>
      <c r="Z38" s="7">
        <f t="shared" si="24"/>
        <v>9.8258969367308655</v>
      </c>
      <c r="AA38" s="7">
        <f t="shared" si="25"/>
        <v>-3.3798861295704086E-2</v>
      </c>
      <c r="AB38" s="7">
        <f t="shared" si="25"/>
        <v>0.14128092864146735</v>
      </c>
      <c r="AC38" s="7">
        <f t="shared" si="25"/>
        <v>0.88781092761202096</v>
      </c>
      <c r="AD38">
        <v>2.8505374714209897E-3</v>
      </c>
      <c r="AE38">
        <v>0.25622929206750999</v>
      </c>
      <c r="AF38">
        <v>0.73983758563310398</v>
      </c>
      <c r="AG38">
        <f t="shared" si="26"/>
        <v>3.6452414620726847E-2</v>
      </c>
      <c r="AH38">
        <f t="shared" si="28"/>
        <v>-1.044993973641839E-2</v>
      </c>
      <c r="AI38">
        <f t="shared" si="28"/>
        <v>-5.272169911972524E-2</v>
      </c>
      <c r="AJ38">
        <f t="shared" si="28"/>
        <v>6.2425331341117385E-2</v>
      </c>
      <c r="AK38">
        <f t="shared" si="29"/>
        <v>1.0516818374050371E-4</v>
      </c>
      <c r="AL38">
        <f t="shared" si="30"/>
        <v>2.202455657276343E-3</v>
      </c>
      <c r="AM38">
        <f t="shared" si="31"/>
        <v>1.5307693907225031E-3</v>
      </c>
      <c r="AN38">
        <f t="shared" si="32"/>
        <v>2.2155896467444708E-5</v>
      </c>
      <c r="AP38" t="s">
        <v>111</v>
      </c>
      <c r="AQ38">
        <v>-0.38475670918267818</v>
      </c>
      <c r="AR38">
        <v>2.2875238083962333</v>
      </c>
      <c r="AV38">
        <v>-1.5099180545149034</v>
      </c>
      <c r="AW38">
        <v>-0.42695634560761764</v>
      </c>
      <c r="AX38">
        <v>-0.96474347960221107</v>
      </c>
      <c r="AY38">
        <v>-1.3408142958101952</v>
      </c>
    </row>
    <row r="39" spans="1:51">
      <c r="A39" s="6">
        <v>37</v>
      </c>
      <c r="B39" s="7">
        <f t="shared" si="0"/>
        <v>89.411979702408004</v>
      </c>
      <c r="C39" s="7">
        <f t="shared" si="1"/>
        <v>1</v>
      </c>
      <c r="D39" s="7">
        <f t="shared" si="2"/>
        <v>6.1373685100633111</v>
      </c>
      <c r="E39" s="7">
        <f t="shared" si="3"/>
        <v>9.5421143746617165</v>
      </c>
      <c r="F39" s="7">
        <f t="shared" si="4"/>
        <v>9.5421143746617165</v>
      </c>
      <c r="G39" s="7">
        <f t="shared" si="5"/>
        <v>236.64589319371566</v>
      </c>
      <c r="H39" s="7">
        <f t="shared" si="6"/>
        <v>1</v>
      </c>
      <c r="I39" s="7">
        <f t="shared" si="7"/>
        <v>-0.93763391255682649</v>
      </c>
      <c r="J39" s="7">
        <f t="shared" si="8"/>
        <v>-8.591574213193347</v>
      </c>
      <c r="K39" s="7">
        <f t="shared" si="9"/>
        <v>1.354689283175063</v>
      </c>
      <c r="L39" s="7">
        <f t="shared" si="10"/>
        <v>226.04346162702151</v>
      </c>
      <c r="M39" s="7">
        <f t="shared" si="11"/>
        <v>1</v>
      </c>
      <c r="N39" s="7">
        <f t="shared" si="12"/>
        <v>-5.7538184962364118</v>
      </c>
      <c r="O39" s="7">
        <f t="shared" si="13"/>
        <v>4.0303175138017364</v>
      </c>
      <c r="P39" s="7">
        <f t="shared" si="14"/>
        <v>-8.4303084139958209</v>
      </c>
      <c r="Q39" s="7">
        <f t="shared" si="15"/>
        <v>1.4699629987051581</v>
      </c>
      <c r="R39" s="7">
        <f t="shared" si="16"/>
        <v>0.89957039500253322</v>
      </c>
      <c r="S39" s="7">
        <f t="shared" si="17"/>
        <v>1.3429390126636425</v>
      </c>
      <c r="T39" s="7">
        <f t="shared" si="18"/>
        <v>-1.0498620736054525</v>
      </c>
      <c r="U39" s="7">
        <f t="shared" si="19"/>
        <v>-11.337365874780396</v>
      </c>
      <c r="V39" s="7">
        <f t="shared" si="20"/>
        <v>-4.6342669404277128</v>
      </c>
      <c r="W39" s="7">
        <f t="shared" si="21"/>
        <v>-0.9998113243288419</v>
      </c>
      <c r="X39" s="7">
        <f t="shared" si="22"/>
        <v>-0.83387775119039564</v>
      </c>
      <c r="Y39" s="7">
        <f t="shared" si="23"/>
        <v>-3.8465175757855525</v>
      </c>
      <c r="Z39" s="7">
        <f t="shared" si="24"/>
        <v>9.8259044231114085</v>
      </c>
      <c r="AA39" s="7">
        <f t="shared" si="25"/>
        <v>-4.5022637256680431E-2</v>
      </c>
      <c r="AB39" s="7">
        <f t="shared" si="25"/>
        <v>8.4478025879100915E-2</v>
      </c>
      <c r="AC39" s="7">
        <f t="shared" si="25"/>
        <v>0.95503379217197093</v>
      </c>
      <c r="AD39">
        <v>-2.1838521820841201E-4</v>
      </c>
      <c r="AE39">
        <v>0.23591031536785101</v>
      </c>
      <c r="AF39">
        <v>0.75684413386429605</v>
      </c>
      <c r="AG39">
        <f t="shared" si="26"/>
        <v>6.4218299960644459E-2</v>
      </c>
      <c r="AH39">
        <f t="shared" si="28"/>
        <v>-1.1223775960976345E-2</v>
      </c>
      <c r="AI39">
        <f t="shared" si="28"/>
        <v>-5.6802902762366436E-2</v>
      </c>
      <c r="AJ39">
        <f t="shared" si="28"/>
        <v>6.7222864559949969E-2</v>
      </c>
      <c r="AK39">
        <f t="shared" si="29"/>
        <v>1.2628175433519192E-4</v>
      </c>
      <c r="AL39">
        <f t="shared" si="30"/>
        <v>2.5192805528764712E-3</v>
      </c>
      <c r="AM39">
        <f t="shared" si="31"/>
        <v>2.0949197434470598E-3</v>
      </c>
      <c r="AN39">
        <f t="shared" si="32"/>
        <v>3.0369128316904445E-5</v>
      </c>
      <c r="AP39" t="s">
        <v>112</v>
      </c>
      <c r="AQ39">
        <v>-4.2312016907378931</v>
      </c>
      <c r="AR39">
        <v>-2.644369418133639</v>
      </c>
      <c r="AV39">
        <v>-1.7975175662393299</v>
      </c>
      <c r="AW39">
        <v>-0.20786890988047585</v>
      </c>
      <c r="AX39">
        <v>3.4668461599557651E-2</v>
      </c>
      <c r="AY39">
        <v>4.2423049591235842E-2</v>
      </c>
    </row>
    <row r="40" spans="1:51">
      <c r="A40" s="6">
        <v>38</v>
      </c>
      <c r="B40" s="7">
        <f t="shared" si="0"/>
        <v>91.633421688966422</v>
      </c>
      <c r="C40" s="7">
        <f t="shared" si="1"/>
        <v>1</v>
      </c>
      <c r="D40" s="7">
        <f t="shared" si="2"/>
        <v>6.1373685100633111</v>
      </c>
      <c r="E40" s="7">
        <f t="shared" si="3"/>
        <v>9.5421143746617165</v>
      </c>
      <c r="F40" s="7">
        <f t="shared" si="4"/>
        <v>9.5421143746617165</v>
      </c>
      <c r="G40" s="7">
        <f t="shared" si="5"/>
        <v>242.91055544991119</v>
      </c>
      <c r="H40" s="7">
        <f t="shared" si="6"/>
        <v>1</v>
      </c>
      <c r="I40" s="7">
        <f t="shared" si="7"/>
        <v>-0.93763391255682649</v>
      </c>
      <c r="J40" s="7">
        <f t="shared" si="8"/>
        <v>-8.591574213193347</v>
      </c>
      <c r="K40" s="7">
        <f t="shared" si="9"/>
        <v>1.354689283175063</v>
      </c>
      <c r="L40" s="7">
        <f t="shared" si="10"/>
        <v>232.06954927811614</v>
      </c>
      <c r="M40" s="7">
        <f t="shared" si="11"/>
        <v>1</v>
      </c>
      <c r="N40" s="7">
        <f t="shared" si="12"/>
        <v>-5.7538184962364118</v>
      </c>
      <c r="O40" s="7">
        <f t="shared" si="13"/>
        <v>4.0303175138017364</v>
      </c>
      <c r="P40" s="7">
        <f t="shared" si="14"/>
        <v>-8.4303084139958209</v>
      </c>
      <c r="Q40" s="7">
        <f t="shared" si="15"/>
        <v>1.4291056000393012</v>
      </c>
      <c r="R40" s="7">
        <f t="shared" si="16"/>
        <v>0.89148316280613704</v>
      </c>
      <c r="S40" s="7">
        <f t="shared" si="17"/>
        <v>1.3309088574720158</v>
      </c>
      <c r="T40" s="7">
        <f t="shared" si="18"/>
        <v>-1.1110390180433711</v>
      </c>
      <c r="U40" s="7">
        <f t="shared" si="19"/>
        <v>-11.26502404853608</v>
      </c>
      <c r="V40" s="7">
        <f t="shared" si="20"/>
        <v>-4.8483171686538933</v>
      </c>
      <c r="W40" s="7">
        <f t="shared" si="21"/>
        <v>-0.99987702735736828</v>
      </c>
      <c r="X40" s="7">
        <f t="shared" si="22"/>
        <v>-0.83390781775335676</v>
      </c>
      <c r="Y40" s="7">
        <f t="shared" si="23"/>
        <v>-3.8464922961045134</v>
      </c>
      <c r="Z40" s="7">
        <f t="shared" si="24"/>
        <v>9.8259093027357967</v>
      </c>
      <c r="AA40" s="7">
        <f t="shared" si="25"/>
        <v>-5.7082859011268194E-2</v>
      </c>
      <c r="AB40" s="7">
        <f t="shared" si="25"/>
        <v>2.3326361122221417E-2</v>
      </c>
      <c r="AC40" s="7">
        <f t="shared" si="25"/>
        <v>1.0273804980406744</v>
      </c>
      <c r="AD40">
        <v>8.2348707294253292E-3</v>
      </c>
      <c r="AE40">
        <v>0.22078107592961702</v>
      </c>
      <c r="AF40">
        <v>0.7750441208199299</v>
      </c>
      <c r="AG40">
        <f t="shared" si="26"/>
        <v>0.1069284174870381</v>
      </c>
      <c r="AH40">
        <f t="shared" si="28"/>
        <v>-1.2060221754587763E-2</v>
      </c>
      <c r="AI40">
        <f t="shared" si="28"/>
        <v>-6.1151664756879498E-2</v>
      </c>
      <c r="AJ40">
        <f t="shared" si="28"/>
        <v>7.2346705868703509E-2</v>
      </c>
      <c r="AK40">
        <f t="shared" si="29"/>
        <v>1.3398889957716637E-4</v>
      </c>
      <c r="AL40">
        <f t="shared" si="30"/>
        <v>2.9240336537511677E-3</v>
      </c>
      <c r="AM40">
        <f t="shared" si="31"/>
        <v>2.7321441418841409E-3</v>
      </c>
      <c r="AN40">
        <f t="shared" si="32"/>
        <v>4.0653374066444078E-5</v>
      </c>
      <c r="AP40" t="s">
        <v>113</v>
      </c>
      <c r="AQ40">
        <v>-7.4267876184512346E-2</v>
      </c>
      <c r="AR40">
        <v>1.502806988855905</v>
      </c>
      <c r="AV40">
        <v>2.6839574668169695</v>
      </c>
      <c r="AW40">
        <v>-5.8710496565633319E-2</v>
      </c>
      <c r="AX40">
        <v>-0.42548442713080414</v>
      </c>
      <c r="AY40">
        <v>-0.7864733891569633</v>
      </c>
    </row>
    <row r="41" spans="1:51">
      <c r="A41" s="6">
        <v>39</v>
      </c>
      <c r="B41" s="7">
        <f t="shared" si="0"/>
        <v>93.85486367552484</v>
      </c>
      <c r="C41" s="7">
        <f t="shared" si="1"/>
        <v>1</v>
      </c>
      <c r="D41" s="7">
        <f t="shared" si="2"/>
        <v>6.1373685100633111</v>
      </c>
      <c r="E41" s="7">
        <f t="shared" si="3"/>
        <v>9.5421143746617165</v>
      </c>
      <c r="F41" s="7">
        <f t="shared" si="4"/>
        <v>9.5421143746617165</v>
      </c>
      <c r="G41" s="7">
        <f t="shared" si="5"/>
        <v>249.17521770610668</v>
      </c>
      <c r="H41" s="7">
        <f t="shared" si="6"/>
        <v>1</v>
      </c>
      <c r="I41" s="7">
        <f t="shared" si="7"/>
        <v>-0.93763391255682649</v>
      </c>
      <c r="J41" s="7">
        <f t="shared" si="8"/>
        <v>-8.591574213193347</v>
      </c>
      <c r="K41" s="7">
        <f t="shared" si="9"/>
        <v>1.354689283175063</v>
      </c>
      <c r="L41" s="7">
        <f t="shared" si="10"/>
        <v>238.0956369292108</v>
      </c>
      <c r="M41" s="7">
        <f t="shared" si="11"/>
        <v>1</v>
      </c>
      <c r="N41" s="7">
        <f t="shared" si="12"/>
        <v>-5.7538184962364118</v>
      </c>
      <c r="O41" s="7">
        <f t="shared" si="13"/>
        <v>4.0303175138017364</v>
      </c>
      <c r="P41" s="7">
        <f t="shared" si="14"/>
        <v>-8.4303084139958209</v>
      </c>
      <c r="Q41" s="7">
        <f t="shared" si="15"/>
        <v>1.3882482013734443</v>
      </c>
      <c r="R41" s="7">
        <f t="shared" si="16"/>
        <v>0.88278488032061919</v>
      </c>
      <c r="S41" s="7">
        <f t="shared" si="17"/>
        <v>1.3179697349564021</v>
      </c>
      <c r="T41" s="7">
        <f t="shared" si="18"/>
        <v>-1.1768383337300126</v>
      </c>
      <c r="U41" s="7">
        <f t="shared" si="19"/>
        <v>-11.187216261531805</v>
      </c>
      <c r="V41" s="7">
        <f t="shared" si="20"/>
        <v>-5.0623673968800729</v>
      </c>
      <c r="W41" s="7">
        <f t="shared" si="21"/>
        <v>-0.99991985136329264</v>
      </c>
      <c r="X41" s="7">
        <f t="shared" si="22"/>
        <v>-0.8339274145771145</v>
      </c>
      <c r="Y41" s="7">
        <f t="shared" si="23"/>
        <v>-3.8464758192809199</v>
      </c>
      <c r="Z41" s="7">
        <f t="shared" si="24"/>
        <v>9.8259124831837656</v>
      </c>
      <c r="AA41" s="7">
        <f t="shared" si="25"/>
        <v>-7.0041578350639622E-2</v>
      </c>
      <c r="AB41" s="7">
        <f t="shared" si="25"/>
        <v>-4.2456477740826504E-2</v>
      </c>
      <c r="AC41" s="7">
        <f t="shared" si="25"/>
        <v>1.1051914654929185</v>
      </c>
      <c r="AD41">
        <v>3.9663387236011597E-3</v>
      </c>
      <c r="AE41">
        <v>0.204823212440885</v>
      </c>
      <c r="AF41">
        <v>0.78395269848070492</v>
      </c>
      <c r="AG41">
        <f t="shared" si="26"/>
        <v>0.16981876239755817</v>
      </c>
      <c r="AH41">
        <f t="shared" si="28"/>
        <v>-1.2958719339371427E-2</v>
      </c>
      <c r="AI41">
        <f t="shared" si="28"/>
        <v>-6.5782838863047921E-2</v>
      </c>
      <c r="AJ41">
        <f t="shared" si="28"/>
        <v>7.7810967452244029E-2</v>
      </c>
      <c r="AK41">
        <f t="shared" si="29"/>
        <v>1.6236018000133034E-4</v>
      </c>
      <c r="AL41">
        <f t="shared" si="30"/>
        <v>3.4041827853626121E-3</v>
      </c>
      <c r="AM41">
        <f t="shared" si="31"/>
        <v>3.5029009955654241E-3</v>
      </c>
      <c r="AN41">
        <f t="shared" si="32"/>
        <v>5.3386266174785019E-5</v>
      </c>
      <c r="AP41" t="s">
        <v>114</v>
      </c>
      <c r="AQ41">
        <v>9.7516505594682812</v>
      </c>
      <c r="AR41">
        <v>-1.4983673951622454</v>
      </c>
      <c r="AV41">
        <v>-1.6888971750322606</v>
      </c>
      <c r="AW41">
        <v>0.17112685445309472</v>
      </c>
      <c r="AX41">
        <v>-0.30032614603450281</v>
      </c>
      <c r="AY41">
        <v>-0.6009226278552906</v>
      </c>
    </row>
    <row r="42" spans="1:51">
      <c r="A42" s="6">
        <v>40</v>
      </c>
      <c r="B42" s="7">
        <f t="shared" si="0"/>
        <v>96.076305662083271</v>
      </c>
      <c r="C42" s="7">
        <f t="shared" si="1"/>
        <v>1</v>
      </c>
      <c r="D42" s="7">
        <f t="shared" si="2"/>
        <v>6.1373685100633111</v>
      </c>
      <c r="E42" s="7">
        <f t="shared" si="3"/>
        <v>9.5421143746617165</v>
      </c>
      <c r="F42" s="7">
        <f t="shared" si="4"/>
        <v>9.5421143746617165</v>
      </c>
      <c r="G42" s="7">
        <f t="shared" si="5"/>
        <v>255.4398799623022</v>
      </c>
      <c r="H42" s="7">
        <f t="shared" si="6"/>
        <v>1</v>
      </c>
      <c r="I42" s="7">
        <f t="shared" si="7"/>
        <v>-0.93763391255682649</v>
      </c>
      <c r="J42" s="7">
        <f t="shared" si="8"/>
        <v>-8.591574213193347</v>
      </c>
      <c r="K42" s="7">
        <f t="shared" si="9"/>
        <v>1.354689283175063</v>
      </c>
      <c r="L42" s="7">
        <f t="shared" si="10"/>
        <v>244.12172458030543</v>
      </c>
      <c r="M42" s="7">
        <f t="shared" si="11"/>
        <v>1</v>
      </c>
      <c r="N42" s="7">
        <f t="shared" si="12"/>
        <v>-5.7538184962364118</v>
      </c>
      <c r="O42" s="7">
        <f t="shared" si="13"/>
        <v>4.0303175138017364</v>
      </c>
      <c r="P42" s="7">
        <f t="shared" si="14"/>
        <v>-8.4303084139958209</v>
      </c>
      <c r="Q42" s="7">
        <f t="shared" si="15"/>
        <v>1.3473908027075874</v>
      </c>
      <c r="R42" s="7">
        <f t="shared" si="16"/>
        <v>0.87343603052894969</v>
      </c>
      <c r="S42" s="7">
        <f t="shared" si="17"/>
        <v>1.304062861612626</v>
      </c>
      <c r="T42" s="7">
        <f t="shared" si="18"/>
        <v>-1.2475589524007944</v>
      </c>
      <c r="U42" s="7">
        <f t="shared" si="19"/>
        <v>-11.103589026553372</v>
      </c>
      <c r="V42" s="7">
        <f t="shared" si="20"/>
        <v>-5.2764176251062525</v>
      </c>
      <c r="W42" s="7">
        <f t="shared" si="21"/>
        <v>-0.99994776272244978</v>
      </c>
      <c r="X42" s="7">
        <f t="shared" si="22"/>
        <v>-0.83394018717917329</v>
      </c>
      <c r="Y42" s="7">
        <f t="shared" si="23"/>
        <v>-3.8464650801982216</v>
      </c>
      <c r="Z42" s="7">
        <f t="shared" si="24"/>
        <v>9.8259145561011323</v>
      </c>
      <c r="AA42" s="7">
        <f t="shared" si="25"/>
        <v>-8.3961224296474568E-2</v>
      </c>
      <c r="AB42" s="7">
        <f t="shared" si="25"/>
        <v>-0.11316635732891012</v>
      </c>
      <c r="AC42" s="7">
        <f t="shared" si="25"/>
        <v>1.1888207733887182</v>
      </c>
      <c r="AD42">
        <v>7.9785242352294391E-3</v>
      </c>
      <c r="AE42">
        <v>0.19286137258476199</v>
      </c>
      <c r="AF42">
        <v>0.80233719563429595</v>
      </c>
      <c r="AG42">
        <f t="shared" si="26"/>
        <v>0.2514754447100469</v>
      </c>
      <c r="AH42">
        <f t="shared" si="28"/>
        <v>-1.3919645945834946E-2</v>
      </c>
      <c r="AI42">
        <f t="shared" si="28"/>
        <v>-7.0709879588083613E-2</v>
      </c>
      <c r="AJ42">
        <f t="shared" si="28"/>
        <v>8.3629307895799698E-2</v>
      </c>
      <c r="AK42">
        <f t="shared" si="29"/>
        <v>1.8250069438264054E-4</v>
      </c>
      <c r="AL42">
        <f t="shared" si="30"/>
        <v>3.9805410569360737E-3</v>
      </c>
      <c r="AM42">
        <f t="shared" si="31"/>
        <v>4.3680737325993224E-3</v>
      </c>
      <c r="AN42">
        <f t="shared" si="32"/>
        <v>6.9003063080750709E-5</v>
      </c>
      <c r="AP42" s="1" t="s">
        <v>70</v>
      </c>
      <c r="AQ42">
        <v>9.0935283116493557E-2</v>
      </c>
      <c r="AR42">
        <v>6.7650993959300909E-2</v>
      </c>
      <c r="AV42">
        <v>6.6872179179403468E-2</v>
      </c>
      <c r="AW42">
        <v>6.703574747823153E-2</v>
      </c>
      <c r="AX42">
        <v>6.8925087388265485E-2</v>
      </c>
      <c r="AY42">
        <v>6.8948994833356911E-2</v>
      </c>
    </row>
    <row r="43" spans="1:51">
      <c r="A43" s="6">
        <v>41</v>
      </c>
      <c r="B43" s="7">
        <f t="shared" si="0"/>
        <v>98.297747648641689</v>
      </c>
      <c r="C43" s="7">
        <f t="shared" si="1"/>
        <v>1</v>
      </c>
      <c r="D43" s="7">
        <f t="shared" si="2"/>
        <v>6.1373685100633111</v>
      </c>
      <c r="E43" s="7">
        <f t="shared" si="3"/>
        <v>9.5421143746617165</v>
      </c>
      <c r="F43" s="7">
        <f t="shared" si="4"/>
        <v>9.5421143746617165</v>
      </c>
      <c r="G43" s="7">
        <f t="shared" si="5"/>
        <v>261.70454221849769</v>
      </c>
      <c r="H43" s="7">
        <f t="shared" si="6"/>
        <v>1</v>
      </c>
      <c r="I43" s="7">
        <f t="shared" si="7"/>
        <v>-0.93763391255682649</v>
      </c>
      <c r="J43" s="7">
        <f t="shared" si="8"/>
        <v>-8.591574213193347</v>
      </c>
      <c r="K43" s="7">
        <f t="shared" si="9"/>
        <v>1.354689283175063</v>
      </c>
      <c r="L43" s="7">
        <f t="shared" si="10"/>
        <v>250.14781223140005</v>
      </c>
      <c r="M43" s="7">
        <f t="shared" si="11"/>
        <v>1</v>
      </c>
      <c r="N43" s="7">
        <f t="shared" si="12"/>
        <v>-5.7538184962364118</v>
      </c>
      <c r="O43" s="7">
        <f t="shared" si="13"/>
        <v>4.0303175138017364</v>
      </c>
      <c r="P43" s="7">
        <f t="shared" si="14"/>
        <v>-8.4303084139958209</v>
      </c>
      <c r="Q43" s="7">
        <f t="shared" si="15"/>
        <v>1.3065334040417305</v>
      </c>
      <c r="R43" s="7">
        <f t="shared" si="16"/>
        <v>0.86339563459275581</v>
      </c>
      <c r="S43" s="7">
        <f t="shared" si="17"/>
        <v>1.2891272794054509</v>
      </c>
      <c r="T43" s="7">
        <f t="shared" si="18"/>
        <v>-1.323510863933266</v>
      </c>
      <c r="U43" s="7">
        <f t="shared" si="19"/>
        <v>-11.013775780117349</v>
      </c>
      <c r="V43" s="7">
        <f t="shared" si="20"/>
        <v>-5.490467853332432</v>
      </c>
      <c r="W43" s="7">
        <f t="shared" si="21"/>
        <v>-0.9999659542567928</v>
      </c>
      <c r="X43" s="7">
        <f t="shared" si="22"/>
        <v>-0.83394851186260044</v>
      </c>
      <c r="Y43" s="7">
        <f t="shared" si="23"/>
        <v>-3.8464580808833331</v>
      </c>
      <c r="Z43" s="7">
        <f t="shared" si="24"/>
        <v>9.8259159071477526</v>
      </c>
      <c r="AA43" s="7">
        <f t="shared" si="25"/>
        <v>-9.8905131187076778E-2</v>
      </c>
      <c r="AB43" s="7">
        <f t="shared" si="25"/>
        <v>-0.18911126954649315</v>
      </c>
      <c r="AC43" s="7">
        <f t="shared" si="25"/>
        <v>1.2786353708713616</v>
      </c>
      <c r="AD43">
        <v>3.1396670372780401E-3</v>
      </c>
      <c r="AE43">
        <v>0.17630438116484701</v>
      </c>
      <c r="AF43">
        <v>0.81844367482675706</v>
      </c>
      <c r="AG43">
        <f t="shared" si="26"/>
        <v>0.35571813573785116</v>
      </c>
      <c r="AH43">
        <f t="shared" si="28"/>
        <v>-1.494390689060221E-2</v>
      </c>
      <c r="AI43">
        <f t="shared" si="28"/>
        <v>-7.5944912217583038E-2</v>
      </c>
      <c r="AJ43">
        <f t="shared" si="28"/>
        <v>8.9814597482643421E-2</v>
      </c>
      <c r="AK43">
        <f t="shared" si="29"/>
        <v>2.1893007458220027E-4</v>
      </c>
      <c r="AL43">
        <f t="shared" si="30"/>
        <v>4.6515282690642234E-3</v>
      </c>
      <c r="AM43">
        <f t="shared" si="31"/>
        <v>5.4438290721940761E-3</v>
      </c>
      <c r="AN43">
        <f t="shared" si="32"/>
        <v>8.8003721275644724E-5</v>
      </c>
      <c r="AP43" s="1" t="s">
        <v>71</v>
      </c>
      <c r="AQ43">
        <v>0.26668684979848861</v>
      </c>
      <c r="AR43">
        <v>0.52549051189413742</v>
      </c>
      <c r="AV43">
        <v>0.46907788146705215</v>
      </c>
      <c r="AW43">
        <v>0.52593676241416421</v>
      </c>
      <c r="AX43">
        <v>0.49922753084959554</v>
      </c>
      <c r="AY43">
        <v>0.49984923742281573</v>
      </c>
    </row>
    <row r="44" spans="1:51">
      <c r="A44" s="6">
        <v>42</v>
      </c>
      <c r="B44" s="7">
        <f t="shared" si="0"/>
        <v>100.51918963520011</v>
      </c>
      <c r="C44" s="7">
        <f t="shared" si="1"/>
        <v>1</v>
      </c>
      <c r="D44" s="7">
        <f t="shared" si="2"/>
        <v>6.1373685100633111</v>
      </c>
      <c r="E44" s="7">
        <f t="shared" si="3"/>
        <v>9.5421143746617165</v>
      </c>
      <c r="F44" s="7">
        <f t="shared" si="4"/>
        <v>9.5421143746617165</v>
      </c>
      <c r="G44" s="7">
        <f t="shared" si="5"/>
        <v>267.96920447469319</v>
      </c>
      <c r="H44" s="7">
        <f t="shared" si="6"/>
        <v>1</v>
      </c>
      <c r="I44" s="7">
        <f t="shared" si="7"/>
        <v>-0.93763391255682649</v>
      </c>
      <c r="J44" s="7">
        <f t="shared" si="8"/>
        <v>-8.591574213193347</v>
      </c>
      <c r="K44" s="7">
        <f t="shared" si="9"/>
        <v>1.354689283175063</v>
      </c>
      <c r="L44" s="7">
        <f t="shared" si="10"/>
        <v>256.17389988249471</v>
      </c>
      <c r="M44" s="7">
        <f t="shared" si="11"/>
        <v>1</v>
      </c>
      <c r="N44" s="7">
        <f t="shared" si="12"/>
        <v>-5.7538184962364118</v>
      </c>
      <c r="O44" s="7">
        <f t="shared" si="13"/>
        <v>4.0303175138017364</v>
      </c>
      <c r="P44" s="7">
        <f t="shared" si="14"/>
        <v>-8.4303084139958209</v>
      </c>
      <c r="Q44" s="7">
        <f t="shared" si="15"/>
        <v>1.2656760053758738</v>
      </c>
      <c r="R44" s="7">
        <f t="shared" si="16"/>
        <v>0.85262138753660655</v>
      </c>
      <c r="S44" s="7">
        <f t="shared" si="17"/>
        <v>1.2731000576056168</v>
      </c>
      <c r="T44" s="7">
        <f t="shared" si="18"/>
        <v>-1.4050140899452712</v>
      </c>
      <c r="U44" s="7">
        <f t="shared" si="19"/>
        <v>-10.917398096192729</v>
      </c>
      <c r="V44" s="7">
        <f t="shared" si="20"/>
        <v>-5.7045180815586116</v>
      </c>
      <c r="W44" s="7">
        <f t="shared" si="21"/>
        <v>-0.99997781069356539</v>
      </c>
      <c r="X44" s="7">
        <f t="shared" si="22"/>
        <v>-0.83395393752273683</v>
      </c>
      <c r="Y44" s="7">
        <f t="shared" si="23"/>
        <v>-3.8464535190397378</v>
      </c>
      <c r="Z44" s="7">
        <f t="shared" si="24"/>
        <v>9.8259167877001303</v>
      </c>
      <c r="AA44" s="7">
        <f t="shared" si="25"/>
        <v>-0.11493777864704724</v>
      </c>
      <c r="AB44" s="7">
        <f t="shared" si="25"/>
        <v>-0.27060993371490305</v>
      </c>
      <c r="AC44" s="7">
        <f t="shared" si="25"/>
        <v>1.3750139353483597</v>
      </c>
      <c r="AD44">
        <v>2.6118371468564702E-3</v>
      </c>
      <c r="AE44">
        <v>0.16677826328596299</v>
      </c>
      <c r="AF44">
        <v>0.83017491401183396</v>
      </c>
      <c r="AG44">
        <f t="shared" si="26"/>
        <v>0.50197590621990595</v>
      </c>
      <c r="AH44">
        <f t="shared" si="28"/>
        <v>-1.6032647459970462E-2</v>
      </c>
      <c r="AI44">
        <f t="shared" si="28"/>
        <v>-8.1498664168409896E-2</v>
      </c>
      <c r="AJ44">
        <f t="shared" si="28"/>
        <v>9.6378564476998108E-2</v>
      </c>
      <c r="AK44">
        <f t="shared" si="29"/>
        <v>2.5333431303213697E-4</v>
      </c>
      <c r="AL44">
        <f t="shared" si="30"/>
        <v>5.4391402918269266E-3</v>
      </c>
      <c r="AM44">
        <f t="shared" si="31"/>
        <v>6.5954759852641766E-3</v>
      </c>
      <c r="AN44">
        <f t="shared" si="32"/>
        <v>1.109604581720496E-4</v>
      </c>
    </row>
    <row r="45" spans="1:51">
      <c r="A45" s="6">
        <v>43</v>
      </c>
      <c r="B45" s="7">
        <f t="shared" si="0"/>
        <v>102.74063162175852</v>
      </c>
      <c r="C45" s="7">
        <f t="shared" si="1"/>
        <v>1</v>
      </c>
      <c r="D45" s="7">
        <f t="shared" si="2"/>
        <v>6.1373685100633111</v>
      </c>
      <c r="E45" s="7">
        <f t="shared" si="3"/>
        <v>9.5421143746617165</v>
      </c>
      <c r="F45" s="7">
        <f t="shared" si="4"/>
        <v>9.5421143746617165</v>
      </c>
      <c r="G45" s="7">
        <f t="shared" si="5"/>
        <v>274.23386673088868</v>
      </c>
      <c r="H45" s="7">
        <f t="shared" si="6"/>
        <v>1</v>
      </c>
      <c r="I45" s="7">
        <f t="shared" si="7"/>
        <v>-0.93763391255682649</v>
      </c>
      <c r="J45" s="7">
        <f t="shared" si="8"/>
        <v>-8.591574213193347</v>
      </c>
      <c r="K45" s="7">
        <f t="shared" si="9"/>
        <v>1.354689283175063</v>
      </c>
      <c r="L45" s="7">
        <f t="shared" si="10"/>
        <v>262.19998753358936</v>
      </c>
      <c r="M45" s="7">
        <f t="shared" si="11"/>
        <v>1</v>
      </c>
      <c r="N45" s="7">
        <f t="shared" si="12"/>
        <v>-5.7538184962364118</v>
      </c>
      <c r="O45" s="7">
        <f t="shared" si="13"/>
        <v>4.0303175138017364</v>
      </c>
      <c r="P45" s="7">
        <f t="shared" si="14"/>
        <v>-8.4303084139958209</v>
      </c>
      <c r="Q45" s="7">
        <f t="shared" si="15"/>
        <v>1.2248186067100169</v>
      </c>
      <c r="R45" s="7">
        <f t="shared" si="16"/>
        <v>0.84106983377385625</v>
      </c>
      <c r="S45" s="7">
        <f t="shared" si="17"/>
        <v>1.2559165538931563</v>
      </c>
      <c r="T45" s="7">
        <f t="shared" si="18"/>
        <v>-1.4923973560063493</v>
      </c>
      <c r="U45" s="7">
        <f t="shared" si="19"/>
        <v>-10.814067256312907</v>
      </c>
      <c r="V45" s="7">
        <f t="shared" si="20"/>
        <v>-5.9185683097847912</v>
      </c>
      <c r="W45" s="7">
        <f t="shared" si="21"/>
        <v>-0.99998553815375546</v>
      </c>
      <c r="X45" s="7">
        <f t="shared" si="22"/>
        <v>-0.83395747370932582</v>
      </c>
      <c r="Y45" s="7">
        <f t="shared" si="23"/>
        <v>-3.8464505458475848</v>
      </c>
      <c r="Z45" s="7">
        <f t="shared" si="24"/>
        <v>9.8259173616021869</v>
      </c>
      <c r="AA45" s="7">
        <f t="shared" si="25"/>
        <v>-0.13212481854609681</v>
      </c>
      <c r="AB45" s="7">
        <f t="shared" si="25"/>
        <v>-0.35799022658382817</v>
      </c>
      <c r="AC45" s="7">
        <f t="shared" si="25"/>
        <v>1.4783453491302385</v>
      </c>
      <c r="AD45">
        <v>2.39128185473625E-3</v>
      </c>
      <c r="AE45">
        <v>0.157909899247861</v>
      </c>
      <c r="AF45">
        <v>0.83969352077445703</v>
      </c>
      <c r="AG45">
        <f t="shared" si="26"/>
        <v>0.69212367896238236</v>
      </c>
      <c r="AH45">
        <f t="shared" si="28"/>
        <v>-1.7187039899049572E-2</v>
      </c>
      <c r="AI45">
        <f t="shared" si="28"/>
        <v>-8.7380292868925125E-2</v>
      </c>
      <c r="AJ45">
        <f t="shared" si="28"/>
        <v>0.10333141378187882</v>
      </c>
      <c r="AK45">
        <f t="shared" si="29"/>
        <v>2.9194291403526209E-4</v>
      </c>
      <c r="AL45">
        <f t="shared" si="30"/>
        <v>6.3474190191722185E-3</v>
      </c>
      <c r="AM45">
        <f t="shared" si="31"/>
        <v>7.9159869582786438E-3</v>
      </c>
      <c r="AN45">
        <f t="shared" si="32"/>
        <v>1.3852574392503569E-4</v>
      </c>
      <c r="AQ45" s="10"/>
    </row>
    <row r="46" spans="1:51">
      <c r="A46" s="6">
        <v>44</v>
      </c>
      <c r="B46" s="7">
        <f t="shared" si="0"/>
        <v>104.96207360831694</v>
      </c>
      <c r="C46" s="7">
        <f t="shared" si="1"/>
        <v>1</v>
      </c>
      <c r="D46" s="7">
        <f t="shared" si="2"/>
        <v>6.1373685100633111</v>
      </c>
      <c r="E46" s="7">
        <f t="shared" si="3"/>
        <v>9.5421143746617165</v>
      </c>
      <c r="F46" s="7">
        <f t="shared" si="4"/>
        <v>9.5421143746617165</v>
      </c>
      <c r="G46" s="7">
        <f t="shared" si="5"/>
        <v>280.49852898708423</v>
      </c>
      <c r="H46" s="7">
        <f t="shared" si="6"/>
        <v>1</v>
      </c>
      <c r="I46" s="7">
        <f t="shared" si="7"/>
        <v>-0.93763391255682649</v>
      </c>
      <c r="J46" s="7">
        <f t="shared" si="8"/>
        <v>-8.591574213193347</v>
      </c>
      <c r="K46" s="7">
        <f t="shared" si="9"/>
        <v>1.354689283175063</v>
      </c>
      <c r="L46" s="7">
        <f t="shared" si="10"/>
        <v>268.22607518468396</v>
      </c>
      <c r="M46" s="7">
        <f t="shared" si="11"/>
        <v>1</v>
      </c>
      <c r="N46" s="7">
        <f t="shared" si="12"/>
        <v>-5.7538184962364118</v>
      </c>
      <c r="O46" s="7">
        <f t="shared" si="13"/>
        <v>4.0303175138017364</v>
      </c>
      <c r="P46" s="7">
        <f t="shared" si="14"/>
        <v>-8.4303084139958209</v>
      </c>
      <c r="Q46" s="7">
        <f t="shared" si="15"/>
        <v>1.1839612080441599</v>
      </c>
      <c r="R46" s="7">
        <f t="shared" si="16"/>
        <v>0.82869658712592542</v>
      </c>
      <c r="S46" s="7">
        <f t="shared" si="17"/>
        <v>1.2375107416468836</v>
      </c>
      <c r="T46" s="7">
        <f t="shared" si="18"/>
        <v>-1.5859964272725904</v>
      </c>
      <c r="U46" s="7">
        <f t="shared" si="19"/>
        <v>-10.703386217689884</v>
      </c>
      <c r="V46" s="7">
        <f t="shared" si="20"/>
        <v>-6.1326185380109726</v>
      </c>
      <c r="W46" s="7">
        <f t="shared" si="21"/>
        <v>-0.99999057452669837</v>
      </c>
      <c r="X46" s="7">
        <f t="shared" si="22"/>
        <v>-0.83395977841928493</v>
      </c>
      <c r="Y46" s="7">
        <f t="shared" si="23"/>
        <v>-3.8464486080693048</v>
      </c>
      <c r="Z46" s="7">
        <f t="shared" si="24"/>
        <v>9.8259177356429088</v>
      </c>
      <c r="AA46" s="7">
        <f t="shared" si="25"/>
        <v>-0.1505329355023286</v>
      </c>
      <c r="AB46" s="7">
        <f t="shared" si="25"/>
        <v>-0.45158736007178923</v>
      </c>
      <c r="AC46" s="7">
        <f t="shared" si="25"/>
        <v>1.5890267617939831</v>
      </c>
      <c r="AD46">
        <v>1.2757458204968699E-3</v>
      </c>
      <c r="AE46">
        <v>0.14923463373831</v>
      </c>
      <c r="AF46">
        <v>0.84673055231667504</v>
      </c>
      <c r="AG46">
        <f t="shared" si="26"/>
        <v>0.93503660657529764</v>
      </c>
      <c r="AH46">
        <f t="shared" si="28"/>
        <v>-1.840811695623179E-2</v>
      </c>
      <c r="AI46">
        <f t="shared" si="28"/>
        <v>-9.3597133487961059E-2</v>
      </c>
      <c r="AJ46">
        <f t="shared" si="28"/>
        <v>0.11068141266374454</v>
      </c>
      <c r="AK46">
        <f t="shared" si="29"/>
        <v>3.3699206616272302E-4</v>
      </c>
      <c r="AL46">
        <f t="shared" si="30"/>
        <v>7.3901215591891216E-3</v>
      </c>
      <c r="AM46">
        <f t="shared" si="31"/>
        <v>9.430491743524852E-3</v>
      </c>
      <c r="AN46">
        <f t="shared" si="32"/>
        <v>1.7144062685153059E-4</v>
      </c>
    </row>
    <row r="47" spans="1:51">
      <c r="A47" s="6">
        <v>45</v>
      </c>
      <c r="B47" s="7">
        <f t="shared" si="0"/>
        <v>107.18351559487536</v>
      </c>
      <c r="C47" s="7">
        <f t="shared" si="1"/>
        <v>1</v>
      </c>
      <c r="D47" s="7">
        <f t="shared" si="2"/>
        <v>6.1373685100633111</v>
      </c>
      <c r="E47" s="7">
        <f t="shared" si="3"/>
        <v>9.5421143746617165</v>
      </c>
      <c r="F47" s="7">
        <f t="shared" si="4"/>
        <v>9.5421143746617165</v>
      </c>
      <c r="G47" s="7">
        <f t="shared" si="5"/>
        <v>286.76319124327972</v>
      </c>
      <c r="H47" s="7">
        <f t="shared" si="6"/>
        <v>1</v>
      </c>
      <c r="I47" s="7">
        <f t="shared" si="7"/>
        <v>-0.93763391255682649</v>
      </c>
      <c r="J47" s="7">
        <f t="shared" si="8"/>
        <v>-8.591574213193347</v>
      </c>
      <c r="K47" s="7">
        <f t="shared" si="9"/>
        <v>1.354689283175063</v>
      </c>
      <c r="L47" s="7">
        <f t="shared" si="10"/>
        <v>274.25216283577862</v>
      </c>
      <c r="M47" s="7">
        <f t="shared" si="11"/>
        <v>1</v>
      </c>
      <c r="N47" s="7">
        <f t="shared" si="12"/>
        <v>-5.7538184962364118</v>
      </c>
      <c r="O47" s="7">
        <f t="shared" si="13"/>
        <v>4.0303175138017364</v>
      </c>
      <c r="P47" s="7">
        <f t="shared" si="14"/>
        <v>-8.4303084139958209</v>
      </c>
      <c r="Q47" s="7">
        <f t="shared" si="15"/>
        <v>1.143103809378303</v>
      </c>
      <c r="R47" s="7">
        <f t="shared" si="16"/>
        <v>0.81545659993613884</v>
      </c>
      <c r="S47" s="7">
        <f t="shared" si="17"/>
        <v>1.2178156102644486</v>
      </c>
      <c r="T47" s="7">
        <f t="shared" si="18"/>
        <v>-1.6861520727391897</v>
      </c>
      <c r="U47" s="7">
        <f t="shared" si="19"/>
        <v>-10.584952020488606</v>
      </c>
      <c r="V47" s="7">
        <f t="shared" si="20"/>
        <v>-6.3466687662371521</v>
      </c>
      <c r="W47" s="7">
        <f t="shared" si="21"/>
        <v>-0.99999385697596654</v>
      </c>
      <c r="X47" s="7">
        <f t="shared" si="22"/>
        <v>-0.83396128051089013</v>
      </c>
      <c r="Y47" s="7">
        <f t="shared" si="23"/>
        <v>-3.8464473451249264</v>
      </c>
      <c r="Z47" s="7">
        <f t="shared" si="24"/>
        <v>9.8259179794234459</v>
      </c>
      <c r="AA47" s="7">
        <f t="shared" si="25"/>
        <v>-0.17022956897636876</v>
      </c>
      <c r="AB47" s="7">
        <f t="shared" si="25"/>
        <v>-0.5517417425940101</v>
      </c>
      <c r="AC47" s="7">
        <f t="shared" si="25"/>
        <v>1.7074612027757983</v>
      </c>
      <c r="AD47">
        <v>3.5362804167817599E-3</v>
      </c>
      <c r="AE47">
        <v>0.135577127775768</v>
      </c>
      <c r="AF47">
        <v>0.86534225693530897</v>
      </c>
      <c r="AG47">
        <f t="shared" si="26"/>
        <v>1.2117661189252078</v>
      </c>
      <c r="AH47">
        <f t="shared" si="28"/>
        <v>-1.9696633474040159E-2</v>
      </c>
      <c r="AI47">
        <f t="shared" si="28"/>
        <v>-0.10015438252222086</v>
      </c>
      <c r="AJ47">
        <f t="shared" si="28"/>
        <v>0.11843444098181521</v>
      </c>
      <c r="AK47">
        <f t="shared" si="29"/>
        <v>3.8293689497485704E-4</v>
      </c>
      <c r="AL47">
        <f t="shared" si="30"/>
        <v>8.5984172661690336E-3</v>
      </c>
      <c r="AM47">
        <f t="shared" si="31"/>
        <v>1.1258418826228408E-2</v>
      </c>
      <c r="AN47">
        <f t="shared" si="32"/>
        <v>2.1054325723056497E-4</v>
      </c>
    </row>
    <row r="48" spans="1:51">
      <c r="A48" s="6">
        <v>46</v>
      </c>
      <c r="B48" s="7">
        <f t="shared" si="0"/>
        <v>109.40495758143379</v>
      </c>
      <c r="C48" s="7">
        <f t="shared" si="1"/>
        <v>1</v>
      </c>
      <c r="D48" s="7">
        <f t="shared" si="2"/>
        <v>6.1373685100633111</v>
      </c>
      <c r="E48" s="7">
        <f t="shared" si="3"/>
        <v>9.5421143746617165</v>
      </c>
      <c r="F48" s="7">
        <f t="shared" si="4"/>
        <v>9.5421143746617165</v>
      </c>
      <c r="G48" s="7">
        <f t="shared" si="5"/>
        <v>293.02785349947521</v>
      </c>
      <c r="H48" s="7">
        <f t="shared" si="6"/>
        <v>1</v>
      </c>
      <c r="I48" s="7">
        <f t="shared" si="7"/>
        <v>-0.93763391255682649</v>
      </c>
      <c r="J48" s="7">
        <f t="shared" si="8"/>
        <v>-8.591574213193347</v>
      </c>
      <c r="K48" s="7">
        <f t="shared" si="9"/>
        <v>1.354689283175063</v>
      </c>
      <c r="L48" s="7">
        <f t="shared" si="10"/>
        <v>280.27825048687328</v>
      </c>
      <c r="M48" s="7">
        <f t="shared" si="11"/>
        <v>1</v>
      </c>
      <c r="N48" s="7">
        <f t="shared" si="12"/>
        <v>-5.7538184962364118</v>
      </c>
      <c r="O48" s="7">
        <f t="shared" si="13"/>
        <v>4.0303175138017364</v>
      </c>
      <c r="P48" s="7">
        <f t="shared" si="14"/>
        <v>-8.4303084139958209</v>
      </c>
      <c r="Q48" s="7">
        <f t="shared" si="15"/>
        <v>1.1022464107124461</v>
      </c>
      <c r="R48" s="7">
        <f t="shared" si="16"/>
        <v>0.80130448566516388</v>
      </c>
      <c r="S48" s="7">
        <f t="shared" si="17"/>
        <v>1.196763645038901</v>
      </c>
      <c r="T48" s="7">
        <f t="shared" si="18"/>
        <v>-1.793207624924313</v>
      </c>
      <c r="U48" s="7">
        <f t="shared" si="19"/>
        <v>-10.458358673504357</v>
      </c>
      <c r="V48" s="7">
        <f t="shared" si="20"/>
        <v>-6.5607189944633317</v>
      </c>
      <c r="W48" s="7">
        <f t="shared" si="21"/>
        <v>-0.99999599630474756</v>
      </c>
      <c r="X48" s="7">
        <f t="shared" si="22"/>
        <v>-0.83396225949564828</v>
      </c>
      <c r="Y48" s="7">
        <f t="shared" si="23"/>
        <v>-3.8464465220038249</v>
      </c>
      <c r="Z48" s="7">
        <f t="shared" si="24"/>
        <v>9.8259181383068501</v>
      </c>
      <c r="AA48" s="7">
        <f t="shared" si="25"/>
        <v>-0.19128251318667455</v>
      </c>
      <c r="AB48" s="7">
        <f t="shared" si="25"/>
        <v>-0.6587964716580319</v>
      </c>
      <c r="AC48" s="7">
        <f t="shared" si="25"/>
        <v>1.8340547086434515</v>
      </c>
      <c r="AD48">
        <v>-3.1346344649783998E-3</v>
      </c>
      <c r="AE48">
        <v>0.125187367886479</v>
      </c>
      <c r="AF48">
        <v>0.87833605384871605</v>
      </c>
      <c r="AG48">
        <f t="shared" si="26"/>
        <v>1.5634284320570861</v>
      </c>
      <c r="AH48">
        <f t="shared" si="28"/>
        <v>-2.1052944210305791E-2</v>
      </c>
      <c r="AI48">
        <f t="shared" si="28"/>
        <v>-0.1070547290640218</v>
      </c>
      <c r="AJ48">
        <f t="shared" si="28"/>
        <v>0.12659350586765328</v>
      </c>
      <c r="AK48">
        <f t="shared" si="29"/>
        <v>4.4764389250424505E-4</v>
      </c>
      <c r="AL48">
        <f t="shared" si="30"/>
        <v>9.9700751911361001E-3</v>
      </c>
      <c r="AM48">
        <f t="shared" si="31"/>
        <v>1.3273242053235344E-2</v>
      </c>
      <c r="AN48">
        <f t="shared" si="32"/>
        <v>2.5677742777410436E-4</v>
      </c>
    </row>
    <row r="49" spans="1:40">
      <c r="A49" s="6">
        <v>47</v>
      </c>
      <c r="B49" s="7">
        <f t="shared" si="0"/>
        <v>111.62639956799221</v>
      </c>
      <c r="C49" s="7">
        <f t="shared" si="1"/>
        <v>1</v>
      </c>
      <c r="D49" s="7">
        <f t="shared" si="2"/>
        <v>6.1373685100633111</v>
      </c>
      <c r="E49" s="7">
        <f t="shared" si="3"/>
        <v>9.5421143746617165</v>
      </c>
      <c r="F49" s="7">
        <f t="shared" si="4"/>
        <v>9.5421143746617165</v>
      </c>
      <c r="G49" s="7">
        <f t="shared" si="5"/>
        <v>299.29251575567076</v>
      </c>
      <c r="H49" s="7">
        <f t="shared" si="6"/>
        <v>1</v>
      </c>
      <c r="I49" s="7">
        <f t="shared" si="7"/>
        <v>-0.93763391255682649</v>
      </c>
      <c r="J49" s="7">
        <f t="shared" si="8"/>
        <v>-8.591574213193347</v>
      </c>
      <c r="K49" s="7">
        <f t="shared" si="9"/>
        <v>1.354689283175063</v>
      </c>
      <c r="L49" s="7">
        <f t="shared" si="10"/>
        <v>286.30433813796787</v>
      </c>
      <c r="M49" s="7">
        <f t="shared" si="11"/>
        <v>1</v>
      </c>
      <c r="N49" s="7">
        <f t="shared" si="12"/>
        <v>-5.7538184962364118</v>
      </c>
      <c r="O49" s="7">
        <f t="shared" si="13"/>
        <v>4.0303175138017364</v>
      </c>
      <c r="P49" s="7">
        <f t="shared" si="14"/>
        <v>-8.4303084139958209</v>
      </c>
      <c r="Q49" s="7">
        <f t="shared" si="15"/>
        <v>1.0613890120465892</v>
      </c>
      <c r="R49" s="7">
        <f t="shared" si="16"/>
        <v>0.78619489893956818</v>
      </c>
      <c r="S49" s="7">
        <f t="shared" si="17"/>
        <v>1.1742873924995889</v>
      </c>
      <c r="T49" s="7">
        <f t="shared" si="18"/>
        <v>-1.9075061049411959</v>
      </c>
      <c r="U49" s="7">
        <f t="shared" si="19"/>
        <v>-10.323200553769208</v>
      </c>
      <c r="V49" s="7">
        <f t="shared" si="20"/>
        <v>-6.7747692226895113</v>
      </c>
      <c r="W49" s="7">
        <f t="shared" si="21"/>
        <v>-0.99999739060605741</v>
      </c>
      <c r="X49" s="7">
        <f t="shared" si="22"/>
        <v>-0.83396289754611663</v>
      </c>
      <c r="Y49" s="7">
        <f t="shared" si="23"/>
        <v>-3.8464459855370414</v>
      </c>
      <c r="Z49" s="7">
        <f t="shared" si="24"/>
        <v>9.8259182418586466</v>
      </c>
      <c r="AA49" s="7">
        <f t="shared" si="25"/>
        <v>-0.21375940377645497</v>
      </c>
      <c r="AB49" s="7">
        <f t="shared" si="25"/>
        <v>-0.77309441520813138</v>
      </c>
      <c r="AC49" s="7">
        <f t="shared" si="25"/>
        <v>1.9692129319303966</v>
      </c>
      <c r="AD49">
        <v>9.0828857896239103E-3</v>
      </c>
      <c r="AE49">
        <v>0.11564560923284699</v>
      </c>
      <c r="AF49">
        <v>0.87802773465304806</v>
      </c>
      <c r="AG49">
        <f t="shared" si="26"/>
        <v>2.030202651819609</v>
      </c>
      <c r="AH49">
        <f t="shared" si="28"/>
        <v>-2.2476890589780418E-2</v>
      </c>
      <c r="AI49">
        <f t="shared" si="28"/>
        <v>-0.11429794355009948</v>
      </c>
      <c r="AJ49">
        <f t="shared" si="28"/>
        <v>0.13515822328694505</v>
      </c>
      <c r="AK49">
        <f t="shared" si="29"/>
        <v>4.926963243756362E-4</v>
      </c>
      <c r="AL49">
        <f t="shared" si="30"/>
        <v>1.1523662331386589E-2</v>
      </c>
      <c r="AM49">
        <f t="shared" si="31"/>
        <v>1.5535617462283777E-2</v>
      </c>
      <c r="AN49">
        <f t="shared" si="32"/>
        <v>3.1120089605867981E-4</v>
      </c>
    </row>
    <row r="50" spans="1:40">
      <c r="A50" s="6">
        <v>48</v>
      </c>
      <c r="B50" s="7">
        <f t="shared" si="0"/>
        <v>113.84784155455063</v>
      </c>
      <c r="C50" s="7">
        <f t="shared" si="1"/>
        <v>1</v>
      </c>
      <c r="D50" s="7">
        <f t="shared" si="2"/>
        <v>6.1373685100633111</v>
      </c>
      <c r="E50" s="7">
        <f t="shared" si="3"/>
        <v>9.5421143746617165</v>
      </c>
      <c r="F50" s="7">
        <f t="shared" si="4"/>
        <v>9.5421143746617165</v>
      </c>
      <c r="G50" s="7">
        <f t="shared" si="5"/>
        <v>305.55717801186626</v>
      </c>
      <c r="H50" s="7">
        <f t="shared" si="6"/>
        <v>1</v>
      </c>
      <c r="I50" s="7">
        <f t="shared" si="7"/>
        <v>-0.93763391255682649</v>
      </c>
      <c r="J50" s="7">
        <f t="shared" si="8"/>
        <v>-8.591574213193347</v>
      </c>
      <c r="K50" s="7">
        <f t="shared" si="9"/>
        <v>1.354689283175063</v>
      </c>
      <c r="L50" s="7">
        <f t="shared" si="10"/>
        <v>292.33042578906253</v>
      </c>
      <c r="M50" s="7">
        <f t="shared" si="11"/>
        <v>1</v>
      </c>
      <c r="N50" s="7">
        <f t="shared" si="12"/>
        <v>-5.7538184962364118</v>
      </c>
      <c r="O50" s="7">
        <f t="shared" si="13"/>
        <v>4.0303175138017364</v>
      </c>
      <c r="P50" s="7">
        <f t="shared" si="14"/>
        <v>-8.4303084139958209</v>
      </c>
      <c r="Q50" s="7">
        <f t="shared" si="15"/>
        <v>1.0205316133807325</v>
      </c>
      <c r="R50" s="7">
        <f t="shared" si="16"/>
        <v>0.7700829763684548</v>
      </c>
      <c r="S50" s="7">
        <f t="shared" si="17"/>
        <v>1.1503201161485603</v>
      </c>
      <c r="T50" s="7">
        <f t="shared" si="18"/>
        <v>-2.0293868878820245</v>
      </c>
      <c r="U50" s="7">
        <f t="shared" si="19"/>
        <v>-10.179076349740448</v>
      </c>
      <c r="V50" s="7">
        <f t="shared" si="20"/>
        <v>-6.9888194509156909</v>
      </c>
      <c r="W50" s="7">
        <f t="shared" si="21"/>
        <v>-0.99999829933732076</v>
      </c>
      <c r="X50" s="7">
        <f t="shared" si="22"/>
        <v>-0.83396331339339724</v>
      </c>
      <c r="Y50" s="7">
        <f t="shared" si="23"/>
        <v>-3.8464456358965906</v>
      </c>
      <c r="Z50" s="7">
        <f t="shared" si="24"/>
        <v>9.8259183093481877</v>
      </c>
      <c r="AA50" s="7">
        <f t="shared" si="25"/>
        <v>-0.23772709597476416</v>
      </c>
      <c r="AB50" s="7">
        <f t="shared" si="25"/>
        <v>-0.89497484850850917</v>
      </c>
      <c r="AC50" s="7">
        <f t="shared" si="25"/>
        <v>2.1133372034486975</v>
      </c>
      <c r="AD50">
        <v>1.0538230552720001E-2</v>
      </c>
      <c r="AE50">
        <v>0.111612530534534</v>
      </c>
      <c r="AF50">
        <v>0.88908099354612202</v>
      </c>
      <c r="AG50">
        <f t="shared" si="26"/>
        <v>2.5736570914895598</v>
      </c>
      <c r="AH50">
        <f t="shared" si="28"/>
        <v>-2.3967692198309187E-2</v>
      </c>
      <c r="AI50">
        <f t="shared" si="28"/>
        <v>-0.12188043330037779</v>
      </c>
      <c r="AJ50">
        <f t="shared" si="28"/>
        <v>0.14412427151830087</v>
      </c>
      <c r="AK50">
        <f t="shared" si="29"/>
        <v>5.5951244948457648E-4</v>
      </c>
      <c r="AL50">
        <f t="shared" si="30"/>
        <v>1.3237222613412557E-2</v>
      </c>
      <c r="AM50">
        <f t="shared" si="31"/>
        <v>1.794923483122254E-2</v>
      </c>
      <c r="AN50">
        <f t="shared" si="32"/>
        <v>3.749931953361862E-4</v>
      </c>
    </row>
    <row r="51" spans="1:40">
      <c r="A51" s="6">
        <v>49</v>
      </c>
      <c r="B51" s="7">
        <f t="shared" si="0"/>
        <v>116.06928354110904</v>
      </c>
      <c r="C51" s="7">
        <f t="shared" si="1"/>
        <v>1</v>
      </c>
      <c r="D51" s="7">
        <f t="shared" si="2"/>
        <v>6.1373685100633111</v>
      </c>
      <c r="E51" s="7">
        <f t="shared" si="3"/>
        <v>9.5421143746617165</v>
      </c>
      <c r="F51" s="7">
        <f t="shared" si="4"/>
        <v>9.5421143746617165</v>
      </c>
      <c r="G51" s="7">
        <f t="shared" si="5"/>
        <v>311.82184026806175</v>
      </c>
      <c r="H51" s="7">
        <f t="shared" si="6"/>
        <v>1</v>
      </c>
      <c r="I51" s="7">
        <f t="shared" si="7"/>
        <v>-0.93763391255682649</v>
      </c>
      <c r="J51" s="7">
        <f t="shared" si="8"/>
        <v>-8.591574213193347</v>
      </c>
      <c r="K51" s="7">
        <f t="shared" si="9"/>
        <v>1.354689283175063</v>
      </c>
      <c r="L51" s="7">
        <f t="shared" si="10"/>
        <v>298.35651344015719</v>
      </c>
      <c r="M51" s="7">
        <f t="shared" si="11"/>
        <v>1</v>
      </c>
      <c r="N51" s="7">
        <f t="shared" si="12"/>
        <v>-5.7538184962364118</v>
      </c>
      <c r="O51" s="7">
        <f t="shared" si="13"/>
        <v>4.0303175138017364</v>
      </c>
      <c r="P51" s="7">
        <f t="shared" si="14"/>
        <v>-8.4303084139958209</v>
      </c>
      <c r="Q51" s="7">
        <f t="shared" si="15"/>
        <v>0.97967421471487537</v>
      </c>
      <c r="R51" s="7">
        <f t="shared" si="16"/>
        <v>0.75292484050622732</v>
      </c>
      <c r="S51" s="7">
        <f t="shared" si="17"/>
        <v>1.1247965461299336</v>
      </c>
      <c r="T51" s="7">
        <f t="shared" si="18"/>
        <v>-2.1591818905245228</v>
      </c>
      <c r="U51" s="7">
        <f t="shared" si="19"/>
        <v>-10.025593569343126</v>
      </c>
      <c r="V51" s="7">
        <f t="shared" si="20"/>
        <v>-7.2028696791418705</v>
      </c>
      <c r="W51" s="7">
        <f t="shared" si="21"/>
        <v>-0.99999889159967614</v>
      </c>
      <c r="X51" s="7">
        <f t="shared" si="22"/>
        <v>-0.83396358442037721</v>
      </c>
      <c r="Y51" s="7">
        <f t="shared" si="23"/>
        <v>-3.8464454080196759</v>
      </c>
      <c r="Z51" s="7">
        <f t="shared" si="24"/>
        <v>9.8259183533342558</v>
      </c>
      <c r="AA51" s="7">
        <f t="shared" si="25"/>
        <v>-0.26325093702037083</v>
      </c>
      <c r="AB51" s="7">
        <f t="shared" si="25"/>
        <v>-1.0247696232740928</v>
      </c>
      <c r="AC51" s="7">
        <f t="shared" si="25"/>
        <v>2.2668200278320878</v>
      </c>
      <c r="AD51">
        <v>2.5859344138377399E-3</v>
      </c>
      <c r="AE51">
        <v>0.10342211054485</v>
      </c>
      <c r="AF51">
        <v>0.89472708248588406</v>
      </c>
      <c r="AG51">
        <f t="shared" si="26"/>
        <v>3.2261248811401408</v>
      </c>
      <c r="AH51">
        <f t="shared" si="28"/>
        <v>-2.5523841045606677E-2</v>
      </c>
      <c r="AI51">
        <f t="shared" si="28"/>
        <v>-0.12979477476558365</v>
      </c>
      <c r="AJ51">
        <f t="shared" si="28"/>
        <v>0.15348282438339034</v>
      </c>
      <c r="AK51">
        <f t="shared" si="29"/>
        <v>6.4783065060827565E-4</v>
      </c>
      <c r="AL51">
        <f t="shared" si="30"/>
        <v>1.5188732012629422E-2</v>
      </c>
      <c r="AM51">
        <f t="shared" si="31"/>
        <v>2.0758500478846944E-2</v>
      </c>
      <c r="AN51">
        <f t="shared" si="32"/>
        <v>4.4946257668825241E-4</v>
      </c>
    </row>
    <row r="52" spans="1:40">
      <c r="A52" s="6">
        <v>50</v>
      </c>
      <c r="B52" s="7">
        <f t="shared" si="0"/>
        <v>118.29072552766746</v>
      </c>
      <c r="C52" s="7">
        <f t="shared" si="1"/>
        <v>1</v>
      </c>
      <c r="D52" s="7">
        <f t="shared" si="2"/>
        <v>6.1373685100633111</v>
      </c>
      <c r="E52" s="7">
        <f t="shared" si="3"/>
        <v>9.5421143746617165</v>
      </c>
      <c r="F52" s="7">
        <f t="shared" si="4"/>
        <v>9.5421143746617165</v>
      </c>
      <c r="G52" s="7">
        <f t="shared" si="5"/>
        <v>318.0865025242573</v>
      </c>
      <c r="H52" s="7">
        <f t="shared" si="6"/>
        <v>1</v>
      </c>
      <c r="I52" s="7">
        <f t="shared" si="7"/>
        <v>-0.93763391255682649</v>
      </c>
      <c r="J52" s="7">
        <f t="shared" si="8"/>
        <v>-8.591574213193347</v>
      </c>
      <c r="K52" s="7">
        <f t="shared" si="9"/>
        <v>1.354689283175063</v>
      </c>
      <c r="L52" s="7">
        <f t="shared" si="10"/>
        <v>304.38260109125179</v>
      </c>
      <c r="M52" s="7">
        <f t="shared" si="11"/>
        <v>1</v>
      </c>
      <c r="N52" s="7">
        <f t="shared" si="12"/>
        <v>-5.7538184962364118</v>
      </c>
      <c r="O52" s="7">
        <f t="shared" si="13"/>
        <v>4.0303175138017364</v>
      </c>
      <c r="P52" s="7">
        <f t="shared" si="14"/>
        <v>-8.4303084139958209</v>
      </c>
      <c r="Q52" s="7">
        <f t="shared" si="15"/>
        <v>0.93881681604901868</v>
      </c>
      <c r="R52" s="7">
        <f t="shared" si="16"/>
        <v>0.73467816808616837</v>
      </c>
      <c r="S52" s="7">
        <f t="shared" si="17"/>
        <v>1.0976537245052622</v>
      </c>
      <c r="T52" s="7">
        <f t="shared" si="18"/>
        <v>-2.2972112728534082</v>
      </c>
      <c r="U52" s="7">
        <f t="shared" si="19"/>
        <v>-9.8623736229272101</v>
      </c>
      <c r="V52" s="7">
        <f t="shared" si="20"/>
        <v>-7.4169199073680518</v>
      </c>
      <c r="W52" s="7">
        <f t="shared" si="21"/>
        <v>-0.99999927760445029</v>
      </c>
      <c r="X52" s="7">
        <f t="shared" si="22"/>
        <v>-0.83396376106119741</v>
      </c>
      <c r="Y52" s="7">
        <f t="shared" si="23"/>
        <v>-3.8464452595017495</v>
      </c>
      <c r="Z52" s="7">
        <f t="shared" si="24"/>
        <v>9.8259183820020102</v>
      </c>
      <c r="AA52" s="7">
        <f t="shared" si="25"/>
        <v>-0.29039393528586244</v>
      </c>
      <c r="AB52" s="7">
        <f t="shared" si="25"/>
        <v>-1.1627988570850518</v>
      </c>
      <c r="AC52" s="7">
        <f t="shared" si="25"/>
        <v>2.4300400029157583</v>
      </c>
      <c r="AD52">
        <v>2.0336631835871899E-3</v>
      </c>
      <c r="AE52">
        <v>9.4972241588527101E-2</v>
      </c>
      <c r="AF52">
        <v>0.90450311421663898</v>
      </c>
      <c r="AG52">
        <f t="shared" si="26"/>
        <v>3.9947648357869405</v>
      </c>
      <c r="AH52">
        <f t="shared" si="28"/>
        <v>-2.7142998265491602E-2</v>
      </c>
      <c r="AI52">
        <f t="shared" si="28"/>
        <v>-0.138029233810959</v>
      </c>
      <c r="AJ52">
        <f t="shared" si="28"/>
        <v>0.16321997508367048</v>
      </c>
      <c r="AK52">
        <f t="shared" si="29"/>
        <v>7.3394882790827785E-4</v>
      </c>
      <c r="AL52">
        <f t="shared" si="30"/>
        <v>1.7370804700590867E-2</v>
      </c>
      <c r="AM52">
        <f t="shared" si="31"/>
        <v>2.3896104045531042E-2</v>
      </c>
      <c r="AN52">
        <f t="shared" si="32"/>
        <v>5.3605165955478173E-4</v>
      </c>
    </row>
    <row r="53" spans="1:40">
      <c r="A53" s="6">
        <v>51</v>
      </c>
      <c r="B53" s="7">
        <f t="shared" si="0"/>
        <v>120.51216751422589</v>
      </c>
      <c r="C53" s="7">
        <f t="shared" si="1"/>
        <v>1</v>
      </c>
      <c r="D53" s="7">
        <f t="shared" si="2"/>
        <v>6.1373685100633111</v>
      </c>
      <c r="E53" s="7">
        <f t="shared" si="3"/>
        <v>9.5421143746617165</v>
      </c>
      <c r="F53" s="7">
        <f t="shared" si="4"/>
        <v>9.5421143746617165</v>
      </c>
      <c r="G53" s="7">
        <f t="shared" si="5"/>
        <v>324.35116478045279</v>
      </c>
      <c r="H53" s="7">
        <f t="shared" si="6"/>
        <v>1</v>
      </c>
      <c r="I53" s="7">
        <f t="shared" si="7"/>
        <v>-0.93763391255682649</v>
      </c>
      <c r="J53" s="7">
        <f t="shared" si="8"/>
        <v>-8.591574213193347</v>
      </c>
      <c r="K53" s="7">
        <f t="shared" si="9"/>
        <v>1.354689283175063</v>
      </c>
      <c r="L53" s="7">
        <f t="shared" si="10"/>
        <v>310.40868874234644</v>
      </c>
      <c r="M53" s="7">
        <f t="shared" si="11"/>
        <v>1</v>
      </c>
      <c r="N53" s="7">
        <f t="shared" si="12"/>
        <v>-5.7538184962364118</v>
      </c>
      <c r="O53" s="7">
        <f t="shared" si="13"/>
        <v>4.0303175138017364</v>
      </c>
      <c r="P53" s="7">
        <f t="shared" si="14"/>
        <v>-8.4303084139958209</v>
      </c>
      <c r="Q53" s="7">
        <f t="shared" si="15"/>
        <v>0.89795941738316154</v>
      </c>
      <c r="R53" s="7">
        <f t="shared" si="16"/>
        <v>0.71530282205011197</v>
      </c>
      <c r="S53" s="7">
        <f t="shared" si="17"/>
        <v>1.0688319454287207</v>
      </c>
      <c r="T53" s="7">
        <f t="shared" si="18"/>
        <v>-2.4437786569878055</v>
      </c>
      <c r="U53" s="7">
        <f t="shared" si="19"/>
        <v>-9.689057476892911</v>
      </c>
      <c r="V53" s="7">
        <f t="shared" si="20"/>
        <v>-7.6309701355942314</v>
      </c>
      <c r="W53" s="7">
        <f t="shared" si="21"/>
        <v>-0.99999952918157475</v>
      </c>
      <c r="X53" s="7">
        <f t="shared" si="22"/>
        <v>-0.8339638761861714</v>
      </c>
      <c r="Y53" s="7">
        <f t="shared" si="23"/>
        <v>-3.8464451627057628</v>
      </c>
      <c r="Z53" s="7">
        <f t="shared" si="24"/>
        <v>9.8259184006861098</v>
      </c>
      <c r="AA53" s="7">
        <f t="shared" si="25"/>
        <v>-0.31921582948737792</v>
      </c>
      <c r="AB53" s="7">
        <f t="shared" si="25"/>
        <v>-1.3093661444234623</v>
      </c>
      <c r="AC53" s="7">
        <f t="shared" si="25"/>
        <v>2.603356167634157</v>
      </c>
      <c r="AD53">
        <v>2.2949557971681501E-3</v>
      </c>
      <c r="AE53">
        <v>8.7440881600336293E-2</v>
      </c>
      <c r="AF53">
        <v>0.90922037148508505</v>
      </c>
      <c r="AG53">
        <f t="shared" si="26"/>
        <v>4.9245351487973839</v>
      </c>
      <c r="AH53">
        <f t="shared" si="28"/>
        <v>-2.8821894201515486E-2</v>
      </c>
      <c r="AI53">
        <f t="shared" si="28"/>
        <v>-0.14656728733841051</v>
      </c>
      <c r="AJ53">
        <f t="shared" si="28"/>
        <v>0.17331616471839872</v>
      </c>
      <c r="AK53">
        <f t="shared" si="29"/>
        <v>8.276195360694688E-4</v>
      </c>
      <c r="AL53">
        <f t="shared" si="30"/>
        <v>1.9783797819998516E-2</v>
      </c>
      <c r="AM53">
        <f t="shared" si="31"/>
        <v>2.7345485128624076E-2</v>
      </c>
      <c r="AN53">
        <f t="shared" si="32"/>
        <v>6.3634130230875204E-4</v>
      </c>
    </row>
    <row r="54" spans="1:40">
      <c r="A54" s="6">
        <v>52</v>
      </c>
      <c r="B54" s="7">
        <f t="shared" si="0"/>
        <v>122.73360950078431</v>
      </c>
      <c r="C54" s="7">
        <f t="shared" si="1"/>
        <v>1</v>
      </c>
      <c r="D54" s="7">
        <f t="shared" si="2"/>
        <v>6.1373685100633111</v>
      </c>
      <c r="E54" s="7">
        <f t="shared" si="3"/>
        <v>9.5421143746617165</v>
      </c>
      <c r="F54" s="7">
        <f t="shared" si="4"/>
        <v>9.5421143746617165</v>
      </c>
      <c r="G54" s="7">
        <f t="shared" si="5"/>
        <v>330.61582703664828</v>
      </c>
      <c r="H54" s="7">
        <f t="shared" si="6"/>
        <v>1</v>
      </c>
      <c r="I54" s="7">
        <f t="shared" si="7"/>
        <v>-0.93763391255682649</v>
      </c>
      <c r="J54" s="7">
        <f t="shared" si="8"/>
        <v>-8.591574213193347</v>
      </c>
      <c r="K54" s="7">
        <f t="shared" si="9"/>
        <v>1.354689283175063</v>
      </c>
      <c r="L54" s="7">
        <f t="shared" si="10"/>
        <v>316.4347763934411</v>
      </c>
      <c r="M54" s="7">
        <f t="shared" si="11"/>
        <v>1</v>
      </c>
      <c r="N54" s="7">
        <f t="shared" si="12"/>
        <v>-5.7538184962364118</v>
      </c>
      <c r="O54" s="7">
        <f t="shared" si="13"/>
        <v>4.0303175138017364</v>
      </c>
      <c r="P54" s="7">
        <f t="shared" si="14"/>
        <v>-8.4303084139958209</v>
      </c>
      <c r="Q54" s="7">
        <f t="shared" si="15"/>
        <v>0.85710201871730485</v>
      </c>
      <c r="R54" s="7">
        <f t="shared" si="16"/>
        <v>0.69476154493541187</v>
      </c>
      <c r="S54" s="7">
        <f t="shared" si="17"/>
        <v>1.0382757865942844</v>
      </c>
      <c r="T54" s="7">
        <f t="shared" si="18"/>
        <v>-2.599165881963228</v>
      </c>
      <c r="U54" s="7">
        <f t="shared" si="19"/>
        <v>-9.5053118561686585</v>
      </c>
      <c r="V54" s="7">
        <f t="shared" si="20"/>
        <v>-7.845020363820411</v>
      </c>
      <c r="W54" s="7">
        <f t="shared" si="21"/>
        <v>-0.99999969314597792</v>
      </c>
      <c r="X54" s="7">
        <f t="shared" si="22"/>
        <v>-0.83396395121842115</v>
      </c>
      <c r="Y54" s="7">
        <f t="shared" si="23"/>
        <v>-3.8464450996193587</v>
      </c>
      <c r="Z54" s="7">
        <f t="shared" si="24"/>
        <v>9.8259184128633965</v>
      </c>
      <c r="AA54" s="7">
        <f t="shared" si="25"/>
        <v>-0.34977206335406397</v>
      </c>
      <c r="AB54" s="7">
        <f t="shared" si="25"/>
        <v>-1.4647533063124807</v>
      </c>
      <c r="AC54" s="7">
        <f t="shared" si="25"/>
        <v>2.7871018005356962</v>
      </c>
      <c r="AD54">
        <v>2.3936274802814103E-3</v>
      </c>
      <c r="AE54">
        <v>8.3053244128702103E-2</v>
      </c>
      <c r="AF54">
        <v>0.906309636239233</v>
      </c>
      <c r="AG54">
        <f t="shared" si="26"/>
        <v>6.0571049566684394</v>
      </c>
      <c r="AH54">
        <f t="shared" si="28"/>
        <v>-3.0556233866686044E-2</v>
      </c>
      <c r="AI54">
        <f t="shared" si="28"/>
        <v>-0.15538716188901835</v>
      </c>
      <c r="AJ54">
        <f t="shared" si="28"/>
        <v>0.18374563290153922</v>
      </c>
      <c r="AK54">
        <f t="shared" si="29"/>
        <v>9.3044624208116493E-4</v>
      </c>
      <c r="AL54">
        <f t="shared" si="30"/>
        <v>2.2402382670638689E-2</v>
      </c>
      <c r="AM54">
        <f t="shared" si="31"/>
        <v>3.1044030558602033E-2</v>
      </c>
      <c r="AN54">
        <f t="shared" si="32"/>
        <v>7.5205214387442259E-4</v>
      </c>
    </row>
    <row r="55" spans="1:40">
      <c r="A55" s="6">
        <v>53</v>
      </c>
      <c r="B55" s="7">
        <f t="shared" si="0"/>
        <v>124.95505148734273</v>
      </c>
      <c r="C55" s="7">
        <f t="shared" si="1"/>
        <v>1</v>
      </c>
      <c r="D55" s="7">
        <f t="shared" si="2"/>
        <v>6.1373685100633111</v>
      </c>
      <c r="E55" s="7">
        <f t="shared" si="3"/>
        <v>9.5421143746617165</v>
      </c>
      <c r="F55" s="7">
        <f t="shared" si="4"/>
        <v>9.5421143746617165</v>
      </c>
      <c r="G55" s="7">
        <f t="shared" si="5"/>
        <v>336.88048929284383</v>
      </c>
      <c r="H55" s="7">
        <f t="shared" si="6"/>
        <v>1</v>
      </c>
      <c r="I55" s="7">
        <f t="shared" si="7"/>
        <v>-0.93763391255682649</v>
      </c>
      <c r="J55" s="7">
        <f t="shared" si="8"/>
        <v>-8.591574213193347</v>
      </c>
      <c r="K55" s="7">
        <f t="shared" si="9"/>
        <v>1.354689283175063</v>
      </c>
      <c r="L55" s="7">
        <f t="shared" si="10"/>
        <v>322.4608640445357</v>
      </c>
      <c r="M55" s="7">
        <f t="shared" si="11"/>
        <v>1</v>
      </c>
      <c r="N55" s="7">
        <f t="shared" si="12"/>
        <v>-5.7538184962364118</v>
      </c>
      <c r="O55" s="7">
        <f t="shared" si="13"/>
        <v>4.0303175138017364</v>
      </c>
      <c r="P55" s="7">
        <f t="shared" si="14"/>
        <v>-8.4303084139958209</v>
      </c>
      <c r="Q55" s="7">
        <f t="shared" si="15"/>
        <v>0.81624462005144816</v>
      </c>
      <c r="R55" s="7">
        <f t="shared" si="16"/>
        <v>0.67302070884875287</v>
      </c>
      <c r="S55" s="7">
        <f t="shared" si="17"/>
        <v>1.0059352248586177</v>
      </c>
      <c r="T55" s="7">
        <f t="shared" si="18"/>
        <v>-2.7636273304548533</v>
      </c>
      <c r="U55" s="7">
        <f t="shared" si="19"/>
        <v>-9.3108359528691214</v>
      </c>
      <c r="V55" s="7">
        <f t="shared" si="20"/>
        <v>-8.0590705920465915</v>
      </c>
      <c r="W55" s="7">
        <f t="shared" si="21"/>
        <v>-0.99999980000912647</v>
      </c>
      <c r="X55" s="7">
        <f t="shared" si="22"/>
        <v>-0.83396400012039207</v>
      </c>
      <c r="Y55" s="7">
        <f t="shared" si="23"/>
        <v>-3.8464450585030452</v>
      </c>
      <c r="Z55" s="7">
        <f t="shared" si="24"/>
        <v>9.825918420799896</v>
      </c>
      <c r="AA55" s="7">
        <f t="shared" si="25"/>
        <v>-0.38211267399170157</v>
      </c>
      <c r="AB55" s="7">
        <f t="shared" si="25"/>
        <v>-1.6292147136877926</v>
      </c>
      <c r="AC55" s="7">
        <f t="shared" si="25"/>
        <v>2.9815777117717328</v>
      </c>
      <c r="AD55">
        <v>2.3043154567460099E-3</v>
      </c>
      <c r="AE55">
        <v>7.8073186837302994E-2</v>
      </c>
      <c r="AF55">
        <v>0.92630169320256595</v>
      </c>
      <c r="AG55">
        <f t="shared" si="26"/>
        <v>7.2867679095615223</v>
      </c>
      <c r="AH55">
        <f t="shared" si="28"/>
        <v>-3.2340610637637601E-2</v>
      </c>
      <c r="AI55">
        <f t="shared" si="28"/>
        <v>-0.1644614073753119</v>
      </c>
      <c r="AJ55">
        <f t="shared" si="28"/>
        <v>0.19447591123603658</v>
      </c>
      <c r="AK55">
        <f t="shared" si="29"/>
        <v>1.0428140991150961E-3</v>
      </c>
      <c r="AL55">
        <f t="shared" si="30"/>
        <v>2.5276983518061819E-2</v>
      </c>
      <c r="AM55">
        <f t="shared" si="31"/>
        <v>3.5109879258420656E-2</v>
      </c>
      <c r="AN55">
        <f t="shared" si="32"/>
        <v>8.8504321661684877E-4</v>
      </c>
    </row>
    <row r="56" spans="1:40">
      <c r="A56" s="6">
        <v>54</v>
      </c>
      <c r="B56" s="7">
        <f t="shared" si="0"/>
        <v>127.17649347390115</v>
      </c>
      <c r="C56" s="7">
        <f t="shared" si="1"/>
        <v>1</v>
      </c>
      <c r="D56" s="7">
        <f t="shared" si="2"/>
        <v>6.1373685100633111</v>
      </c>
      <c r="E56" s="7">
        <f t="shared" si="3"/>
        <v>9.5421143746617165</v>
      </c>
      <c r="F56" s="7">
        <f t="shared" si="4"/>
        <v>9.5421143746617165</v>
      </c>
      <c r="G56" s="7">
        <f t="shared" si="5"/>
        <v>343.14515154903933</v>
      </c>
      <c r="H56" s="7">
        <f t="shared" si="6"/>
        <v>1</v>
      </c>
      <c r="I56" s="7">
        <f t="shared" si="7"/>
        <v>-0.93763391255682649</v>
      </c>
      <c r="J56" s="7">
        <f t="shared" si="8"/>
        <v>-8.591574213193347</v>
      </c>
      <c r="K56" s="7">
        <f t="shared" si="9"/>
        <v>1.354689283175063</v>
      </c>
      <c r="L56" s="7">
        <f t="shared" si="10"/>
        <v>328.48695169563035</v>
      </c>
      <c r="M56" s="7">
        <f t="shared" si="11"/>
        <v>1</v>
      </c>
      <c r="N56" s="7">
        <f t="shared" si="12"/>
        <v>-5.7538184962364118</v>
      </c>
      <c r="O56" s="7">
        <f t="shared" si="13"/>
        <v>4.0303175138017364</v>
      </c>
      <c r="P56" s="7">
        <f t="shared" si="14"/>
        <v>-8.4303084139958209</v>
      </c>
      <c r="Q56" s="7">
        <f t="shared" si="15"/>
        <v>0.77538722138559102</v>
      </c>
      <c r="R56" s="7">
        <f t="shared" si="16"/>
        <v>0.65005111457545051</v>
      </c>
      <c r="S56" s="7">
        <f t="shared" si="17"/>
        <v>0.97176682495541489</v>
      </c>
      <c r="T56" s="7">
        <f t="shared" si="18"/>
        <v>-2.9373838838088586</v>
      </c>
      <c r="U56" s="7">
        <f t="shared" si="19"/>
        <v>-9.105368574479499</v>
      </c>
      <c r="V56" s="7">
        <f t="shared" si="20"/>
        <v>-8.2731208202727693</v>
      </c>
      <c r="W56" s="7">
        <f t="shared" si="21"/>
        <v>-0.9999998696567558</v>
      </c>
      <c r="X56" s="7">
        <f t="shared" si="22"/>
        <v>-0.83396403199205582</v>
      </c>
      <c r="Y56" s="7">
        <f t="shared" si="23"/>
        <v>-3.8464450317056524</v>
      </c>
      <c r="Z56" s="7">
        <f t="shared" si="24"/>
        <v>9.8259184259724783</v>
      </c>
      <c r="AA56" s="7">
        <f t="shared" si="25"/>
        <v>-0.41628110576656818</v>
      </c>
      <c r="AB56" s="7">
        <f t="shared" si="25"/>
        <v>-1.8029712402444051</v>
      </c>
      <c r="AC56" s="7">
        <f t="shared" si="25"/>
        <v>3.1870450953339375</v>
      </c>
      <c r="AD56">
        <v>3.0385585864702198E-3</v>
      </c>
      <c r="AE56">
        <v>7.1018266657233403E-2</v>
      </c>
      <c r="AF56">
        <v>0.92736038017037692</v>
      </c>
      <c r="AG56">
        <f t="shared" si="26"/>
        <v>8.7938406648344127</v>
      </c>
      <c r="AH56">
        <f t="shared" si="28"/>
        <v>-3.4168431774866614E-2</v>
      </c>
      <c r="AI56">
        <f t="shared" si="28"/>
        <v>-0.17375652655661256</v>
      </c>
      <c r="AJ56">
        <f t="shared" si="28"/>
        <v>0.20546738356220473</v>
      </c>
      <c r="AK56">
        <f t="shared" si="29"/>
        <v>1.1635523100976548E-3</v>
      </c>
      <c r="AL56">
        <f t="shared" si="30"/>
        <v>2.8440637047205196E-2</v>
      </c>
      <c r="AM56">
        <f t="shared" si="31"/>
        <v>3.960470840297358E-2</v>
      </c>
      <c r="AN56">
        <f t="shared" si="32"/>
        <v>1.0373069961734146E-3</v>
      </c>
    </row>
    <row r="57" spans="1:40">
      <c r="A57" s="6">
        <v>55</v>
      </c>
      <c r="B57" s="7">
        <f t="shared" si="0"/>
        <v>129.39793546045956</v>
      </c>
      <c r="C57" s="7">
        <f t="shared" si="1"/>
        <v>1</v>
      </c>
      <c r="D57" s="7">
        <f t="shared" si="2"/>
        <v>6.1373685100633111</v>
      </c>
      <c r="E57" s="7">
        <f t="shared" si="3"/>
        <v>9.5421143746617165</v>
      </c>
      <c r="F57" s="7">
        <f t="shared" si="4"/>
        <v>9.5421143746617165</v>
      </c>
      <c r="G57" s="7">
        <f t="shared" si="5"/>
        <v>349.40981380523482</v>
      </c>
      <c r="H57" s="7">
        <f t="shared" si="6"/>
        <v>1</v>
      </c>
      <c r="I57" s="7">
        <f t="shared" si="7"/>
        <v>-0.93763391255682649</v>
      </c>
      <c r="J57" s="7">
        <f t="shared" si="8"/>
        <v>-8.591574213193347</v>
      </c>
      <c r="K57" s="7">
        <f t="shared" si="9"/>
        <v>1.354689283175063</v>
      </c>
      <c r="L57" s="7">
        <f t="shared" si="10"/>
        <v>334.51303934672501</v>
      </c>
      <c r="M57" s="7">
        <f t="shared" si="11"/>
        <v>1</v>
      </c>
      <c r="N57" s="7">
        <f t="shared" si="12"/>
        <v>-5.7538184962364118</v>
      </c>
      <c r="O57" s="7">
        <f t="shared" si="13"/>
        <v>4.0303175138017364</v>
      </c>
      <c r="P57" s="7">
        <f t="shared" si="14"/>
        <v>-8.4303084139958209</v>
      </c>
      <c r="Q57" s="7">
        <f t="shared" si="15"/>
        <v>0.73452982271973433</v>
      </c>
      <c r="R57" s="7">
        <f t="shared" si="16"/>
        <v>0.62582882938751694</v>
      </c>
      <c r="S57" s="7">
        <f t="shared" si="17"/>
        <v>0.9357349857760564</v>
      </c>
      <c r="T57" s="7">
        <f t="shared" si="18"/>
        <v>-3.1206165843317848</v>
      </c>
      <c r="U57" s="7">
        <f t="shared" si="19"/>
        <v>-8.8886956382076043</v>
      </c>
      <c r="V57" s="7">
        <f t="shared" si="20"/>
        <v>-8.4871710484989507</v>
      </c>
      <c r="W57" s="7">
        <f t="shared" si="21"/>
        <v>-0.99999991504931784</v>
      </c>
      <c r="X57" s="7">
        <f t="shared" si="22"/>
        <v>-0.83396405276428431</v>
      </c>
      <c r="Y57" s="7">
        <f t="shared" si="23"/>
        <v>-3.84644501424056</v>
      </c>
      <c r="Z57" s="7">
        <f t="shared" si="24"/>
        <v>9.8259184293436874</v>
      </c>
      <c r="AA57" s="7">
        <f t="shared" si="25"/>
        <v>-0.45231296571815516</v>
      </c>
      <c r="AB57" s="7">
        <f t="shared" si="25"/>
        <v>-1.9862039233022388</v>
      </c>
      <c r="AC57" s="7">
        <f t="shared" si="25"/>
        <v>3.4037180349770413</v>
      </c>
      <c r="AD57">
        <v>7.9515125832206497E-3</v>
      </c>
      <c r="AE57">
        <v>6.6968684958737701E-2</v>
      </c>
      <c r="AF57">
        <v>0.93389441761834491</v>
      </c>
      <c r="AG57">
        <f t="shared" si="26"/>
        <v>10.527389850162017</v>
      </c>
      <c r="AH57">
        <f t="shared" si="28"/>
        <v>-3.6031859951586975E-2</v>
      </c>
      <c r="AI57">
        <f t="shared" si="28"/>
        <v>-0.18323268305783369</v>
      </c>
      <c r="AJ57">
        <f t="shared" si="28"/>
        <v>0.21667293964310375</v>
      </c>
      <c r="AK57">
        <f t="shared" si="29"/>
        <v>1.2880812310752578E-3</v>
      </c>
      <c r="AL57">
        <f t="shared" si="30"/>
        <v>3.1804765102919019E-2</v>
      </c>
      <c r="AM57">
        <f t="shared" si="31"/>
        <v>4.4345251825707678E-2</v>
      </c>
      <c r="AN57">
        <f t="shared" si="32"/>
        <v>1.2109602427305723E-3</v>
      </c>
    </row>
    <row r="58" spans="1:40">
      <c r="A58" s="6">
        <v>56</v>
      </c>
      <c r="B58" s="7">
        <f t="shared" si="0"/>
        <v>131.61937744701797</v>
      </c>
      <c r="C58" s="7">
        <f t="shared" si="1"/>
        <v>1</v>
      </c>
      <c r="D58" s="7">
        <f t="shared" si="2"/>
        <v>6.1373685100633111</v>
      </c>
      <c r="E58" s="7">
        <f t="shared" si="3"/>
        <v>9.5421143746617165</v>
      </c>
      <c r="F58" s="7">
        <f t="shared" si="4"/>
        <v>9.5421143746617165</v>
      </c>
      <c r="G58" s="7">
        <f t="shared" si="5"/>
        <v>355.67447606143037</v>
      </c>
      <c r="H58" s="7">
        <f t="shared" si="6"/>
        <v>1</v>
      </c>
      <c r="I58" s="7">
        <f t="shared" si="7"/>
        <v>-0.93763391255682649</v>
      </c>
      <c r="J58" s="7">
        <f t="shared" si="8"/>
        <v>-8.591574213193347</v>
      </c>
      <c r="K58" s="7">
        <f t="shared" si="9"/>
        <v>1.354689283175063</v>
      </c>
      <c r="L58" s="7">
        <f t="shared" si="10"/>
        <v>340.53912699781961</v>
      </c>
      <c r="M58" s="7">
        <f t="shared" si="11"/>
        <v>1</v>
      </c>
      <c r="N58" s="7">
        <f t="shared" si="12"/>
        <v>-5.7538184962364118</v>
      </c>
      <c r="O58" s="7">
        <f t="shared" si="13"/>
        <v>4.0303175138017364</v>
      </c>
      <c r="P58" s="7">
        <f t="shared" si="14"/>
        <v>-8.4303084139958209</v>
      </c>
      <c r="Q58" s="7">
        <f t="shared" si="15"/>
        <v>0.69367242405387719</v>
      </c>
      <c r="R58" s="7">
        <f t="shared" si="16"/>
        <v>0.6003360499003989</v>
      </c>
      <c r="S58" s="7">
        <f t="shared" si="17"/>
        <v>0.89781322391139684</v>
      </c>
      <c r="T58" s="7">
        <f t="shared" si="18"/>
        <v>-3.3134601080958843</v>
      </c>
      <c r="U58" s="7">
        <f t="shared" si="19"/>
        <v>-8.6606578894010884</v>
      </c>
      <c r="V58" s="7">
        <f t="shared" si="20"/>
        <v>-8.701221276725132</v>
      </c>
      <c r="W58" s="7">
        <f t="shared" si="21"/>
        <v>-0.99999994463373709</v>
      </c>
      <c r="X58" s="7">
        <f t="shared" si="22"/>
        <v>-0.83396406630250053</v>
      </c>
      <c r="Y58" s="7">
        <f t="shared" si="23"/>
        <v>-3.8464450028577559</v>
      </c>
      <c r="Z58" s="7">
        <f t="shared" si="24"/>
        <v>9.8259184315408596</v>
      </c>
      <c r="AA58" s="7">
        <f t="shared" si="25"/>
        <v>-0.49023474112103094</v>
      </c>
      <c r="AB58" s="7">
        <f t="shared" si="25"/>
        <v>-2.1790474356835343</v>
      </c>
      <c r="AC58" s="7">
        <f t="shared" si="25"/>
        <v>3.6317557859807295</v>
      </c>
      <c r="AD58">
        <v>-1.1013052498209E-4</v>
      </c>
      <c r="AE58">
        <v>6.18422691296922E-2</v>
      </c>
      <c r="AF58">
        <v>0.94275156262420401</v>
      </c>
      <c r="AG58">
        <f t="shared" si="26"/>
        <v>12.492552516279069</v>
      </c>
      <c r="AH58">
        <f t="shared" si="28"/>
        <v>-3.7921775402875779E-2</v>
      </c>
      <c r="AI58">
        <f t="shared" si="28"/>
        <v>-0.19284351238129549</v>
      </c>
      <c r="AJ58">
        <f t="shared" si="28"/>
        <v>0.22803775100368817</v>
      </c>
      <c r="AK58">
        <f t="shared" si="29"/>
        <v>1.438198809912675E-3</v>
      </c>
      <c r="AL58">
        <f t="shared" si="30"/>
        <v>3.543422342824179E-2</v>
      </c>
      <c r="AM58">
        <f t="shared" si="31"/>
        <v>4.9468034882206968E-2</v>
      </c>
      <c r="AN58">
        <f t="shared" si="32"/>
        <v>1.4082300082632593E-3</v>
      </c>
    </row>
    <row r="59" spans="1:40">
      <c r="A59" s="6">
        <v>57</v>
      </c>
      <c r="B59" s="7">
        <f t="shared" si="0"/>
        <v>133.8408194335764</v>
      </c>
      <c r="C59" s="7">
        <f t="shared" si="1"/>
        <v>1</v>
      </c>
      <c r="D59" s="7">
        <f t="shared" si="2"/>
        <v>6.1373685100633111</v>
      </c>
      <c r="E59" s="7">
        <f t="shared" si="3"/>
        <v>9.5421143746617165</v>
      </c>
      <c r="F59" s="7">
        <f t="shared" si="4"/>
        <v>9.5421143746617165</v>
      </c>
      <c r="G59" s="7">
        <f t="shared" si="5"/>
        <v>361.93913831762586</v>
      </c>
      <c r="H59" s="7">
        <f t="shared" si="6"/>
        <v>1</v>
      </c>
      <c r="I59" s="7">
        <f t="shared" si="7"/>
        <v>-0.93763391255682649</v>
      </c>
      <c r="J59" s="7">
        <f t="shared" si="8"/>
        <v>-8.591574213193347</v>
      </c>
      <c r="K59" s="7">
        <f t="shared" si="9"/>
        <v>1.354689283175063</v>
      </c>
      <c r="L59" s="7">
        <f t="shared" si="10"/>
        <v>346.56521464891426</v>
      </c>
      <c r="M59" s="7">
        <f t="shared" si="11"/>
        <v>1</v>
      </c>
      <c r="N59" s="7">
        <f t="shared" si="12"/>
        <v>-5.7538184962364118</v>
      </c>
      <c r="O59" s="7">
        <f t="shared" si="13"/>
        <v>4.0303175138017364</v>
      </c>
      <c r="P59" s="7">
        <f t="shared" si="14"/>
        <v>-8.4303084139958209</v>
      </c>
      <c r="Q59" s="7">
        <f t="shared" si="15"/>
        <v>0.6528150253880205</v>
      </c>
      <c r="R59" s="7">
        <f t="shared" si="16"/>
        <v>0.5735619729985264</v>
      </c>
      <c r="S59" s="7">
        <f t="shared" si="17"/>
        <v>0.85798546919630392</v>
      </c>
      <c r="T59" s="7">
        <f t="shared" si="18"/>
        <v>-3.5159961767068868</v>
      </c>
      <c r="U59" s="7">
        <f t="shared" si="19"/>
        <v>-8.4211586921416952</v>
      </c>
      <c r="V59" s="7">
        <f t="shared" si="20"/>
        <v>-8.9152715049513098</v>
      </c>
      <c r="W59" s="7">
        <f t="shared" si="21"/>
        <v>-0.99999996391526269</v>
      </c>
      <c r="X59" s="7">
        <f t="shared" si="22"/>
        <v>-0.83396407512597814</v>
      </c>
      <c r="Y59" s="7">
        <f t="shared" si="23"/>
        <v>-3.8464449954390596</v>
      </c>
      <c r="Z59" s="7">
        <f t="shared" si="24"/>
        <v>9.8259184329728573</v>
      </c>
      <c r="AA59" s="7">
        <f t="shared" si="25"/>
        <v>-0.53006250465960147</v>
      </c>
      <c r="AB59" s="7">
        <f t="shared" si="25"/>
        <v>-2.3815834968758405</v>
      </c>
      <c r="AC59" s="7">
        <f t="shared" si="25"/>
        <v>3.8712549846721203</v>
      </c>
      <c r="AD59">
        <v>5.6947636442931599E-3</v>
      </c>
      <c r="AE59">
        <v>6.0470398956274998E-2</v>
      </c>
      <c r="AF59">
        <v>0.93680268831874902</v>
      </c>
      <c r="AG59">
        <f t="shared" si="26"/>
        <v>14.86167336026284</v>
      </c>
      <c r="AH59">
        <f t="shared" si="28"/>
        <v>-3.9827763538570538E-2</v>
      </c>
      <c r="AI59">
        <f t="shared" si="28"/>
        <v>-0.20253606119230616</v>
      </c>
      <c r="AJ59">
        <f t="shared" si="28"/>
        <v>0.2394991986913908</v>
      </c>
      <c r="AK59">
        <f t="shared" si="29"/>
        <v>1.5789438166938219E-3</v>
      </c>
      <c r="AL59">
        <f t="shared" si="30"/>
        <v>3.9208892304701891E-2</v>
      </c>
      <c r="AM59">
        <f t="shared" si="31"/>
        <v>5.4756143134212544E-2</v>
      </c>
      <c r="AN59">
        <f t="shared" si="32"/>
        <v>1.6314342432531554E-3</v>
      </c>
    </row>
    <row r="60" spans="1:40">
      <c r="A60" s="6">
        <v>58</v>
      </c>
      <c r="B60" s="7">
        <f t="shared" si="0"/>
        <v>136.0622614201348</v>
      </c>
      <c r="C60" s="7">
        <f t="shared" si="1"/>
        <v>1</v>
      </c>
      <c r="D60" s="7">
        <f t="shared" si="2"/>
        <v>6.1373685100633111</v>
      </c>
      <c r="E60" s="7">
        <f t="shared" si="3"/>
        <v>9.5421143746617165</v>
      </c>
      <c r="F60" s="7">
        <f t="shared" si="4"/>
        <v>9.5421143746617165</v>
      </c>
      <c r="G60" s="7">
        <f t="shared" si="5"/>
        <v>368.20380057382135</v>
      </c>
      <c r="H60" s="7">
        <f t="shared" si="6"/>
        <v>1</v>
      </c>
      <c r="I60" s="7">
        <f t="shared" si="7"/>
        <v>-0.93763391255682649</v>
      </c>
      <c r="J60" s="7">
        <f t="shared" si="8"/>
        <v>-8.591574213193347</v>
      </c>
      <c r="K60" s="7">
        <f t="shared" si="9"/>
        <v>1.354689283175063</v>
      </c>
      <c r="L60" s="7">
        <f t="shared" si="10"/>
        <v>352.59130230000892</v>
      </c>
      <c r="M60" s="7">
        <f t="shared" si="11"/>
        <v>1</v>
      </c>
      <c r="N60" s="7">
        <f t="shared" si="12"/>
        <v>-5.7538184962364118</v>
      </c>
      <c r="O60" s="7">
        <f t="shared" si="13"/>
        <v>4.0303175138017364</v>
      </c>
      <c r="P60" s="7">
        <f t="shared" si="14"/>
        <v>-8.4303084139958209</v>
      </c>
      <c r="Q60" s="7">
        <f t="shared" si="15"/>
        <v>0.61195762672216381</v>
      </c>
      <c r="R60" s="7">
        <f t="shared" si="16"/>
        <v>0.54550365455238881</v>
      </c>
      <c r="S60" s="7">
        <f t="shared" si="17"/>
        <v>0.81624734209349492</v>
      </c>
      <c r="T60" s="7">
        <f t="shared" si="18"/>
        <v>-3.7282470614243666</v>
      </c>
      <c r="U60" s="7">
        <f t="shared" si="19"/>
        <v>-8.1701717106324114</v>
      </c>
      <c r="V60" s="7">
        <f t="shared" si="20"/>
        <v>-9.1293217331774912</v>
      </c>
      <c r="W60" s="7">
        <f t="shared" si="21"/>
        <v>-0.99999997648191863</v>
      </c>
      <c r="X60" s="7">
        <f t="shared" si="22"/>
        <v>-0.83396408087664387</v>
      </c>
      <c r="Y60" s="7">
        <f t="shared" si="23"/>
        <v>-3.8464449906039544</v>
      </c>
      <c r="Z60" s="7">
        <f t="shared" si="24"/>
        <v>9.8259184339061552</v>
      </c>
      <c r="AA60" s="7">
        <f t="shared" si="25"/>
        <v>-0.57180063751307619</v>
      </c>
      <c r="AB60" s="7">
        <f t="shared" si="25"/>
        <v>-2.593834376758215</v>
      </c>
      <c r="AC60" s="7">
        <f t="shared" si="25"/>
        <v>4.1222419671147019</v>
      </c>
      <c r="AD60">
        <v>-2.2807198247528698E-3</v>
      </c>
      <c r="AE60">
        <v>5.4975808919005206E-2</v>
      </c>
      <c r="AF60">
        <v>0.94398061818187207</v>
      </c>
      <c r="AG60">
        <f t="shared" si="26"/>
        <v>17.441893538511437</v>
      </c>
      <c r="AH60">
        <f t="shared" si="28"/>
        <v>-4.1738132853474719E-2</v>
      </c>
      <c r="AI60">
        <f t="shared" si="28"/>
        <v>-0.21225087988237457</v>
      </c>
      <c r="AJ60">
        <f t="shared" si="28"/>
        <v>0.25098698244258166</v>
      </c>
      <c r="AK60">
        <f t="shared" si="29"/>
        <v>1.7448641629171852E-3</v>
      </c>
      <c r="AL60">
        <f t="shared" si="30"/>
        <v>4.328798878268747E-2</v>
      </c>
      <c r="AM60">
        <f t="shared" si="31"/>
        <v>6.0509969063701111E-2</v>
      </c>
      <c r="AN60">
        <f t="shared" si="32"/>
        <v>1.882956541533984E-3</v>
      </c>
    </row>
    <row r="61" spans="1:40">
      <c r="A61" s="6">
        <v>59</v>
      </c>
      <c r="B61" s="7">
        <f t="shared" si="0"/>
        <v>138.28370340669323</v>
      </c>
      <c r="C61" s="7">
        <f t="shared" si="1"/>
        <v>1</v>
      </c>
      <c r="D61" s="7">
        <f t="shared" si="2"/>
        <v>6.1373685100633111</v>
      </c>
      <c r="E61" s="7">
        <f t="shared" si="3"/>
        <v>9.5421143746617165</v>
      </c>
      <c r="F61" s="7">
        <f t="shared" si="4"/>
        <v>9.5421143746617165</v>
      </c>
      <c r="G61" s="7">
        <f t="shared" si="5"/>
        <v>374.46846283001685</v>
      </c>
      <c r="H61" s="7">
        <f t="shared" si="6"/>
        <v>1</v>
      </c>
      <c r="I61" s="7">
        <f t="shared" si="7"/>
        <v>-0.93763391255682649</v>
      </c>
      <c r="J61" s="7">
        <f t="shared" si="8"/>
        <v>-8.591574213193347</v>
      </c>
      <c r="K61" s="7">
        <f t="shared" si="9"/>
        <v>1.354689283175063</v>
      </c>
      <c r="L61" s="7">
        <f t="shared" si="10"/>
        <v>358.61738995110358</v>
      </c>
      <c r="M61" s="7">
        <f t="shared" si="11"/>
        <v>1</v>
      </c>
      <c r="N61" s="7">
        <f t="shared" si="12"/>
        <v>-5.7538184962364118</v>
      </c>
      <c r="O61" s="7">
        <f t="shared" si="13"/>
        <v>4.0303175138017364</v>
      </c>
      <c r="P61" s="7">
        <f t="shared" si="14"/>
        <v>-8.4303084139958209</v>
      </c>
      <c r="Q61" s="7">
        <f t="shared" si="15"/>
        <v>0.57110022805630667</v>
      </c>
      <c r="R61" s="7">
        <f t="shared" si="16"/>
        <v>0.51616683256951723</v>
      </c>
      <c r="S61" s="7">
        <f t="shared" si="17"/>
        <v>0.77260737817106229</v>
      </c>
      <c r="T61" s="7">
        <f t="shared" si="18"/>
        <v>-3.9501693563265712</v>
      </c>
      <c r="U61" s="7">
        <f t="shared" si="19"/>
        <v>-7.907748272439175</v>
      </c>
      <c r="V61" s="7">
        <f t="shared" si="20"/>
        <v>-9.343371961403669</v>
      </c>
      <c r="W61" s="7">
        <f t="shared" si="21"/>
        <v>-0.99999998467218598</v>
      </c>
      <c r="X61" s="7">
        <f t="shared" si="22"/>
        <v>-0.83396408462461702</v>
      </c>
      <c r="Y61" s="7">
        <f t="shared" si="23"/>
        <v>-3.8464449874526943</v>
      </c>
      <c r="Z61" s="7">
        <f t="shared" si="24"/>
        <v>9.8259184345144295</v>
      </c>
      <c r="AA61" s="7">
        <f t="shared" si="25"/>
        <v>-0.61544060518348198</v>
      </c>
      <c r="AB61" s="7">
        <f t="shared" si="25"/>
        <v>-2.8157566685091595</v>
      </c>
      <c r="AC61" s="7">
        <f t="shared" si="25"/>
        <v>4.3846654059162127</v>
      </c>
      <c r="AD61">
        <v>-1.0788247514761E-4</v>
      </c>
      <c r="AE61">
        <v>5.3596926243307502E-2</v>
      </c>
      <c r="AF61">
        <v>0.94100736181572697</v>
      </c>
      <c r="AG61">
        <f t="shared" si="26"/>
        <v>20.470605136052541</v>
      </c>
      <c r="AH61">
        <f t="shared" si="28"/>
        <v>-4.3639967670405788E-2</v>
      </c>
      <c r="AI61">
        <f t="shared" si="28"/>
        <v>-0.22192229175094447</v>
      </c>
      <c r="AJ61">
        <f t="shared" si="28"/>
        <v>0.26242343880151076</v>
      </c>
      <c r="AK61">
        <f t="shared" si="29"/>
        <v>1.9045813687955449E-3</v>
      </c>
      <c r="AL61">
        <f t="shared" si="30"/>
        <v>4.7443170728611227E-2</v>
      </c>
      <c r="AM61">
        <f t="shared" si="31"/>
        <v>6.6331789835676322E-2</v>
      </c>
      <c r="AN61">
        <f t="shared" si="32"/>
        <v>2.1652147187630542E-3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16</vt:i4>
      </vt:variant>
    </vt:vector>
  </HeadingPairs>
  <TitlesOfParts>
    <vt:vector size="35" baseType="lpstr">
      <vt:lpstr>SIR_with 1 Neuron</vt:lpstr>
      <vt:lpstr>SIR_with 2 Neurons</vt:lpstr>
      <vt:lpstr>SIR_with 3 Neurons</vt:lpstr>
      <vt:lpstr>SIR Data (60 Days)</vt:lpstr>
      <vt:lpstr>SIR Data (14 Days)</vt:lpstr>
      <vt:lpstr>Estimation</vt:lpstr>
      <vt:lpstr>Param (No DINN)</vt:lpstr>
      <vt:lpstr>Estimation with Equations</vt:lpstr>
      <vt:lpstr>Param (DINN)</vt:lpstr>
      <vt:lpstr>SIR Predicted</vt:lpstr>
      <vt:lpstr>Estimation with 1 Neuron</vt:lpstr>
      <vt:lpstr>Estimation with 2 Neurons</vt:lpstr>
      <vt:lpstr>Estimation with 3 Neurons</vt:lpstr>
      <vt:lpstr>Estimation with 4 Neurons</vt:lpstr>
      <vt:lpstr>Estimation with 5 Neurons</vt:lpstr>
      <vt:lpstr>All Models</vt:lpstr>
      <vt:lpstr>Error magnitude error</vt:lpstr>
      <vt:lpstr>Parameter Comparisson</vt:lpstr>
      <vt:lpstr>Estimation with 5 Neurons Test</vt:lpstr>
      <vt:lpstr>a</vt:lpstr>
      <vt:lpstr>b</vt:lpstr>
      <vt:lpstr>b12I</vt:lpstr>
      <vt:lpstr>b12I1</vt:lpstr>
      <vt:lpstr>b12R</vt:lpstr>
      <vt:lpstr>b12R1</vt:lpstr>
      <vt:lpstr>b12S</vt:lpstr>
      <vt:lpstr>b12S1</vt:lpstr>
      <vt:lpstr>'SIR Data (60 Days)'!N</vt:lpstr>
      <vt:lpstr>N</vt:lpstr>
      <vt:lpstr>w12I</vt:lpstr>
      <vt:lpstr>w12I1</vt:lpstr>
      <vt:lpstr>w12R</vt:lpstr>
      <vt:lpstr>w12R1</vt:lpstr>
      <vt:lpstr>w12S</vt:lpstr>
      <vt:lpstr>w12S1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JEREMIS MORALES MORALES</dc:creator>
  <cp:keywords/>
  <dc:description/>
  <cp:lastModifiedBy>CARMEN CAISEDA</cp:lastModifiedBy>
  <cp:revision/>
  <dcterms:created xsi:type="dcterms:W3CDTF">2024-06-05T13:42:10Z</dcterms:created>
  <dcterms:modified xsi:type="dcterms:W3CDTF">2025-11-07T14:43:47Z</dcterms:modified>
  <cp:category/>
  <cp:contentStatus/>
</cp:coreProperties>
</file>