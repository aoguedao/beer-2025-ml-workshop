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prbayamon-my.sharepoint.com/personal/ccaiseda_bayamon_inter_edu/Documents/Desktop/NSF_PROPUESTAS/WORKSHOPS/BEER2025/"/>
    </mc:Choice>
  </mc:AlternateContent>
  <xr:revisionPtr revIDLastSave="169" documentId="8_{CBEF5B6A-9248-406E-B03B-9B22AC5E1940}" xr6:coauthVersionLast="47" xr6:coauthVersionMax="47" xr10:uidLastSave="{DC5A5A16-CCFC-4DE5-BB24-2770677B6DDA}"/>
  <bookViews>
    <workbookView xWindow="-110" yWindow="-110" windowWidth="19420" windowHeight="10420" xr2:uid="{00000000-000D-0000-FFFF-FFFF00000000}"/>
  </bookViews>
  <sheets>
    <sheet name="SIR" sheetId="1" r:id="rId1"/>
    <sheet name="Euler's Method " sheetId="3" r:id="rId2"/>
    <sheet name="Results" sheetId="2" r:id="rId3"/>
    <sheet name="AN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G3" i="3" l="1"/>
  <c r="D3" i="3" s="1"/>
  <c r="F3" i="3"/>
  <c r="C3" i="3" s="1"/>
  <c r="B3" i="3"/>
  <c r="E3" i="3"/>
  <c r="E3" i="2"/>
  <c r="B3" i="2" s="1"/>
  <c r="G3" i="2"/>
  <c r="D3" i="2" s="1"/>
  <c r="F3" i="2"/>
  <c r="C3" i="2" s="1"/>
  <c r="E4" i="2" l="1"/>
  <c r="B4" i="2" s="1"/>
  <c r="F4" i="2"/>
  <c r="C4" i="2" s="1"/>
  <c r="G4" i="2"/>
  <c r="D4" i="2" s="1"/>
  <c r="G5" i="2" l="1"/>
  <c r="D5" i="2" s="1"/>
  <c r="E5" i="2"/>
  <c r="B5" i="2" s="1"/>
  <c r="F5" i="2"/>
  <c r="C5" i="2" s="1"/>
  <c r="F6" i="2" l="1"/>
  <c r="C6" i="2" s="1"/>
  <c r="E6" i="2"/>
  <c r="B6" i="2" s="1"/>
  <c r="G6" i="2"/>
  <c r="D6" i="2" s="1"/>
  <c r="G7" i="2" l="1"/>
  <c r="D7" i="2" s="1"/>
  <c r="F7" i="2"/>
  <c r="C7" i="2" s="1"/>
  <c r="E7" i="2"/>
  <c r="B7" i="2" s="1"/>
  <c r="G8" i="2" l="1"/>
  <c r="D8" i="2" s="1"/>
  <c r="F8" i="2"/>
  <c r="C8" i="2" s="1"/>
  <c r="E8" i="2"/>
  <c r="B8" i="2" s="1"/>
  <c r="E9" i="2" l="1"/>
  <c r="B9" i="2" s="1"/>
  <c r="F9" i="2"/>
  <c r="C9" i="2" s="1"/>
  <c r="G9" i="2"/>
  <c r="D9" i="2" s="1"/>
  <c r="F10" i="2" l="1"/>
  <c r="C10" i="2" s="1"/>
  <c r="E10" i="2"/>
  <c r="B10" i="2" s="1"/>
  <c r="G10" i="2"/>
  <c r="D10" i="2" s="1"/>
  <c r="G11" i="2" l="1"/>
  <c r="D11" i="2" s="1"/>
  <c r="F11" i="2"/>
  <c r="C11" i="2" s="1"/>
  <c r="E11" i="2"/>
  <c r="B11" i="2" s="1"/>
  <c r="F12" i="2" l="1"/>
  <c r="C12" i="2" s="1"/>
  <c r="E12" i="2"/>
  <c r="B12" i="2" s="1"/>
  <c r="G12" i="2"/>
  <c r="D12" i="2" s="1"/>
  <c r="E13" i="2" l="1"/>
  <c r="B13" i="2" s="1"/>
  <c r="F13" i="2"/>
  <c r="C13" i="2" s="1"/>
  <c r="G13" i="2"/>
  <c r="D13" i="2" s="1"/>
  <c r="F14" i="2" l="1"/>
  <c r="E14" i="2"/>
  <c r="B14" i="2" s="1"/>
  <c r="G14" i="2"/>
  <c r="D14" i="2" s="1"/>
  <c r="C14" i="2"/>
  <c r="F15" i="2" l="1"/>
  <c r="C15" i="2" s="1"/>
  <c r="E15" i="2"/>
  <c r="B15" i="2" s="1"/>
  <c r="G15" i="2"/>
  <c r="D15" i="2" s="1"/>
  <c r="F16" i="2" l="1"/>
  <c r="E16" i="2"/>
  <c r="B16" i="2" s="1"/>
  <c r="C16" i="2"/>
  <c r="G16" i="2"/>
  <c r="D16" i="2" s="1"/>
  <c r="E17" i="2" l="1"/>
  <c r="B17" i="2" s="1"/>
  <c r="F17" i="2"/>
  <c r="C17" i="2" s="1"/>
  <c r="G17" i="2"/>
  <c r="D17" i="2" s="1"/>
  <c r="F18" i="2" l="1"/>
  <c r="C18" i="2" s="1"/>
  <c r="E18" i="2"/>
  <c r="B18" i="2" s="1"/>
  <c r="G18" i="2"/>
  <c r="D18" i="2" s="1"/>
  <c r="F19" i="2" l="1"/>
  <c r="C19" i="2" s="1"/>
  <c r="E19" i="2"/>
  <c r="B19" i="2" s="1"/>
  <c r="G19" i="2"/>
  <c r="D19" i="2" s="1"/>
  <c r="F20" i="2" l="1"/>
  <c r="C20" i="2" s="1"/>
  <c r="E20" i="2"/>
  <c r="B20" i="2" s="1"/>
  <c r="G20" i="2"/>
  <c r="D20" i="2" s="1"/>
  <c r="E21" i="2" l="1"/>
  <c r="B21" i="2" s="1"/>
  <c r="F21" i="2"/>
  <c r="C21" i="2" s="1"/>
  <c r="G21" i="2"/>
  <c r="D21" i="2" s="1"/>
  <c r="F22" i="2" l="1"/>
  <c r="C22" i="2" s="1"/>
  <c r="E22" i="2"/>
  <c r="B22" i="2" s="1"/>
  <c r="G22" i="2"/>
  <c r="D22" i="2" s="1"/>
  <c r="F23" i="2" l="1"/>
  <c r="E23" i="2"/>
  <c r="B23" i="2" s="1"/>
  <c r="G23" i="2"/>
  <c r="D23" i="2" s="1"/>
  <c r="C23" i="2"/>
  <c r="F24" i="2" l="1"/>
  <c r="C24" i="2" s="1"/>
  <c r="E24" i="2"/>
  <c r="B24" i="2" s="1"/>
  <c r="G24" i="2"/>
  <c r="D24" i="2" s="1"/>
  <c r="E25" i="2" l="1"/>
  <c r="B25" i="2" s="1"/>
  <c r="F25" i="2"/>
  <c r="C25" i="2" s="1"/>
  <c r="G25" i="2"/>
  <c r="D25" i="2" s="1"/>
  <c r="G26" i="2" l="1"/>
  <c r="D26" i="2" s="1"/>
  <c r="F26" i="2"/>
  <c r="C26" i="2" s="1"/>
  <c r="E26" i="2"/>
  <c r="B26" i="2" s="1"/>
  <c r="G27" i="2" l="1"/>
  <c r="D27" i="2" s="1"/>
  <c r="F27" i="2"/>
  <c r="C27" i="2" s="1"/>
  <c r="E27" i="2"/>
  <c r="B27" i="2" s="1"/>
  <c r="F28" i="2" l="1"/>
  <c r="C28" i="2" s="1"/>
  <c r="E28" i="2"/>
  <c r="B28" i="2" s="1"/>
  <c r="G28" i="2"/>
  <c r="D28" i="2" s="1"/>
  <c r="E29" i="2" l="1"/>
  <c r="B29" i="2" s="1"/>
  <c r="F29" i="2"/>
  <c r="C29" i="2" s="1"/>
  <c r="G29" i="2"/>
  <c r="D29" i="2" s="1"/>
  <c r="G30" i="2" l="1"/>
  <c r="D30" i="2" s="1"/>
  <c r="F30" i="2"/>
  <c r="C30" i="2" s="1"/>
  <c r="E30" i="2"/>
  <c r="B30" i="2" s="1"/>
  <c r="F31" i="2" l="1"/>
  <c r="C31" i="2" s="1"/>
  <c r="E31" i="2"/>
  <c r="B31" i="2" s="1"/>
  <c r="G31" i="2"/>
  <c r="D31" i="2" s="1"/>
  <c r="G32" i="2" l="1"/>
  <c r="D32" i="2" s="1"/>
  <c r="F32" i="2"/>
  <c r="C32" i="2" s="1"/>
  <c r="E32" i="2"/>
  <c r="B32" i="2" s="1"/>
  <c r="E33" i="2" l="1"/>
  <c r="B33" i="2" s="1"/>
  <c r="F33" i="2"/>
  <c r="C33" i="2" s="1"/>
  <c r="G33" i="2"/>
  <c r="D33" i="2" s="1"/>
  <c r="G34" i="2" l="1"/>
  <c r="D34" i="2" s="1"/>
  <c r="F34" i="2"/>
  <c r="C34" i="2" s="1"/>
  <c r="E34" i="2"/>
  <c r="B34" i="2" s="1"/>
  <c r="F35" i="2" l="1"/>
  <c r="E35" i="2"/>
  <c r="B35" i="2" s="1"/>
  <c r="G35" i="2"/>
  <c r="D35" i="2" s="1"/>
  <c r="C35" i="2"/>
  <c r="F36" i="2" l="1"/>
  <c r="C36" i="2" s="1"/>
  <c r="E36" i="2"/>
  <c r="B36" i="2" s="1"/>
  <c r="G36" i="2"/>
  <c r="D36" i="2" s="1"/>
  <c r="E37" i="2" l="1"/>
  <c r="B37" i="2" s="1"/>
  <c r="F37" i="2"/>
  <c r="C37" i="2" s="1"/>
  <c r="G37" i="2"/>
  <c r="D37" i="2" s="1"/>
  <c r="G38" i="2" l="1"/>
  <c r="D38" i="2" s="1"/>
  <c r="F38" i="2"/>
  <c r="C38" i="2" s="1"/>
  <c r="E38" i="2"/>
  <c r="B38" i="2" s="1"/>
  <c r="G39" i="2" l="1"/>
  <c r="D39" i="2" s="1"/>
  <c r="F39" i="2"/>
  <c r="C39" i="2" s="1"/>
  <c r="E39" i="2"/>
  <c r="B39" i="2" s="1"/>
  <c r="F40" i="2" l="1"/>
  <c r="C40" i="2" s="1"/>
  <c r="E40" i="2"/>
  <c r="B40" i="2" s="1"/>
  <c r="G40" i="2"/>
  <c r="D40" i="2" s="1"/>
  <c r="E41" i="2" l="1"/>
  <c r="F41" i="2"/>
  <c r="C41" i="2" s="1"/>
  <c r="B41" i="2"/>
  <c r="G41" i="2"/>
  <c r="D41" i="2" s="1"/>
  <c r="F42" i="2" l="1"/>
  <c r="C42" i="2" s="1"/>
  <c r="E42" i="2"/>
  <c r="B42" i="2" s="1"/>
  <c r="G42" i="2"/>
  <c r="D42" i="2" s="1"/>
  <c r="F43" i="2" l="1"/>
  <c r="E43" i="2"/>
  <c r="B43" i="2" s="1"/>
  <c r="G43" i="2"/>
  <c r="D43" i="2" s="1"/>
  <c r="C43" i="2"/>
  <c r="G44" i="2" l="1"/>
  <c r="D44" i="2" s="1"/>
  <c r="F44" i="2"/>
  <c r="C44" i="2" s="1"/>
  <c r="E44" i="2"/>
  <c r="B44" i="2" s="1"/>
  <c r="G45" i="2" l="1"/>
  <c r="D45" i="2" s="1"/>
  <c r="E45" i="2"/>
  <c r="B45" i="2" s="1"/>
  <c r="F45" i="2"/>
  <c r="C45" i="2" s="1"/>
  <c r="G46" i="2" l="1"/>
  <c r="F46" i="2"/>
  <c r="C46" i="2" s="1"/>
  <c r="E46" i="2"/>
  <c r="B46" i="2" s="1"/>
  <c r="D46" i="2"/>
  <c r="F47" i="2" l="1"/>
  <c r="C47" i="2" s="1"/>
  <c r="E47" i="2"/>
  <c r="B47" i="2" s="1"/>
  <c r="G47" i="2"/>
  <c r="D47" i="2" s="1"/>
  <c r="F48" i="2" l="1"/>
  <c r="C48" i="2" s="1"/>
  <c r="E48" i="2"/>
  <c r="B48" i="2" s="1"/>
  <c r="G48" i="2"/>
  <c r="D48" i="2" s="1"/>
  <c r="E49" i="2" l="1"/>
  <c r="B49" i="2" s="1"/>
  <c r="F49" i="2"/>
  <c r="C49" i="2" s="1"/>
  <c r="G49" i="2"/>
  <c r="D49" i="2" s="1"/>
  <c r="F50" i="2" l="1"/>
  <c r="C50" i="2" s="1"/>
  <c r="E50" i="2"/>
  <c r="B50" i="2" s="1"/>
  <c r="G50" i="2"/>
  <c r="D50" i="2" s="1"/>
  <c r="G51" i="2" l="1"/>
  <c r="D51" i="2" s="1"/>
  <c r="F51" i="2"/>
  <c r="C51" i="2" s="1"/>
  <c r="E51" i="2"/>
  <c r="B51" i="2" s="1"/>
  <c r="G52" i="2" l="1"/>
  <c r="D52" i="2" s="1"/>
  <c r="F52" i="2"/>
  <c r="C52" i="2" s="1"/>
  <c r="E52" i="2"/>
  <c r="B52" i="2" s="1"/>
  <c r="G53" i="2" l="1"/>
  <c r="E53" i="2"/>
  <c r="B53" i="2" s="1"/>
  <c r="F53" i="2"/>
  <c r="C53" i="2" s="1"/>
  <c r="D53" i="2"/>
  <c r="G54" i="2" l="1"/>
  <c r="D54" i="2" s="1"/>
  <c r="F54" i="2"/>
  <c r="C54" i="2" s="1"/>
  <c r="E54" i="2"/>
  <c r="B54" i="2" s="1"/>
  <c r="G55" i="2" l="1"/>
  <c r="F55" i="2"/>
  <c r="C55" i="2" s="1"/>
  <c r="E55" i="2"/>
  <c r="B55" i="2" s="1"/>
  <c r="D55" i="2"/>
  <c r="F56" i="2" l="1"/>
  <c r="C56" i="2" s="1"/>
  <c r="E56" i="2"/>
  <c r="B56" i="2" s="1"/>
  <c r="G56" i="2"/>
  <c r="D56" i="2" s="1"/>
  <c r="E57" i="2" l="1"/>
  <c r="B57" i="2" s="1"/>
  <c r="F57" i="2"/>
  <c r="C57" i="2" s="1"/>
  <c r="G57" i="2"/>
  <c r="D57" i="2" s="1"/>
  <c r="G58" i="2" l="1"/>
  <c r="D58" i="2" s="1"/>
  <c r="F58" i="2"/>
  <c r="C58" i="2" s="1"/>
  <c r="E58" i="2"/>
  <c r="B58" i="2" s="1"/>
  <c r="G59" i="2" l="1"/>
  <c r="D59" i="2" s="1"/>
  <c r="F59" i="2"/>
  <c r="C59" i="2" s="1"/>
  <c r="E59" i="2"/>
  <c r="B59" i="2" s="1"/>
  <c r="F60" i="2" l="1"/>
  <c r="C60" i="2" s="1"/>
  <c r="E60" i="2"/>
  <c r="B60" i="2" s="1"/>
  <c r="G60" i="2"/>
  <c r="D60" i="2" s="1"/>
  <c r="E61" i="2" l="1"/>
  <c r="B61" i="2" s="1"/>
  <c r="F61" i="2"/>
  <c r="C61" i="2" s="1"/>
  <c r="G61" i="2"/>
  <c r="D61" i="2" s="1"/>
  <c r="F62" i="2" l="1"/>
  <c r="C62" i="2" s="1"/>
  <c r="E62" i="2"/>
  <c r="B62" i="2" s="1"/>
  <c r="G62" i="2"/>
  <c r="D62" i="2" s="1"/>
  <c r="F63" i="2" l="1"/>
  <c r="E63" i="2"/>
  <c r="B63" i="2" s="1"/>
  <c r="G63" i="2"/>
  <c r="D63" i="2" s="1"/>
  <c r="C63" i="2"/>
  <c r="F64" i="2" l="1"/>
  <c r="C64" i="2" s="1"/>
  <c r="E64" i="2"/>
  <c r="B64" i="2" s="1"/>
  <c r="G64" i="2"/>
  <c r="D64" i="2" s="1"/>
  <c r="E65" i="2" l="1"/>
  <c r="B65" i="2" s="1"/>
  <c r="F65" i="2"/>
  <c r="C65" i="2" s="1"/>
  <c r="G65" i="2"/>
  <c r="D65" i="2" s="1"/>
  <c r="G66" i="2" l="1"/>
  <c r="D66" i="2" s="1"/>
  <c r="F66" i="2"/>
  <c r="C66" i="2" s="1"/>
  <c r="E66" i="2"/>
  <c r="B66" i="2" s="1"/>
  <c r="G67" i="2" l="1"/>
  <c r="D67" i="2" s="1"/>
  <c r="F67" i="2"/>
  <c r="C67" i="2" s="1"/>
  <c r="E67" i="2"/>
  <c r="B67" i="2" s="1"/>
  <c r="F68" i="2" l="1"/>
  <c r="E68" i="2"/>
  <c r="B68" i="2" s="1"/>
  <c r="C68" i="2"/>
  <c r="G68" i="2"/>
  <c r="D68" i="2" s="1"/>
  <c r="E69" i="2" l="1"/>
  <c r="B69" i="2" s="1"/>
  <c r="F69" i="2"/>
  <c r="C69" i="2" s="1"/>
  <c r="G69" i="2"/>
  <c r="D69" i="2" s="1"/>
  <c r="G70" i="2" l="1"/>
  <c r="D70" i="2" s="1"/>
  <c r="F70" i="2"/>
  <c r="C70" i="2" s="1"/>
  <c r="E70" i="2"/>
  <c r="B70" i="2" s="1"/>
  <c r="G71" i="2" l="1"/>
  <c r="F71" i="2"/>
  <c r="C71" i="2" s="1"/>
  <c r="E71" i="2"/>
  <c r="B71" i="2" s="1"/>
  <c r="D71" i="2"/>
  <c r="F72" i="2" l="1"/>
  <c r="C72" i="2" s="1"/>
  <c r="E72" i="2"/>
  <c r="B72" i="2" s="1"/>
  <c r="G72" i="2"/>
  <c r="D72" i="2" s="1"/>
  <c r="E73" i="2" l="1"/>
  <c r="B73" i="2" s="1"/>
  <c r="F73" i="2"/>
  <c r="C73" i="2" s="1"/>
  <c r="G73" i="2"/>
  <c r="D73" i="2" s="1"/>
  <c r="G74" i="2" l="1"/>
  <c r="D74" i="2" s="1"/>
  <c r="F74" i="2"/>
  <c r="C74" i="2" s="1"/>
  <c r="E74" i="2"/>
  <c r="B74" i="2" s="1"/>
  <c r="G75" i="2" l="1"/>
  <c r="D75" i="2" s="1"/>
  <c r="F75" i="2"/>
  <c r="C75" i="2" s="1"/>
  <c r="E75" i="2"/>
  <c r="B75" i="2" s="1"/>
  <c r="F76" i="2" l="1"/>
  <c r="C76" i="2" s="1"/>
  <c r="E76" i="2"/>
  <c r="B76" i="2" s="1"/>
  <c r="G76" i="2"/>
  <c r="D76" i="2" s="1"/>
  <c r="E77" i="2" l="1"/>
  <c r="B77" i="2" s="1"/>
  <c r="F77" i="2"/>
  <c r="C77" i="2" s="1"/>
  <c r="G77" i="2"/>
  <c r="D77" i="2" s="1"/>
  <c r="F78" i="2" l="1"/>
  <c r="E78" i="2"/>
  <c r="B78" i="2" s="1"/>
  <c r="G78" i="2"/>
  <c r="D78" i="2" s="1"/>
  <c r="C78" i="2"/>
  <c r="F79" i="2" l="1"/>
  <c r="C79" i="2" s="1"/>
  <c r="E79" i="2"/>
  <c r="B79" i="2" s="1"/>
  <c r="G79" i="2"/>
  <c r="D79" i="2" s="1"/>
  <c r="F80" i="2" l="1"/>
  <c r="C80" i="2" s="1"/>
  <c r="E80" i="2"/>
  <c r="B80" i="2" s="1"/>
  <c r="G80" i="2"/>
  <c r="D80" i="2" s="1"/>
  <c r="E81" i="2" l="1"/>
  <c r="B81" i="2" s="1"/>
  <c r="F81" i="2"/>
  <c r="C81" i="2" s="1"/>
  <c r="G81" i="2"/>
  <c r="D81" i="2" s="1"/>
  <c r="G82" i="2" l="1"/>
  <c r="D82" i="2" s="1"/>
  <c r="F82" i="2"/>
  <c r="C82" i="2" s="1"/>
  <c r="E82" i="2"/>
  <c r="B82" i="2" s="1"/>
  <c r="G83" i="2" l="1"/>
  <c r="F83" i="2"/>
  <c r="C83" i="2" s="1"/>
  <c r="E83" i="2"/>
  <c r="B83" i="2" s="1"/>
  <c r="D83" i="2"/>
  <c r="F84" i="2" l="1"/>
  <c r="C84" i="2" s="1"/>
  <c r="E84" i="2"/>
  <c r="B84" i="2" s="1"/>
  <c r="G84" i="2"/>
  <c r="D84" i="2" s="1"/>
  <c r="E85" i="2" l="1"/>
  <c r="B85" i="2" s="1"/>
  <c r="F85" i="2"/>
  <c r="C85" i="2" s="1"/>
  <c r="G85" i="2"/>
  <c r="D85" i="2" s="1"/>
  <c r="G86" i="2" l="1"/>
  <c r="D86" i="2" s="1"/>
  <c r="F86" i="2"/>
  <c r="C86" i="2" s="1"/>
  <c r="E86" i="2"/>
  <c r="B86" i="2" s="1"/>
  <c r="F87" i="2" l="1"/>
  <c r="E87" i="2"/>
  <c r="B87" i="2" s="1"/>
  <c r="G87" i="2"/>
  <c r="D87" i="2" s="1"/>
  <c r="C87" i="2"/>
  <c r="F88" i="2" l="1"/>
  <c r="C88" i="2" s="1"/>
  <c r="E88" i="2"/>
  <c r="B88" i="2" s="1"/>
  <c r="G88" i="2"/>
  <c r="D88" i="2" s="1"/>
  <c r="E89" i="2" l="1"/>
  <c r="F89" i="2"/>
  <c r="C89" i="2" s="1"/>
  <c r="B89" i="2"/>
  <c r="G89" i="2"/>
  <c r="D89" i="2" s="1"/>
  <c r="G90" i="2" l="1"/>
  <c r="D90" i="2" s="1"/>
  <c r="F90" i="2"/>
  <c r="C90" i="2" s="1"/>
  <c r="E90" i="2"/>
  <c r="B90" i="2" s="1"/>
  <c r="G91" i="2" l="1"/>
  <c r="D91" i="2" s="1"/>
  <c r="F91" i="2"/>
  <c r="C91" i="2" s="1"/>
  <c r="E91" i="2"/>
  <c r="B91" i="2" s="1"/>
  <c r="F92" i="2" l="1"/>
  <c r="C92" i="2" s="1"/>
  <c r="E92" i="2"/>
  <c r="B92" i="2" s="1"/>
  <c r="G92" i="2"/>
  <c r="D92" i="2" s="1"/>
  <c r="E93" i="2" l="1"/>
  <c r="B93" i="2" s="1"/>
  <c r="F93" i="2"/>
  <c r="C93" i="2" s="1"/>
  <c r="G93" i="2"/>
  <c r="D93" i="2" s="1"/>
  <c r="F94" i="2" l="1"/>
  <c r="C94" i="2" s="1"/>
  <c r="E94" i="2"/>
  <c r="B94" i="2" s="1"/>
  <c r="G94" i="2"/>
  <c r="D94" i="2" s="1"/>
  <c r="F95" i="2" l="1"/>
  <c r="E95" i="2"/>
  <c r="B95" i="2" s="1"/>
  <c r="G95" i="2"/>
  <c r="D95" i="2" s="1"/>
  <c r="C95" i="2"/>
  <c r="F96" i="2" l="1"/>
  <c r="C96" i="2" s="1"/>
  <c r="E96" i="2"/>
  <c r="B96" i="2" s="1"/>
  <c r="G96" i="2"/>
  <c r="D96" i="2" s="1"/>
  <c r="E97" i="2" l="1"/>
  <c r="F97" i="2"/>
  <c r="B97" i="2"/>
  <c r="C97" i="2"/>
  <c r="G97" i="2"/>
  <c r="D97" i="2" s="1"/>
  <c r="F98" i="2" l="1"/>
  <c r="C98" i="2" s="1"/>
  <c r="E98" i="2"/>
  <c r="B98" i="2" s="1"/>
  <c r="G98" i="2"/>
  <c r="D98" i="2" s="1"/>
  <c r="G99" i="2" l="1"/>
  <c r="D99" i="2" s="1"/>
  <c r="F99" i="2"/>
  <c r="C99" i="2" s="1"/>
  <c r="E99" i="2"/>
  <c r="B99" i="2" s="1"/>
  <c r="G100" i="2" l="1"/>
  <c r="F100" i="2"/>
  <c r="C100" i="2" s="1"/>
  <c r="E100" i="2"/>
  <c r="B100" i="2" s="1"/>
  <c r="D100" i="2"/>
  <c r="E101" i="2" l="1"/>
  <c r="B101" i="2" s="1"/>
  <c r="F101" i="2"/>
  <c r="C101" i="2" s="1"/>
  <c r="G101" i="2"/>
  <c r="D101" i="2" s="1"/>
  <c r="F102" i="2" l="1"/>
  <c r="C102" i="2" s="1"/>
  <c r="E102" i="2"/>
  <c r="B102" i="2" s="1"/>
  <c r="G102" i="2"/>
  <c r="D102" i="2" s="1"/>
</calcChain>
</file>

<file path=xl/sharedStrings.xml><?xml version="1.0" encoding="utf-8"?>
<sst xmlns="http://schemas.openxmlformats.org/spreadsheetml/2006/main" count="41" uniqueCount="32">
  <si>
    <t>Time</t>
  </si>
  <si>
    <t>S</t>
  </si>
  <si>
    <t>I</t>
  </si>
  <si>
    <t>R</t>
  </si>
  <si>
    <t>dS</t>
  </si>
  <si>
    <t>dI</t>
  </si>
  <si>
    <t>dR</t>
  </si>
  <si>
    <t>Beta</t>
  </si>
  <si>
    <t>Gamma</t>
  </si>
  <si>
    <t>N</t>
  </si>
  <si>
    <r>
      <rPr>
        <b/>
        <sz val="11"/>
        <color theme="1"/>
        <rFont val="Symbol"/>
        <family val="1"/>
        <charset val="2"/>
      </rPr>
      <t>D</t>
    </r>
    <r>
      <rPr>
        <b/>
        <sz val="10"/>
        <color theme="1"/>
        <rFont val="Calibri"/>
        <family val="2"/>
      </rPr>
      <t>t</t>
    </r>
  </si>
  <si>
    <t>SIR equations</t>
  </si>
  <si>
    <t xml:space="preserve">   + [F4] </t>
  </si>
  <si>
    <t>Absolute Reference</t>
  </si>
  <si>
    <t>Abs Ref</t>
  </si>
  <si>
    <t xml:space="preserve">  +[F4]</t>
  </si>
  <si>
    <t>f1= dS</t>
  </si>
  <si>
    <t>f2= dI</t>
  </si>
  <si>
    <t>f3 = dR</t>
  </si>
  <si>
    <t>Kermack, W. O., &amp; McKendrick, A. G. (1927).</t>
  </si>
  <si>
    <r>
      <t>A Contribution to the Mathematical Theory of Epidemics</t>
    </r>
    <r>
      <rPr>
        <sz val="11"/>
        <color theme="1"/>
        <rFont val="Calibri"/>
        <family val="2"/>
        <scheme val="minor"/>
      </rPr>
      <t>.</t>
    </r>
  </si>
  <si>
    <r>
      <t>Proceedings of the Royal Society of London. Series A, 115</t>
    </r>
    <r>
      <rPr>
        <sz val="11"/>
        <color theme="1"/>
        <rFont val="Calibri"/>
        <family val="2"/>
        <scheme val="minor"/>
      </rPr>
      <t>(772), 700–721.</t>
    </r>
  </si>
  <si>
    <t>Parameters</t>
  </si>
  <si>
    <t>b =</t>
  </si>
  <si>
    <t>g =</t>
  </si>
  <si>
    <t xml:space="preserve">SIR equations: Reference </t>
  </si>
  <si>
    <t>effective contact rate/ person * time unit</t>
  </si>
  <si>
    <t>recovery rate per day</t>
  </si>
  <si>
    <t>Range</t>
  </si>
  <si>
    <t>[Ctrl] + C</t>
  </si>
  <si>
    <t>B4:G102</t>
  </si>
  <si>
    <t>All formulas: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</si>
</sst>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</font>
    <font>
      <b/>
      <sz val="11"/>
      <color theme="1"/>
      <name val="Calibri"/>
      <family val="1"/>
      <charset val="2"/>
    </font>
    <font>
      <b/>
      <sz val="11"/>
      <color theme="1"/>
      <name val="Symbol"/>
      <family val="1"/>
      <charset val="2"/>
    </font>
    <font>
      <b/>
      <sz val="10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1" xfId="0" applyFont="1" applyBorder="1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5" fillId="2" borderId="1" xfId="0" applyFont="1" applyFill="1" applyBorder="1"/>
    <xf numFmtId="0" fontId="1" fillId="2" borderId="2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/>
    <xf numFmtId="0" fontId="1" fillId="0" borderId="0" xfId="0" applyFont="1"/>
    <xf numFmtId="0" fontId="8" fillId="0" borderId="0" xfId="0" applyFont="1"/>
    <xf numFmtId="0" fontId="3" fillId="0" borderId="0" xfId="0" applyFont="1"/>
    <xf numFmtId="0" fontId="2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SIR solution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Results!$A$2:$A$102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Results!$B$2:$B$102</c:f>
              <c:numCache>
                <c:formatCode>General</c:formatCode>
                <c:ptCount val="101"/>
                <c:pt idx="0">
                  <c:v>999</c:v>
                </c:pt>
                <c:pt idx="1">
                  <c:v>998.70029999999997</c:v>
                </c:pt>
                <c:pt idx="2">
                  <c:v>998.34085777502696</c:v>
                </c:pt>
                <c:pt idx="3">
                  <c:v>997.90982244495729</c:v>
                </c:pt>
                <c:pt idx="4">
                  <c:v>997.39301782118559</c:v>
                </c:pt>
                <c:pt idx="5">
                  <c:v>996.77349734459585</c:v>
                </c:pt>
                <c:pt idx="6">
                  <c:v>996.03101876595656</c:v>
                </c:pt>
                <c:pt idx="7">
                  <c:v>995.1414262896501</c:v>
                </c:pt>
                <c:pt idx="8">
                  <c:v>994.07592703868522</c:v>
                </c:pt>
                <c:pt idx="9">
                  <c:v>992.80024831443916</c:v>
                </c:pt>
                <c:pt idx="10">
                  <c:v>991.27366256516996</c:v>
                </c:pt>
                <c:pt idx="11">
                  <c:v>989.44786874480053</c:v>
                </c:pt>
                <c:pt idx="12">
                  <c:v>987.26572254690905</c:v>
                </c:pt>
                <c:pt idx="13">
                  <c:v>984.65981481614585</c:v>
                </c:pt>
                <c:pt idx="14">
                  <c:v>981.55090858265805</c:v>
                </c:pt>
                <c:pt idx="15">
                  <c:v>977.84626233884785</c:v>
                </c:pt>
                <c:pt idx="16">
                  <c:v>973.4378925037413</c:v>
                </c:pt>
                <c:pt idx="17">
                  <c:v>968.20086398699607</c:v>
                </c:pt>
                <c:pt idx="18">
                  <c:v>961.99174702753237</c:v>
                </c:pt>
                <c:pt idx="19">
                  <c:v>954.64744340165214</c:v>
                </c:pt>
                <c:pt idx="20">
                  <c:v>945.98466685810195</c:v>
                </c:pt>
                <c:pt idx="21">
                  <c:v>935.80045976118743</c:v>
                </c:pt>
                <c:pt idx="22">
                  <c:v>923.87423396887641</c:v>
                </c:pt>
                <c:pt idx="23">
                  <c:v>909.97192439261801</c:v>
                </c:pt>
                <c:pt idx="24">
                  <c:v>893.85291208339913</c:v>
                </c:pt>
                <c:pt idx="25">
                  <c:v>875.28036847051567</c:v>
                </c:pt>
                <c:pt idx="26">
                  <c:v>854.03553592189758</c:v>
                </c:pt>
                <c:pt idx="27">
                  <c:v>829.9361237603639</c:v>
                </c:pt>
                <c:pt idx="28">
                  <c:v>802.85840052118942</c:v>
                </c:pt>
                <c:pt idx="29">
                  <c:v>772.76167702696569</c:v>
                </c:pt>
                <c:pt idx="30">
                  <c:v>739.71275882154373</c:v>
                </c:pt>
                <c:pt idx="31">
                  <c:v>703.90679172566684</c:v>
                </c:pt>
                <c:pt idx="32">
                  <c:v>665.68007881578603</c:v>
                </c:pt>
                <c:pt idx="33">
                  <c:v>625.51037184193922</c:v>
                </c:pt>
                <c:pt idx="34">
                  <c:v>584.00126079924701</c:v>
                </c:pt>
                <c:pt idx="35">
                  <c:v>541.849753552778</c:v>
                </c:pt>
                <c:pt idx="36">
                  <c:v>499.79959742563267</c:v>
                </c:pt>
                <c:pt idx="37">
                  <c:v>458.58642714443363</c:v>
                </c:pt>
                <c:pt idx="38">
                  <c:v>418.88320535777109</c:v>
                </c:pt>
                <c:pt idx="39">
                  <c:v>381.25466354812573</c:v>
                </c:pt>
                <c:pt idx="40">
                  <c:v>346.12733482599521</c:v>
                </c:pt>
                <c:pt idx="41">
                  <c:v>313.77802684490268</c:v>
                </c:pt>
                <c:pt idx="42">
                  <c:v>284.33954954389043</c:v>
                </c:pt>
                <c:pt idx="43">
                  <c:v>257.81947414638375</c:v>
                </c:pt>
                <c:pt idx="44">
                  <c:v>234.12634037697686</c:v>
                </c:pt>
                <c:pt idx="45">
                  <c:v>213.09798370684763</c:v>
                </c:pt>
                <c:pt idx="46">
                  <c:v>194.52795245314016</c:v>
                </c:pt>
                <c:pt idx="47">
                  <c:v>178.1876333278376</c:v>
                </c:pt>
                <c:pt idx="48">
                  <c:v>163.84317921972871</c:v>
                </c:pt>
                <c:pt idx="49">
                  <c:v>151.26737926395444</c:v>
                </c:pt>
                <c:pt idx="50">
                  <c:v>140.24719794239584</c:v>
                </c:pt>
                <c:pt idx="51">
                  <c:v>130.58793120427268</c:v>
                </c:pt>
                <c:pt idx="52">
                  <c:v>122.11491378322513</c:v>
                </c:pt>
                <c:pt idx="53">
                  <c:v>114.67357758849404</c:v>
                </c:pt>
                <c:pt idx="54">
                  <c:v>108.12848613357862</c:v>
                </c:pt>
                <c:pt idx="55">
                  <c:v>102.36180054372055</c:v>
                </c:pt>
                <c:pt idx="56">
                  <c:v>97.271489909160621</c:v>
                </c:pt>
                <c:pt idx="57">
                  <c:v>92.769488399090122</c:v>
                </c:pt>
                <c:pt idx="58">
                  <c:v>88.779921430391553</c:v>
                </c:pt>
                <c:pt idx="59">
                  <c:v>85.237467905914102</c:v>
                </c:pt>
                <c:pt idx="60">
                  <c:v>82.08588914517118</c:v>
                </c:pt>
                <c:pt idx="61">
                  <c:v>79.276732329780899</c:v>
                </c:pt>
                <c:pt idx="62">
                  <c:v>76.768202848459353</c:v>
                </c:pt>
                <c:pt idx="63">
                  <c:v>74.524192695754863</c:v>
                </c:pt>
                <c:pt idx="64">
                  <c:v>72.513448808339248</c:v>
                </c:pt>
                <c:pt idx="65">
                  <c:v>70.708864371568083</c:v>
                </c:pt>
                <c:pt idx="66">
                  <c:v>69.086876673440386</c:v>
                </c:pt>
                <c:pt idx="67">
                  <c:v>67.626956363400751</c:v>
                </c:pt>
                <c:pt idx="68">
                  <c:v>66.311174578402856</c:v>
                </c:pt>
                <c:pt idx="69">
                  <c:v>65.123836082055305</c:v>
                </c:pt>
                <c:pt idx="70">
                  <c:v>64.051168185152548</c:v>
                </c:pt>
                <c:pt idx="71">
                  <c:v>63.081056705586647</c:v>
                </c:pt>
                <c:pt idx="72">
                  <c:v>62.202821552001559</c:v>
                </c:pt>
                <c:pt idx="73">
                  <c:v>61.407025672389679</c:v>
                </c:pt>
                <c:pt idx="74">
                  <c:v>60.685312103465421</c:v>
                </c:pt>
                <c:pt idx="75">
                  <c:v>60.030264703209035</c:v>
                </c:pt>
                <c:pt idx="76">
                  <c:v>59.435288864324939</c:v>
                </c:pt>
                <c:pt idx="77">
                  <c:v>58.894509107759163</c:v>
                </c:pt>
                <c:pt idx="78">
                  <c:v>58.4026809592295</c:v>
                </c:pt>
                <c:pt idx="79">
                  <c:v>57.955114932774649</c:v>
                </c:pt>
                <c:pt idx="80">
                  <c:v>57.547610796700518</c:v>
                </c:pt>
                <c:pt idx="81">
                  <c:v>57.176400590298393</c:v>
                </c:pt>
                <c:pt idx="82">
                  <c:v>56.83809910397548</c:v>
                </c:pt>
                <c:pt idx="83">
                  <c:v>56.529660739122065</c:v>
                </c:pt>
                <c:pt idx="84">
                  <c:v>56.248341833980241</c:v>
                </c:pt>
                <c:pt idx="85">
                  <c:v>55.991667683686934</c:v>
                </c:pt>
                <c:pt idx="86">
                  <c:v>55.757403601290335</c:v>
                </c:pt>
                <c:pt idx="87">
                  <c:v>55.543529465829209</c:v>
                </c:pt>
                <c:pt idx="88">
                  <c:v>55.348217286787587</c:v>
                </c:pt>
                <c:pt idx="89">
                  <c:v>55.169811384101415</c:v>
                </c:pt>
                <c:pt idx="90">
                  <c:v>55.006810841639393</c:v>
                </c:pt>
                <c:pt idx="91">
                  <c:v>54.857853941563256</c:v>
                </c:pt>
                <c:pt idx="92">
                  <c:v>54.721704328728983</c:v>
                </c:pt>
                <c:pt idx="93">
                  <c:v>54.597238689593183</c:v>
                </c:pt>
                <c:pt idx="94">
                  <c:v>54.483435759993114</c:v>
                </c:pt>
                <c:pt idx="95">
                  <c:v>54.379366501550933</c:v>
                </c:pt>
                <c:pt idx="96">
                  <c:v>54.284185308040364</c:v>
                </c:pt>
                <c:pt idx="97">
                  <c:v>54.19712212145253</c:v>
                </c:pt>
                <c:pt idx="98">
                  <c:v>54.117475353211844</c:v>
                </c:pt>
                <c:pt idx="99">
                  <c:v>54.044605519442541</c:v>
                </c:pt>
                <c:pt idx="100">
                  <c:v>53.977929510723712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B-4C82-BB4B-79C724834E21}"/>
            </c:ext>
          </c:extLst>
        </c:ser>
        <c:ser>
          <c:idx val="1"/>
          <c:order val="1"/>
          <c:tx>
            <c:strRef>
              <c:f>Results!$C$1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Results!$A$2:$A$102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Results!$C$2:$C$102</c:f>
              <c:numCache>
                <c:formatCode>General</c:formatCode>
                <c:ptCount val="101"/>
                <c:pt idx="0">
                  <c:v>1</c:v>
                </c:pt>
                <c:pt idx="1">
                  <c:v>1.1997</c:v>
                </c:pt>
                <c:pt idx="2">
                  <c:v>1.4391722249729999</c:v>
                </c:pt>
                <c:pt idx="3">
                  <c:v>1.7262903325453616</c:v>
                </c:pt>
                <c:pt idx="4">
                  <c:v>2.070465923062462</c:v>
                </c:pt>
                <c:pt idx="5">
                  <c:v>2.4829398073459745</c:v>
                </c:pt>
                <c:pt idx="6">
                  <c:v>2.9771244052506862</c:v>
                </c:pt>
                <c:pt idx="7">
                  <c:v>3.5690044410320674</c:v>
                </c:pt>
                <c:pt idx="8">
                  <c:v>4.2776032478936843</c:v>
                </c:pt>
                <c:pt idx="9">
                  <c:v>5.1255216473503973</c:v>
                </c:pt>
                <c:pt idx="10">
                  <c:v>6.1395552318845095</c:v>
                </c:pt>
                <c:pt idx="11">
                  <c:v>7.3513935290654508</c:v>
                </c:pt>
                <c:pt idx="12">
                  <c:v>8.7984003740503454</c:v>
                </c:pt>
                <c:pt idx="13">
                  <c:v>10.524468067408453</c:v>
                </c:pt>
                <c:pt idx="14">
                  <c:v>12.580927494155461</c:v>
                </c:pt>
                <c:pt idx="15">
                  <c:v>15.027480988550165</c:v>
                </c:pt>
                <c:pt idx="16">
                  <c:v>17.93310272480171</c:v>
                </c:pt>
                <c:pt idx="17">
                  <c:v>21.376820969066763</c:v>
                </c:pt>
                <c:pt idx="18">
                  <c:v>25.448255831623818</c:v>
                </c:pt>
                <c:pt idx="19">
                  <c:v>30.247733874341652</c:v>
                </c:pt>
                <c:pt idx="20">
                  <c:v>35.885737030457626</c:v>
                </c:pt>
                <c:pt idx="21">
                  <c:v>42.481370424326336</c:v>
                </c:pt>
                <c:pt idx="22">
                  <c:v>50.15945917420467</c:v>
                </c:pt>
                <c:pt idx="23">
                  <c:v>59.045822833042649</c:v>
                </c:pt>
                <c:pt idx="24">
                  <c:v>69.260252858957202</c:v>
                </c:pt>
                <c:pt idx="25">
                  <c:v>80.906771185944919</c:v>
                </c:pt>
                <c:pt idx="26">
                  <c:v>94.060926615968498</c:v>
                </c:pt>
                <c:pt idx="27">
                  <c:v>108.75424611590533</c:v>
                </c:pt>
                <c:pt idx="28">
                  <c:v>124.95654474348933</c:v>
                </c:pt>
                <c:pt idx="29">
                  <c:v>142.55761376336409</c:v>
                </c:pt>
                <c:pt idx="30">
                  <c:v>161.35077059244958</c:v>
                </c:pt>
                <c:pt idx="31">
                  <c:v>181.02166062908148</c:v>
                </c:pt>
                <c:pt idx="32">
                  <c:v>201.14620747605409</c:v>
                </c:pt>
                <c:pt idx="33">
                  <c:v>221.20129370229552</c:v>
                </c:pt>
                <c:pt idx="34">
                  <c:v>240.59027537475822</c:v>
                </c:pt>
                <c:pt idx="35">
                  <c:v>258.68275508375143</c:v>
                </c:pt>
                <c:pt idx="36">
                  <c:v>274.86463570252158</c:v>
                </c:pt>
                <c:pt idx="37">
                  <c:v>288.59134241346845</c:v>
                </c:pt>
                <c:pt idx="38">
                  <c:v>299.43542995878414</c:v>
                </c:pt>
                <c:pt idx="39">
                  <c:v>307.12042877255107</c:v>
                </c:pt>
                <c:pt idx="40">
                  <c:v>311.53571461742649</c:v>
                </c:pt>
                <c:pt idx="41">
                  <c:v>312.73145113677634</c:v>
                </c:pt>
                <c:pt idx="42">
                  <c:v>310.89678332411097</c:v>
                </c:pt>
                <c:pt idx="43">
                  <c:v>306.32718038920655</c:v>
                </c:pt>
                <c:pt idx="44">
                  <c:v>299.38759611969277</c:v>
                </c:pt>
                <c:pt idx="45">
                  <c:v>290.47719317785271</c:v>
                </c:pt>
                <c:pt idx="46">
                  <c:v>279.99950511377489</c:v>
                </c:pt>
                <c:pt idx="47">
                  <c:v>268.33987372769997</c:v>
                </c:pt>
                <c:pt idx="48">
                  <c:v>255.85034046303886</c:v>
                </c:pt>
                <c:pt idx="49">
                  <c:v>242.84110637250924</c:v>
                </c:pt>
                <c:pt idx="50">
                  <c:v>229.57717705681691</c:v>
                </c:pt>
                <c:pt idx="51">
                  <c:v>216.27872608925838</c:v>
                </c:pt>
                <c:pt idx="52">
                  <c:v>203.12387090138009</c:v>
                </c:pt>
                <c:pt idx="53">
                  <c:v>190.25282000597318</c:v>
                </c:pt>
                <c:pt idx="54">
                  <c:v>177.77262946029128</c:v>
                </c:pt>
                <c:pt idx="55">
                  <c:v>165.76205210412024</c:v>
                </c:pt>
                <c:pt idx="56">
                  <c:v>154.27615752826816</c:v>
                </c:pt>
                <c:pt idx="57">
                  <c:v>143.35054328551183</c:v>
                </c:pt>
                <c:pt idx="58">
                  <c:v>133.00505592565921</c:v>
                </c:pt>
                <c:pt idx="59">
                  <c:v>123.24700385757075</c:v>
                </c:pt>
                <c:pt idx="60">
                  <c:v>114.0738822325566</c:v>
                </c:pt>
                <c:pt idx="61">
                  <c:v>105.47565082469123</c:v>
                </c:pt>
                <c:pt idx="62">
                  <c:v>97.436615223543654</c:v>
                </c:pt>
                <c:pt idx="63">
                  <c:v>89.936963853893772</c:v>
                </c:pt>
                <c:pt idx="64">
                  <c:v>82.954011355920017</c:v>
                </c:pt>
                <c:pt idx="65">
                  <c:v>76.46319465709918</c:v>
                </c:pt>
                <c:pt idx="66">
                  <c:v>70.438862889516955</c:v>
                </c:pt>
                <c:pt idx="67">
                  <c:v>64.854896910604893</c:v>
                </c:pt>
                <c:pt idx="68">
                  <c:v>59.685189004542302</c:v>
                </c:pt>
                <c:pt idx="69">
                  <c:v>54.904008600435624</c:v>
                </c:pt>
                <c:pt idx="70">
                  <c:v>50.486275637294817</c:v>
                </c:pt>
                <c:pt idx="71">
                  <c:v>46.407759553131235</c:v>
                </c:pt>
                <c:pt idx="72">
                  <c:v>42.645218751403206</c:v>
                </c:pt>
                <c:pt idx="73">
                  <c:v>39.176492755874769</c:v>
                </c:pt>
                <c:pt idx="74">
                  <c:v>35.980557049211548</c:v>
                </c:pt>
                <c:pt idx="75">
                  <c:v>33.037548744546775</c:v>
                </c:pt>
                <c:pt idx="76">
                  <c:v>30.328769708976193</c:v>
                </c:pt>
                <c:pt idx="77">
                  <c:v>27.83667249464435</c:v>
                </c:pt>
                <c:pt idx="78">
                  <c:v>25.544833393709578</c:v>
                </c:pt>
                <c:pt idx="79">
                  <c:v>23.437916080793467</c:v>
                </c:pt>
                <c:pt idx="80">
                  <c:v>21.501628608788256</c:v>
                </c:pt>
                <c:pt idx="81">
                  <c:v>19.722675954311555</c:v>
                </c:pt>
                <c:pt idx="82">
                  <c:v>18.088709845203308</c:v>
                </c:pt>
                <c:pt idx="83">
                  <c:v>16.588277225536395</c:v>
                </c:pt>
                <c:pt idx="84">
                  <c:v>15.210768408124578</c:v>
                </c:pt>
                <c:pt idx="85">
                  <c:v>13.946365717605429</c:v>
                </c:pt>
                <c:pt idx="86">
                  <c:v>12.785993228241484</c:v>
                </c:pt>
                <c:pt idx="87">
                  <c:v>11.721268040878464</c:v>
                </c:pt>
                <c:pt idx="88">
                  <c:v>10.744453415832242</c:v>
                </c:pt>
                <c:pt idx="89">
                  <c:v>9.848413976935193</c:v>
                </c:pt>
                <c:pt idx="90">
                  <c:v>9.0265731217036933</c:v>
                </c:pt>
                <c:pt idx="91">
                  <c:v>8.2728727096094588</c:v>
                </c:pt>
                <c:pt idx="92">
                  <c:v>7.5817350514827826</c:v>
                </c:pt>
                <c:pt idx="93">
                  <c:v>6.9480271854703046</c:v>
                </c:pt>
                <c:pt idx="94">
                  <c:v>6.3670273965233459</c:v>
                </c:pt>
                <c:pt idx="95">
                  <c:v>5.8343939153131901</c:v>
                </c:pt>
                <c:pt idx="96">
                  <c:v>5.3461357172924417</c:v>
                </c:pt>
                <c:pt idx="97">
                  <c:v>4.8985853321510282</c:v>
                </c:pt>
                <c:pt idx="98">
                  <c:v>4.488373567176609</c:v>
                </c:pt>
                <c:pt idx="99">
                  <c:v>4.112406044228254</c:v>
                </c:pt>
                <c:pt idx="100">
                  <c:v>3.7678414485242548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6B-4C82-BB4B-79C724834E21}"/>
            </c:ext>
          </c:extLst>
        </c:ser>
        <c:ser>
          <c:idx val="2"/>
          <c:order val="2"/>
          <c:tx>
            <c:strRef>
              <c:f>Results!$D$1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Results!$A$2:$A$102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Results!$D$2:$D$102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0.21997</c:v>
                </c:pt>
                <c:pt idx="3">
                  <c:v>0.36388722249729999</c:v>
                </c:pt>
                <c:pt idx="4">
                  <c:v>0.53651625575183615</c:v>
                </c:pt>
                <c:pt idx="5">
                  <c:v>0.74356284805808237</c:v>
                </c:pt>
                <c:pt idx="6">
                  <c:v>0.99185682879267989</c:v>
                </c:pt>
                <c:pt idx="7">
                  <c:v>1.2895692693177485</c:v>
                </c:pt>
                <c:pt idx="8">
                  <c:v>1.6464697134209554</c:v>
                </c:pt>
                <c:pt idx="9">
                  <c:v>2.0742300382103238</c:v>
                </c:pt>
                <c:pt idx="10">
                  <c:v>2.5867822029453635</c:v>
                </c:pt>
                <c:pt idx="11">
                  <c:v>3.2007377261338146</c:v>
                </c:pt>
                <c:pt idx="12">
                  <c:v>3.9358770790403597</c:v>
                </c:pt>
                <c:pt idx="13">
                  <c:v>4.815717116445394</c:v>
                </c:pt>
                <c:pt idx="14">
                  <c:v>5.8681639231862395</c:v>
                </c:pt>
                <c:pt idx="15">
                  <c:v>7.1262566726017855</c:v>
                </c:pt>
                <c:pt idx="16">
                  <c:v>8.6290047714568026</c:v>
                </c:pt>
                <c:pt idx="17">
                  <c:v>10.422315043936974</c:v>
                </c:pt>
                <c:pt idx="18">
                  <c:v>12.559997140843651</c:v>
                </c:pt>
                <c:pt idx="19">
                  <c:v>15.104822724006032</c:v>
                </c:pt>
                <c:pt idx="20">
                  <c:v>18.129596111440197</c:v>
                </c:pt>
                <c:pt idx="21">
                  <c:v>21.718169814485961</c:v>
                </c:pt>
                <c:pt idx="22">
                  <c:v>25.966306856918596</c:v>
                </c:pt>
                <c:pt idx="23">
                  <c:v>30.982252774339063</c:v>
                </c:pt>
                <c:pt idx="24">
                  <c:v>36.886835057643324</c:v>
                </c:pt>
                <c:pt idx="25">
                  <c:v>43.812860343539043</c:v>
                </c:pt>
                <c:pt idx="26">
                  <c:v>51.903537462133535</c:v>
                </c:pt>
                <c:pt idx="27">
                  <c:v>61.309630123730386</c:v>
                </c:pt>
                <c:pt idx="28">
                  <c:v>72.185054735320918</c:v>
                </c:pt>
                <c:pt idx="29">
                  <c:v>84.680709209669857</c:v>
                </c:pt>
                <c:pt idx="30">
                  <c:v>98.936470586006266</c:v>
                </c:pt>
                <c:pt idx="31">
                  <c:v>115.07154764525123</c:v>
                </c:pt>
                <c:pt idx="32">
                  <c:v>133.17371370815937</c:v>
                </c:pt>
                <c:pt idx="33">
                  <c:v>153.28833445576478</c:v>
                </c:pt>
                <c:pt idx="34">
                  <c:v>175.40846382599435</c:v>
                </c:pt>
                <c:pt idx="35">
                  <c:v>199.46749136347017</c:v>
                </c:pt>
                <c:pt idx="36">
                  <c:v>225.33576687184532</c:v>
                </c:pt>
                <c:pt idx="37">
                  <c:v>252.82223044209749</c:v>
                </c:pt>
                <c:pt idx="38">
                  <c:v>281.68136468344431</c:v>
                </c:pt>
                <c:pt idx="39">
                  <c:v>311.62490767932275</c:v>
                </c:pt>
                <c:pt idx="40">
                  <c:v>342.33695055657785</c:v>
                </c:pt>
                <c:pt idx="41">
                  <c:v>373.49052201832052</c:v>
                </c:pt>
                <c:pt idx="42">
                  <c:v>404.76366713199815</c:v>
                </c:pt>
                <c:pt idx="43">
                  <c:v>435.85334546440924</c:v>
                </c:pt>
                <c:pt idx="44">
                  <c:v>466.48606350332989</c:v>
                </c:pt>
                <c:pt idx="45">
                  <c:v>496.42482311529915</c:v>
                </c:pt>
                <c:pt idx="46">
                  <c:v>525.47254243308441</c:v>
                </c:pt>
                <c:pt idx="47">
                  <c:v>553.47249294446192</c:v>
                </c:pt>
                <c:pt idx="48">
                  <c:v>580.30648031723194</c:v>
                </c:pt>
                <c:pt idx="49">
                  <c:v>605.89151436353586</c:v>
                </c:pt>
                <c:pt idx="50">
                  <c:v>630.17562500078679</c:v>
                </c:pt>
                <c:pt idx="51">
                  <c:v>653.13334270646851</c:v>
                </c:pt>
                <c:pt idx="52">
                  <c:v>674.76121531539434</c:v>
                </c:pt>
                <c:pt idx="53">
                  <c:v>695.07360240553237</c:v>
                </c:pt>
                <c:pt idx="54">
                  <c:v>714.09888440612974</c:v>
                </c:pt>
                <c:pt idx="55">
                  <c:v>731.87614735215891</c:v>
                </c:pt>
                <c:pt idx="56">
                  <c:v>748.45235256257092</c:v>
                </c:pt>
                <c:pt idx="57">
                  <c:v>763.87996831539772</c:v>
                </c:pt>
                <c:pt idx="58">
                  <c:v>778.21502264394894</c:v>
                </c:pt>
                <c:pt idx="59">
                  <c:v>791.51552823651491</c:v>
                </c:pt>
                <c:pt idx="60">
                  <c:v>803.84022862227198</c:v>
                </c:pt>
                <c:pt idx="61">
                  <c:v>815.24761684552766</c:v>
                </c:pt>
                <c:pt idx="62">
                  <c:v>825.79518192799674</c:v>
                </c:pt>
                <c:pt idx="63">
                  <c:v>835.53884345035112</c:v>
                </c:pt>
                <c:pt idx="64">
                  <c:v>844.53253983574052</c:v>
                </c:pt>
                <c:pt idx="65">
                  <c:v>852.82794097133251</c:v>
                </c:pt>
                <c:pt idx="66">
                  <c:v>860.4742604370424</c:v>
                </c:pt>
                <c:pt idx="67">
                  <c:v>867.51814672599414</c:v>
                </c:pt>
                <c:pt idx="68">
                  <c:v>874.00363641705462</c:v>
                </c:pt>
                <c:pt idx="69">
                  <c:v>879.97215531750885</c:v>
                </c:pt>
                <c:pt idx="70">
                  <c:v>885.46255617755241</c:v>
                </c:pt>
                <c:pt idx="71">
                  <c:v>890.51118374128191</c:v>
                </c:pt>
                <c:pt idx="72">
                  <c:v>895.15195969659499</c:v>
                </c:pt>
                <c:pt idx="73">
                  <c:v>899.41648157173529</c:v>
                </c:pt>
                <c:pt idx="74">
                  <c:v>903.33413084732274</c:v>
                </c:pt>
                <c:pt idx="75">
                  <c:v>906.93218655224393</c:v>
                </c:pt>
                <c:pt idx="76">
                  <c:v>910.23594142669856</c:v>
                </c:pt>
                <c:pt idx="77">
                  <c:v>913.26881839759619</c:v>
                </c:pt>
                <c:pt idx="78">
                  <c:v>916.05248564706062</c:v>
                </c:pt>
                <c:pt idx="79">
                  <c:v>918.60696898643153</c:v>
                </c:pt>
                <c:pt idx="80">
                  <c:v>920.95076059451083</c:v>
                </c:pt>
                <c:pt idx="81">
                  <c:v>923.10092345538965</c:v>
                </c:pt>
                <c:pt idx="82">
                  <c:v>925.07319105082081</c:v>
                </c:pt>
                <c:pt idx="83">
                  <c:v>926.88206203534116</c:v>
                </c:pt>
                <c:pt idx="84">
                  <c:v>928.54088975789477</c:v>
                </c:pt>
                <c:pt idx="85">
                  <c:v>930.06196659870727</c:v>
                </c:pt>
                <c:pt idx="86">
                  <c:v>931.45660317046782</c:v>
                </c:pt>
                <c:pt idx="87">
                  <c:v>932.73520249329192</c:v>
                </c:pt>
                <c:pt idx="88">
                  <c:v>933.90732929737976</c:v>
                </c:pt>
                <c:pt idx="89">
                  <c:v>934.98177463896297</c:v>
                </c:pt>
                <c:pt idx="90">
                  <c:v>935.96661603665655</c:v>
                </c:pt>
                <c:pt idx="91">
                  <c:v>936.86927334882694</c:v>
                </c:pt>
                <c:pt idx="92">
                  <c:v>937.69656061978787</c:v>
                </c:pt>
                <c:pt idx="93">
                  <c:v>938.45473412493618</c:v>
                </c:pt>
                <c:pt idx="94">
                  <c:v>939.14953684348325</c:v>
                </c:pt>
                <c:pt idx="95">
                  <c:v>939.78623958313563</c:v>
                </c:pt>
                <c:pt idx="96">
                  <c:v>940.36967897466695</c:v>
                </c:pt>
                <c:pt idx="97">
                  <c:v>940.90429254639616</c:v>
                </c:pt>
                <c:pt idx="98">
                  <c:v>941.39415107961122</c:v>
                </c:pt>
                <c:pt idx="99">
                  <c:v>941.84298843632882</c:v>
                </c:pt>
                <c:pt idx="100">
                  <c:v>942.25422904075162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6B-4C82-BB4B-79C724834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1084992"/>
        <c:axId val="2121085472"/>
      </c:lineChart>
      <c:catAx>
        <c:axId val="212108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1085472"/>
        <c:crosses val="autoZero"/>
        <c:auto val="1"/>
        <c:lblAlgn val="ctr"/>
        <c:lblOffset val="100"/>
        <c:noMultiLvlLbl val="0"/>
      </c:catAx>
      <c:valAx>
        <c:axId val="212108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108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customXml" Target="../ink/ink2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ustomXml" Target="../ink/ink3.xml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customXml" Target="../ink/ink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524170</xdr:colOff>
      <xdr:row>4</xdr:row>
      <xdr:rowOff>125607</xdr:rowOff>
    </xdr:from>
    <xdr:to>
      <xdr:col>7</xdr:col>
      <xdr:colOff>324684</xdr:colOff>
      <xdr:row>12</xdr:row>
      <xdr:rowOff>48846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E15E46-5E45-634B-011A-87911CCDF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522" y="851321"/>
          <a:ext cx="1621777" cy="1374668"/>
        </a:xfrm>
        <a:prstGeom prst="rect">
          <a:avLst/>
        </a:prstGeom>
      </xdr:spPr>
    </xdr:pic>
    <xdr:clientData/>
  </xdr:twoCellAnchor>
  <xdr:twoCellAnchor>
    <xdr:from>
      <xdr:col>3</xdr:col>
      <xdr:colOff>314010</xdr:colOff>
      <xdr:row>22</xdr:row>
      <xdr:rowOff>76759</xdr:rowOff>
    </xdr:from>
    <xdr:to>
      <xdr:col>8</xdr:col>
      <xdr:colOff>345621</xdr:colOff>
      <xdr:row>31</xdr:row>
      <xdr:rowOff>118627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 Box 2">
              <a:extLst>
                <a:ext uri="{FF2B5EF4-FFF2-40B4-BE49-F238E27FC236}">
                  <a16:creationId xmlns:a16="http://schemas.microsoft.com/office/drawing/2014/main" id="{241F3530-E248-8681-DB4E-43C978C50621}"/>
                </a:ext>
              </a:extLst>
            </xdr:cNvPr>
            <xdr:cNvSpPr txBox="1"/>
          </xdr:nvSpPr>
          <xdr:spPr>
            <a:xfrm>
              <a:off x="2135274" y="3705330"/>
              <a:ext cx="3067050" cy="1674726"/>
            </a:xfrm>
            <a:prstGeom prst="rect">
              <a:avLst/>
            </a:prstGeom>
            <a:solidFill>
              <a:schemeClr val="lt1"/>
            </a:solidFill>
            <a:ln w="6350">
              <a:solidFill>
                <a:prstClr val="black"/>
              </a:solidFill>
            </a:ln>
          </xdr:spPr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Initialize  </a:t>
              </a:r>
              <a14:m>
                <m:oMath xmlns:m="http://schemas.openxmlformats.org/officeDocument/2006/math">
                  <m:sSub>
                    <m:sSubPr>
                      <m:ctrlPr>
                        <a:rPr lang="es-E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𝑆</m:t>
                      </m:r>
                    </m:e>
                    <m:sub>
                      <m:r>
                        <a:rPr lang="en-U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0</m:t>
                      </m:r>
                    </m:sub>
                  </m:sSub>
                  <m:r>
                    <a:rPr lang="en-US" sz="1100" i="1" kern="100">
                      <a:effectLst/>
                      <a:latin typeface="Cambria Math" panose="02040503050406030204" pitchFamily="18" charset="0"/>
                      <a:ea typeface="Aptos" panose="020B0004020202020204" pitchFamily="34" charset="0"/>
                      <a:cs typeface="Times New Roman" panose="02020603050405020304" pitchFamily="18" charset="0"/>
                    </a:rPr>
                    <m:t>,</m:t>
                  </m:r>
                  <m:sSub>
                    <m:sSubPr>
                      <m:ctrlPr>
                        <a:rPr lang="es-E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𝐼</m:t>
                      </m:r>
                    </m:e>
                    <m:sub>
                      <m:r>
                        <a:rPr lang="en-U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0</m:t>
                      </m:r>
                    </m:sub>
                  </m:sSub>
                  <m:r>
                    <a:rPr lang="en-US" sz="1100" i="1" kern="100">
                      <a:effectLst/>
                      <a:latin typeface="Cambria Math" panose="02040503050406030204" pitchFamily="18" charset="0"/>
                      <a:ea typeface="Aptos" panose="020B0004020202020204" pitchFamily="34" charset="0"/>
                      <a:cs typeface="Times New Roman" panose="02020603050405020304" pitchFamily="18" charset="0"/>
                    </a:rPr>
                    <m:t>, </m:t>
                  </m:r>
                  <m:sSub>
                    <m:sSubPr>
                      <m:ctrlPr>
                        <a:rPr lang="es-E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𝑅</m:t>
                      </m:r>
                    </m:e>
                    <m:sub>
                      <m:r>
                        <a:rPr lang="en-U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0</m:t>
                      </m:r>
                    </m:sub>
                  </m:sSub>
                </m:oMath>
              </a14:m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and compute next step (i+1)</a:t>
              </a:r>
              <a:r>
                <a:rPr lang="en-US" sz="1100" kern="100" baseline="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fro</a:t>
              </a:r>
              <a:r>
                <a:rPr lang="en-US" sz="1100" kern="100" baseline="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m step (i)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with  </a:t>
              </a:r>
              <a:r>
                <a:rPr lang="en-US" sz="1100" b="1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Euler’s Method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𝑆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𝑖</m:t>
                        </m:r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+1</m:t>
                        </m:r>
                      </m:sub>
                    </m:sSub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𝑆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𝑖</m:t>
                        </m:r>
                      </m:sub>
                    </m:sSub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+∆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𝑡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∙</m:t>
                    </m:r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𝑓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1</m:t>
                        </m:r>
                      </m:sub>
                    </m:sSub>
                    <m:d>
                      <m:d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es-ES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𝐼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𝑖</m:t>
                        </m:r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+1</m:t>
                        </m:r>
                      </m:sub>
                    </m:sSub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𝐼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𝑖</m:t>
                        </m:r>
                      </m:sub>
                    </m:sSub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+∆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𝑡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∙ </m:t>
                    </m:r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𝑓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2</m:t>
                        </m:r>
                      </m:sub>
                    </m:sSub>
                    <m:d>
                      <m:d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s-PR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sSub>
                          <m:sSubPr>
                            <m:ctrlPr>
                              <a:rPr lang="es-E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𝑅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𝑖</m:t>
                        </m:r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+1</m:t>
                        </m:r>
                      </m:sub>
                    </m:sSub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𝑅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𝑖</m:t>
                        </m:r>
                      </m:sub>
                    </m:sSub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+∆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𝑡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∙ </m:t>
                    </m:r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𝑓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3</m:t>
                        </m:r>
                      </m:sub>
                    </m:sSub>
                    <m:d>
                      <m:d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kern="100">
                  <a:effectLst/>
                  <a:latin typeface="Aptos" panose="020B0004020202020204" pitchFamily="34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for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i = 0,1, … , n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kern="100">
                  <a:effectLst/>
                  <a:latin typeface="Aptos" panose="020B0004020202020204" pitchFamily="34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 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7" name="Text Box 2">
              <a:extLst>
                <a:ext uri="{FF2B5EF4-FFF2-40B4-BE49-F238E27FC236}">
                  <a16:creationId xmlns:a16="http://schemas.microsoft.com/office/drawing/2014/main" id="{241F3530-E248-8681-DB4E-43C978C50621}"/>
                </a:ext>
              </a:extLst>
            </xdr:cNvPr>
            <xdr:cNvSpPr txBox="1"/>
          </xdr:nvSpPr>
          <xdr:spPr>
            <a:xfrm>
              <a:off x="2135274" y="3705330"/>
              <a:ext cx="3067050" cy="1674726"/>
            </a:xfrm>
            <a:prstGeom prst="rect">
              <a:avLst/>
            </a:prstGeom>
            <a:solidFill>
              <a:schemeClr val="lt1"/>
            </a:solidFill>
            <a:ln w="6350">
              <a:solidFill>
                <a:prstClr val="black"/>
              </a:solidFill>
            </a:ln>
          </xdr:spPr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Initialize  </a:t>
              </a:r>
              <a:r>
                <a:rPr lang="en-U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𝑆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0,𝐼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0, 𝑅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0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and compute next step (i+1)</a:t>
              </a:r>
              <a:r>
                <a:rPr lang="en-US" sz="1100" kern="100" baseline="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fro</a:t>
              </a:r>
              <a:r>
                <a:rPr lang="en-US" sz="1100" kern="100" baseline="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m step (i)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with  </a:t>
              </a:r>
              <a:r>
                <a:rPr lang="en-US" sz="1100" b="1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Euler’s Method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𝑆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_(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𝑖+1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)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=𝑆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𝑖+∆𝑡∙𝑓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1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r>
                <a:rPr lang="es-ES" sz="1100" i="0" kern="10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𝑆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𝑖,𝐼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 )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𝐼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_(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𝑖+1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)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=𝐼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𝑖+∆𝑡∙ 𝑓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2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r>
                <a:rPr lang="es-ES" sz="1100" i="0" kern="10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𝑖,𝐼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𝑅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_(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𝑖+1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)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=𝑅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𝑖+∆𝑡∙ 𝑓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3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r>
                <a:rPr lang="es-ES" sz="1100" i="0" kern="10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𝐼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kern="100">
                  <a:effectLst/>
                  <a:latin typeface="Aptos" panose="020B0004020202020204" pitchFamily="34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for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i = 0,1, … , n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kern="100">
                  <a:effectLst/>
                  <a:latin typeface="Aptos" panose="020B0004020202020204" pitchFamily="34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 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  <xdr:twoCellAnchor>
    <xdr:from>
      <xdr:col>1</xdr:col>
      <xdr:colOff>216317</xdr:colOff>
      <xdr:row>11</xdr:row>
      <xdr:rowOff>125604</xdr:rowOff>
    </xdr:from>
    <xdr:to>
      <xdr:col>5</xdr:col>
      <xdr:colOff>339395</xdr:colOff>
      <xdr:row>22</xdr:row>
      <xdr:rowOff>39334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 Box 2">
              <a:extLst>
                <a:ext uri="{FF2B5EF4-FFF2-40B4-BE49-F238E27FC236}">
                  <a16:creationId xmlns:a16="http://schemas.microsoft.com/office/drawing/2014/main" id="{935E0AF4-3F1C-8247-47BF-AE41DCFC50E3}"/>
                </a:ext>
              </a:extLst>
            </xdr:cNvPr>
            <xdr:cNvSpPr txBox="1"/>
          </xdr:nvSpPr>
          <xdr:spPr>
            <a:xfrm>
              <a:off x="823405" y="2121318"/>
              <a:ext cx="2551430" cy="1909445"/>
            </a:xfrm>
            <a:prstGeom prst="rect">
              <a:avLst/>
            </a:prstGeom>
            <a:solidFill>
              <a:schemeClr val="lt1"/>
            </a:solidFill>
            <a:ln w="6350">
              <a:solidFill>
                <a:prstClr val="black"/>
              </a:solidFill>
            </a:ln>
          </xdr:spPr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LHS: Finite Difference Approximation of the Derivative  (</a:t>
              </a:r>
              <a:r>
                <a:rPr lang="en-US" sz="1100" kern="100" baseline="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step: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i+1)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𝑑𝑆</m:t>
                        </m:r>
                      </m:num>
                      <m:den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𝑑𝑡</m:t>
                        </m:r>
                      </m:den>
                    </m:f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≈</m:t>
                    </m:r>
                    <m:f>
                      <m:f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𝑖</m:t>
                            </m:r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+1</m:t>
                            </m:r>
                          </m:sub>
                        </m:s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ES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∆</m:t>
                        </m:r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𝑡</m:t>
                        </m:r>
                      </m:den>
                    </m:f>
                    <m:r>
                      <a:rPr lang="es-PR" sz="1100" kern="100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, </m:t>
                    </m:r>
                  </m:oMath>
                </m:oMathPara>
              </a14:m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𝑑𝐼</m:t>
                        </m:r>
                      </m:num>
                      <m:den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𝑑𝑡</m:t>
                        </m:r>
                      </m:den>
                    </m:f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≈</m:t>
                    </m:r>
                    <m:f>
                      <m:f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𝑖</m:t>
                            </m:r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+1</m:t>
                            </m:r>
                          </m:sub>
                        </m:s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ES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∆</m:t>
                        </m:r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𝑡</m:t>
                        </m:r>
                      </m:den>
                    </m:f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,  </m:t>
                    </m:r>
                  </m:oMath>
                </m:oMathPara>
              </a14:m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𝑑𝑅</m:t>
                        </m:r>
                      </m:num>
                      <m:den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𝑑𝑡</m:t>
                        </m:r>
                      </m:den>
                    </m:f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≈</m:t>
                    </m:r>
                    <m:f>
                      <m:f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𝑖</m:t>
                            </m:r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+1</m:t>
                            </m:r>
                          </m:sub>
                        </m:s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ES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∆</m:t>
                        </m:r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𝑡</m:t>
                        </m:r>
                      </m:den>
                    </m:f>
                  </m:oMath>
                </m:oMathPara>
              </a14:m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8" name="Text Box 2">
              <a:extLst>
                <a:ext uri="{FF2B5EF4-FFF2-40B4-BE49-F238E27FC236}">
                  <a16:creationId xmlns:a16="http://schemas.microsoft.com/office/drawing/2014/main" id="{935E0AF4-3F1C-8247-47BF-AE41DCFC50E3}"/>
                </a:ext>
              </a:extLst>
            </xdr:cNvPr>
            <xdr:cNvSpPr txBox="1"/>
          </xdr:nvSpPr>
          <xdr:spPr>
            <a:xfrm>
              <a:off x="823405" y="2121318"/>
              <a:ext cx="2551430" cy="1909445"/>
            </a:xfrm>
            <a:prstGeom prst="rect">
              <a:avLst/>
            </a:prstGeom>
            <a:solidFill>
              <a:schemeClr val="lt1"/>
            </a:solidFill>
            <a:ln w="6350">
              <a:solidFill>
                <a:prstClr val="black"/>
              </a:solidFill>
            </a:ln>
          </xdr:spPr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LHS: Finite Difference Approximation of the Derivative  (</a:t>
              </a:r>
              <a:r>
                <a:rPr lang="en-US" sz="1100" kern="100" baseline="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step: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i+1)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𝑑𝑆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/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𝑑𝑡≈</a:t>
              </a:r>
              <a:r>
                <a:rPr lang="es-ES" sz="1100" i="0" kern="10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𝑆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_(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𝑖+1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)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−𝑆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)/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∆𝑡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, 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𝑑𝐼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/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𝑑𝑡≈</a:t>
              </a:r>
              <a:r>
                <a:rPr lang="es-ES" sz="1100" i="0" kern="10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𝐼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_(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𝑖+1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)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−𝐼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)/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∆𝑡,  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𝑑𝑅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/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𝑑𝑡≈</a:t>
              </a:r>
              <a:r>
                <a:rPr lang="es-ES" sz="1100" i="0" kern="10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𝑅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_(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𝑖+1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)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−𝑅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)/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∆𝑡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  <xdr:twoCellAnchor>
    <xdr:from>
      <xdr:col>5</xdr:col>
      <xdr:colOff>341922</xdr:colOff>
      <xdr:row>16</xdr:row>
      <xdr:rowOff>6977</xdr:rowOff>
    </xdr:from>
    <xdr:to>
      <xdr:col>6</xdr:col>
      <xdr:colOff>258075</xdr:colOff>
      <xdr:row>18</xdr:row>
      <xdr:rowOff>115925</xdr:rowOff>
    </xdr:to>
    <xdr:sp macro="" textlink="">
      <xdr:nvSpPr>
        <xdr:cNvPr id="9" name="Equals 8">
          <a:extLst>
            <a:ext uri="{FF2B5EF4-FFF2-40B4-BE49-F238E27FC236}">
              <a16:creationId xmlns:a16="http://schemas.microsoft.com/office/drawing/2014/main" id="{6720430A-04FA-44D5-57DD-042D259EF0B3}"/>
            </a:ext>
          </a:extLst>
        </xdr:cNvPr>
        <xdr:cNvSpPr/>
      </xdr:nvSpPr>
      <xdr:spPr>
        <a:xfrm>
          <a:off x="3377362" y="2909834"/>
          <a:ext cx="523240" cy="471805"/>
        </a:xfrm>
        <a:prstGeom prst="mathEqua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ES"/>
        </a:p>
      </xdr:txBody>
    </xdr:sp>
    <xdr:clientData/>
  </xdr:twoCellAnchor>
  <xdr:twoCellAnchor>
    <xdr:from>
      <xdr:col>6</xdr:col>
      <xdr:colOff>272143</xdr:colOff>
      <xdr:row>11</xdr:row>
      <xdr:rowOff>97693</xdr:rowOff>
    </xdr:from>
    <xdr:to>
      <xdr:col>10</xdr:col>
      <xdr:colOff>173606</xdr:colOff>
      <xdr:row>22</xdr:row>
      <xdr:rowOff>48254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 Box 2">
              <a:extLst>
                <a:ext uri="{FF2B5EF4-FFF2-40B4-BE49-F238E27FC236}">
                  <a16:creationId xmlns:a16="http://schemas.microsoft.com/office/drawing/2014/main" id="{4F6B67D8-AB4F-AA96-7246-E82E993F1DE2}"/>
                </a:ext>
              </a:extLst>
            </xdr:cNvPr>
            <xdr:cNvSpPr txBox="1"/>
          </xdr:nvSpPr>
          <xdr:spPr>
            <a:xfrm>
              <a:off x="3914670" y="2093407"/>
              <a:ext cx="2099540" cy="1946276"/>
            </a:xfrm>
            <a:prstGeom prst="rect">
              <a:avLst/>
            </a:prstGeom>
            <a:solidFill>
              <a:schemeClr val="lt1"/>
            </a:solidFill>
            <a:ln w="6350">
              <a:solidFill>
                <a:prstClr val="black"/>
              </a:solidFill>
            </a:ln>
          </xdr:spPr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RHS: Formulas of the Differential Equations defining </a:t>
              </a:r>
              <a:r>
                <a:rPr lang="en-US" sz="1100" kern="100" baseline="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SIR  (step: i)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𝑓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1</m:t>
                        </m:r>
                      </m:sub>
                    </m:sSub>
                    <m:d>
                      <m:d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s-PR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sSub>
                          <m:sSubPr>
                            <m:ctrlPr>
                              <a:rPr lang="es-E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d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=−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𝛽</m:t>
                    </m:r>
                    <m:f>
                      <m:f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s-PR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∙</m:t>
                        </m:r>
                        <m:sSub>
                          <m:sSubPr>
                            <m:ctrlPr>
                              <a:rPr lang="es-E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𝑁</m:t>
                        </m:r>
                      </m:den>
                    </m:f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 , </m:t>
                    </m:r>
                  </m:oMath>
                </m:oMathPara>
              </a14:m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    </m:t>
                        </m:r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𝑓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2</m:t>
                        </m:r>
                      </m:sub>
                    </m:sSub>
                    <m:d>
                      <m:d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s-PR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sSub>
                          <m:sSubPr>
                            <m:ctrlPr>
                              <a:rPr lang="es-E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d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=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𝛽</m:t>
                    </m:r>
                    <m:f>
                      <m:f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s-PR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∙</m:t>
                        </m:r>
                        <m:sSub>
                          <m:sSubPr>
                            <m:ctrlPr>
                              <a:rPr lang="es-E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𝑁</m:t>
                        </m:r>
                      </m:den>
                    </m:f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−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𝛾</m:t>
                    </m:r>
                    <m:sSub>
                      <m:sSubPr>
                        <m:ctrlPr>
                          <a:rPr lang="es-E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PR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s-PR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 ,</m:t>
                    </m:r>
                  </m:oMath>
                </m:oMathPara>
              </a14:m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 </m:t>
                    </m:r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   </m:t>
                        </m:r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𝑓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3</m:t>
                        </m:r>
                      </m:sub>
                    </m:sSub>
                    <m:d>
                      <m:d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d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= 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𝛾</m:t>
                    </m:r>
                    <m:sSub>
                      <m:sSubPr>
                        <m:ctrlPr>
                          <a:rPr lang="es-E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PR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s-PR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  </m:t>
                    </m:r>
                  </m:oMath>
                </m:oMathPara>
              </a14:m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10" name="Text Box 2">
              <a:extLst>
                <a:ext uri="{FF2B5EF4-FFF2-40B4-BE49-F238E27FC236}">
                  <a16:creationId xmlns:a16="http://schemas.microsoft.com/office/drawing/2014/main" id="{4F6B67D8-AB4F-AA96-7246-E82E993F1DE2}"/>
                </a:ext>
              </a:extLst>
            </xdr:cNvPr>
            <xdr:cNvSpPr txBox="1"/>
          </xdr:nvSpPr>
          <xdr:spPr>
            <a:xfrm>
              <a:off x="3914670" y="2093407"/>
              <a:ext cx="2099540" cy="1946276"/>
            </a:xfrm>
            <a:prstGeom prst="rect">
              <a:avLst/>
            </a:prstGeom>
            <a:solidFill>
              <a:schemeClr val="lt1"/>
            </a:solidFill>
            <a:ln w="6350">
              <a:solidFill>
                <a:prstClr val="black"/>
              </a:solidFill>
            </a:ln>
          </xdr:spPr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RHS: Formulas of the Differential Equations defining </a:t>
              </a:r>
              <a:r>
                <a:rPr lang="en-US" sz="1100" kern="100" baseline="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SIR  (step: i)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𝑓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1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es-ES" sz="1100" i="0" kern="10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𝑖,𝐼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=−𝛽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𝑖∙𝐼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𝑁  , 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ES" sz="1100" i="0" kern="10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   𝑓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〗_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2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es-ES" sz="1100" i="0" kern="10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𝑖,𝐼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=𝛽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𝑖∙𝐼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𝑁−𝛾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𝐼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,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es-ES" sz="1100" i="0" kern="10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  𝑓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〗_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3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es-ES" sz="1100" i="0" kern="10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𝐼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= 𝛾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𝐼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  <xdr:twoCellAnchor editAs="oneCell">
    <xdr:from>
      <xdr:col>10</xdr:col>
      <xdr:colOff>432639</xdr:colOff>
      <xdr:row>5</xdr:row>
      <xdr:rowOff>0</xdr:rowOff>
    </xdr:from>
    <xdr:to>
      <xdr:col>18</xdr:col>
      <xdr:colOff>300010</xdr:colOff>
      <xdr:row>13</xdr:row>
      <xdr:rowOff>6979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EE3BB73-22A6-1020-DECE-C829BE22B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3243" y="907143"/>
          <a:ext cx="4724075" cy="1458407"/>
        </a:xfrm>
        <a:prstGeom prst="rect">
          <a:avLst/>
        </a:prstGeom>
      </xdr:spPr>
    </xdr:pic>
    <xdr:clientData/>
  </xdr:twoCellAnchor>
  <xdr:twoCellAnchor editAs="oneCell">
    <xdr:from>
      <xdr:col>7</xdr:col>
      <xdr:colOff>603545</xdr:colOff>
      <xdr:row>14</xdr:row>
      <xdr:rowOff>55960</xdr:rowOff>
    </xdr:from>
    <xdr:to>
      <xdr:col>10</xdr:col>
      <xdr:colOff>83556</xdr:colOff>
      <xdr:row>21</xdr:row>
      <xdr:rowOff>177000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B987492-5C71-8684-A646-B73615E8BE4A}"/>
                </a:ext>
              </a:extLst>
            </xdr14:cNvPr>
            <xdr14:cNvContentPartPr/>
          </xdr14:nvContentPartPr>
          <xdr14:nvPr macro=""/>
          <xdr14:xfrm>
            <a:off x="4853160" y="2595960"/>
            <a:ext cx="1071000" cy="13910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B987492-5C71-8684-A646-B73615E8BE4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799520" y="2487960"/>
              <a:ext cx="1178640" cy="160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535400</xdr:colOff>
      <xdr:row>4</xdr:row>
      <xdr:rowOff>159526</xdr:rowOff>
    </xdr:from>
    <xdr:to>
      <xdr:col>7</xdr:col>
      <xdr:colOff>268025</xdr:colOff>
      <xdr:row>11</xdr:row>
      <xdr:rowOff>82566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E9656A9-ACAB-C5D1-42FA-1B1B2A70613F}"/>
                </a:ext>
              </a:extLst>
            </xdr14:cNvPr>
            <xdr14:cNvContentPartPr/>
          </xdr14:nvContentPartPr>
          <xdr14:nvPr macro=""/>
          <xdr14:xfrm>
            <a:off x="3570840" y="885240"/>
            <a:ext cx="946800" cy="11930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E9656A9-ACAB-C5D1-42FA-1B1B2A7061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516840" y="777240"/>
              <a:ext cx="1054440" cy="1408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279939</xdr:colOff>
      <xdr:row>1</xdr:row>
      <xdr:rowOff>41869</xdr:rowOff>
    </xdr:from>
    <xdr:to>
      <xdr:col>15</xdr:col>
      <xdr:colOff>80454</xdr:colOff>
      <xdr:row>8</xdr:row>
      <xdr:rowOff>146539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5AE621-F131-422A-8F76-8B0B7C3E2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5139" y="226019"/>
          <a:ext cx="1629315" cy="1393720"/>
        </a:xfrm>
        <a:prstGeom prst="rect">
          <a:avLst/>
        </a:prstGeom>
      </xdr:spPr>
    </xdr:pic>
    <xdr:clientData/>
  </xdr:twoCellAnchor>
  <xdr:twoCellAnchor>
    <xdr:from>
      <xdr:col>11</xdr:col>
      <xdr:colOff>432637</xdr:colOff>
      <xdr:row>9</xdr:row>
      <xdr:rowOff>55824</xdr:rowOff>
    </xdr:from>
    <xdr:to>
      <xdr:col>16</xdr:col>
      <xdr:colOff>464247</xdr:colOff>
      <xdr:row>18</xdr:row>
      <xdr:rowOff>97693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 Box 2">
              <a:extLst>
                <a:ext uri="{FF2B5EF4-FFF2-40B4-BE49-F238E27FC236}">
                  <a16:creationId xmlns:a16="http://schemas.microsoft.com/office/drawing/2014/main" id="{FF513DBF-2C3F-4E80-A84F-3641F8D4479E}"/>
                </a:ext>
              </a:extLst>
            </xdr:cNvPr>
            <xdr:cNvSpPr txBox="1"/>
          </xdr:nvSpPr>
          <xdr:spPr>
            <a:xfrm>
              <a:off x="7110604" y="1688681"/>
              <a:ext cx="3067050" cy="1674726"/>
            </a:xfrm>
            <a:prstGeom prst="rect">
              <a:avLst/>
            </a:prstGeom>
            <a:solidFill>
              <a:schemeClr val="lt1"/>
            </a:solidFill>
            <a:ln w="6350">
              <a:solidFill>
                <a:prstClr val="black"/>
              </a:solidFill>
            </a:ln>
          </xdr:spPr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Initialize  </a:t>
              </a:r>
              <a14:m>
                <m:oMath xmlns:m="http://schemas.openxmlformats.org/officeDocument/2006/math">
                  <m:sSub>
                    <m:sSubPr>
                      <m:ctrlPr>
                        <a:rPr lang="es-E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𝑆</m:t>
                      </m:r>
                    </m:e>
                    <m:sub>
                      <m:r>
                        <a:rPr lang="en-U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0</m:t>
                      </m:r>
                    </m:sub>
                  </m:sSub>
                  <m:r>
                    <a:rPr lang="en-US" sz="1100" i="1" kern="100">
                      <a:effectLst/>
                      <a:latin typeface="Cambria Math" panose="02040503050406030204" pitchFamily="18" charset="0"/>
                      <a:ea typeface="Aptos" panose="020B0004020202020204" pitchFamily="34" charset="0"/>
                      <a:cs typeface="Times New Roman" panose="02020603050405020304" pitchFamily="18" charset="0"/>
                    </a:rPr>
                    <m:t>,</m:t>
                  </m:r>
                  <m:sSub>
                    <m:sSubPr>
                      <m:ctrlPr>
                        <a:rPr lang="es-E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𝐼</m:t>
                      </m:r>
                    </m:e>
                    <m:sub>
                      <m:r>
                        <a:rPr lang="en-U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0</m:t>
                      </m:r>
                    </m:sub>
                  </m:sSub>
                  <m:r>
                    <a:rPr lang="en-US" sz="1100" i="1" kern="100">
                      <a:effectLst/>
                      <a:latin typeface="Cambria Math" panose="02040503050406030204" pitchFamily="18" charset="0"/>
                      <a:ea typeface="Aptos" panose="020B0004020202020204" pitchFamily="34" charset="0"/>
                      <a:cs typeface="Times New Roman" panose="02020603050405020304" pitchFamily="18" charset="0"/>
                    </a:rPr>
                    <m:t>, </m:t>
                  </m:r>
                  <m:sSub>
                    <m:sSubPr>
                      <m:ctrlPr>
                        <a:rPr lang="es-E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𝑅</m:t>
                      </m:r>
                    </m:e>
                    <m:sub>
                      <m:r>
                        <a:rPr lang="en-US" sz="1100" i="1" kern="100">
                          <a:effectLst/>
                          <a:latin typeface="Cambria Math" panose="02040503050406030204" pitchFamily="18" charset="0"/>
                          <a:ea typeface="Aptos" panose="020B0004020202020204" pitchFamily="34" charset="0"/>
                          <a:cs typeface="Times New Roman" panose="02020603050405020304" pitchFamily="18" charset="0"/>
                        </a:rPr>
                        <m:t>0</m:t>
                      </m:r>
                    </m:sub>
                  </m:sSub>
                </m:oMath>
              </a14:m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and compute next step (i+1)</a:t>
              </a:r>
              <a:r>
                <a:rPr lang="en-US" sz="1100" kern="100" baseline="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fro</a:t>
              </a:r>
              <a:r>
                <a:rPr lang="en-US" sz="1100" kern="100" baseline="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m step (i)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with  </a:t>
              </a:r>
              <a:r>
                <a:rPr lang="en-US" sz="1100" b="1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Euler’s Method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𝑆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𝑖</m:t>
                        </m:r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+1</m:t>
                        </m:r>
                      </m:sub>
                    </m:sSub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𝑆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𝑖</m:t>
                        </m:r>
                      </m:sub>
                    </m:sSub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+∆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𝑡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∙</m:t>
                    </m:r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𝑓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1</m:t>
                        </m:r>
                      </m:sub>
                    </m:sSub>
                    <m:d>
                      <m:d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es-ES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</m:ctrlPr>
                          </m:sSubPr>
                          <m:e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s-PR" sz="1100" i="1" kern="100"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𝐼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𝑖</m:t>
                        </m:r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+1</m:t>
                        </m:r>
                      </m:sub>
                    </m:sSub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𝐼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𝑖</m:t>
                        </m:r>
                      </m:sub>
                    </m:sSub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+∆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𝑡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∙ </m:t>
                    </m:r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𝑓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2</m:t>
                        </m:r>
                      </m:sub>
                    </m:sSub>
                    <m:d>
                      <m:d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s-PR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sSub>
                          <m:sSubPr>
                            <m:ctrlPr>
                              <a:rPr lang="es-E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𝑅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𝑖</m:t>
                        </m:r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+1</m:t>
                        </m:r>
                      </m:sub>
                    </m:sSub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𝑅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𝑖</m:t>
                        </m:r>
                      </m:sub>
                    </m:sSub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+∆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𝑡</m:t>
                    </m:r>
                    <m:r>
                      <a:rPr lang="es-PR" sz="1100" i="1" kern="100"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∙ </m:t>
                    </m:r>
                    <m:sSub>
                      <m:sSub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𝑓</m:t>
                        </m:r>
                      </m:e>
                      <m:sub>
                        <m:r>
                          <a:rPr lang="es-PR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3</m:t>
                        </m:r>
                      </m:sub>
                    </m:sSub>
                    <m:d>
                      <m:dPr>
                        <m:ctrlPr>
                          <a:rPr lang="es-ES" sz="1100" i="1" kern="100"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s-PR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kern="100">
                  <a:effectLst/>
                  <a:latin typeface="Aptos" panose="020B0004020202020204" pitchFamily="34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for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i = 0,1, … , n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kern="100">
                  <a:effectLst/>
                  <a:latin typeface="Aptos" panose="020B0004020202020204" pitchFamily="34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 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3" name="Text Box 2">
              <a:extLst>
                <a:ext uri="{FF2B5EF4-FFF2-40B4-BE49-F238E27FC236}">
                  <a16:creationId xmlns:a16="http://schemas.microsoft.com/office/drawing/2014/main" id="{FF513DBF-2C3F-4E80-A84F-3641F8D4479E}"/>
                </a:ext>
              </a:extLst>
            </xdr:cNvPr>
            <xdr:cNvSpPr txBox="1"/>
          </xdr:nvSpPr>
          <xdr:spPr>
            <a:xfrm>
              <a:off x="7110604" y="1688681"/>
              <a:ext cx="3067050" cy="1674726"/>
            </a:xfrm>
            <a:prstGeom prst="rect">
              <a:avLst/>
            </a:prstGeom>
            <a:solidFill>
              <a:schemeClr val="lt1"/>
            </a:solidFill>
            <a:ln w="6350">
              <a:solidFill>
                <a:prstClr val="black"/>
              </a:solidFill>
            </a:ln>
          </xdr:spPr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Initialize  </a:t>
              </a:r>
              <a:r>
                <a:rPr lang="en-U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𝑆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0,𝐼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0, 𝑅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0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and compute next step (i+1)</a:t>
              </a:r>
              <a:r>
                <a:rPr lang="en-US" sz="1100" kern="100" baseline="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fro</a:t>
              </a:r>
              <a:r>
                <a:rPr lang="en-US" sz="1100" kern="100" baseline="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m step (i)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with  </a:t>
              </a:r>
              <a:r>
                <a:rPr lang="en-US" sz="1100" b="1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Euler’s Method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𝑆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_(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𝑖+1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)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=𝑆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𝑖+∆𝑡∙𝑓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1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r>
                <a:rPr lang="es-ES" sz="1100" i="0" kern="10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𝑆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𝑖,𝐼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 )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𝐼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_(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𝑖+1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)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=𝐼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𝑖+∆𝑡∙ 𝑓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2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r>
                <a:rPr lang="es-ES" sz="1100" i="0" kern="10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𝑖,𝐼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𝑅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_(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𝑖+1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)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=𝑅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𝑖+∆𝑡∙ 𝑓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_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3</a:t>
              </a:r>
              <a:r>
                <a:rPr lang="es-ES" sz="1100" i="0" kern="100"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 </a:t>
              </a:r>
              <a:r>
                <a:rPr lang="es-ES" sz="1100" i="0" kern="10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𝐼</a:t>
              </a:r>
              <a:r>
                <a:rPr lang="es-ES" sz="1100" i="0"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PR" sz="1100" i="0"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s-PR" sz="1100" i="0" kern="1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kern="100">
                  <a:effectLst/>
                  <a:latin typeface="Aptos" panose="020B0004020202020204" pitchFamily="34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for </a:t>
              </a:r>
              <a:r>
                <a:rPr lang="en-US" sz="1100" kern="100">
                  <a:effectLst/>
                  <a:latin typeface="Aptos" panose="020B0004020202020204" pitchFamily="34" charset="0"/>
                  <a:ea typeface="Aptos" panose="020B0004020202020204" pitchFamily="34" charset="0"/>
                  <a:cs typeface="Times New Roman" panose="02020603050405020304" pitchFamily="18" charset="0"/>
                </a:rPr>
                <a:t>i = 0,1, … , n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  <a:p>
              <a:pPr marL="0" marR="0"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s-PR" sz="1100" kern="100">
                  <a:effectLst/>
                  <a:latin typeface="Aptos" panose="020B0004020202020204" pitchFamily="34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 </a:t>
              </a:r>
              <a:endParaRPr lang="es-ES" sz="11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  <xdr:twoCellAnchor editAs="oneCell">
    <xdr:from>
      <xdr:col>13</xdr:col>
      <xdr:colOff>203910</xdr:colOff>
      <xdr:row>0</xdr:row>
      <xdr:rowOff>167400</xdr:rowOff>
    </xdr:from>
    <xdr:to>
      <xdr:col>14</xdr:col>
      <xdr:colOff>584302</xdr:colOff>
      <xdr:row>8</xdr:row>
      <xdr:rowOff>3331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1E88CF4-2422-9903-ED72-61BD09DC3E10}"/>
                </a:ext>
              </a:extLst>
            </xdr14:cNvPr>
            <xdr14:cNvContentPartPr/>
          </xdr14:nvContentPartPr>
          <xdr14:nvPr macro=""/>
          <xdr14:xfrm>
            <a:off x="7858800" y="167400"/>
            <a:ext cx="987480" cy="1287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1E88CF4-2422-9903-ED72-61BD09DC3E1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804800" y="59400"/>
              <a:ext cx="1095120" cy="150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220342</xdr:colOff>
      <xdr:row>11</xdr:row>
      <xdr:rowOff>10206</xdr:rowOff>
    </xdr:from>
    <xdr:to>
      <xdr:col>15</xdr:col>
      <xdr:colOff>525494</xdr:colOff>
      <xdr:row>17</xdr:row>
      <xdr:rowOff>98114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1B273C78-4508-E902-1514-7E88F2AD4518}"/>
                </a:ext>
              </a:extLst>
            </xdr14:cNvPr>
            <xdr14:cNvContentPartPr/>
          </xdr14:nvContentPartPr>
          <xdr14:nvPr macro=""/>
          <xdr14:xfrm>
            <a:off x="8482320" y="2005920"/>
            <a:ext cx="912240" cy="117648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1B273C78-4508-E902-1514-7E88F2AD451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428320" y="1897920"/>
              <a:ext cx="1019880" cy="1392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217137</xdr:colOff>
      <xdr:row>1</xdr:row>
      <xdr:rowOff>34329</xdr:rowOff>
    </xdr:from>
    <xdr:to>
      <xdr:col>15</xdr:col>
      <xdr:colOff>232354</xdr:colOff>
      <xdr:row>9</xdr:row>
      <xdr:rowOff>139559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335A99-BDBA-4967-9E58-3FE8637B7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302" y="215758"/>
          <a:ext cx="1836481" cy="1556658"/>
        </a:xfrm>
        <a:prstGeom prst="rect">
          <a:avLst/>
        </a:prstGeom>
      </xdr:spPr>
    </xdr:pic>
    <xdr:clientData/>
  </xdr:twoCellAnchor>
  <xdr:twoCellAnchor>
    <xdr:from>
      <xdr:col>10</xdr:col>
      <xdr:colOff>281911</xdr:colOff>
      <xdr:row>10</xdr:row>
      <xdr:rowOff>90296</xdr:rowOff>
    </xdr:from>
    <xdr:to>
      <xdr:col>17</xdr:col>
      <xdr:colOff>604296</xdr:colOff>
      <xdr:row>25</xdr:row>
      <xdr:rowOff>112068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C081C6B-2909-4C0E-D140-F6BFC26DB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7T05:27:40.085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2773 808 704,'-29'-32'863,"17"20"-490,1 0 0,-12-19 0,-17-25 366,21 29-449,-24-43 1,30 46-232,-1 1 0,-1 0 0,-1 1 0,-1 1 0,-1 0 0,-1 2 0,0 0 0,-2 1 0,0 1 0,0 1 0,-45-24 0,-14-6 224,-107-66 405,163 98-632,0 0 0,-1 2 0,0 1 0,-1 1 0,-50-13 0,-142-15-11,120 23-14,70 11-31,-1 1-1,1 1 1,0 1-1,-35 4 1,43 0-13,1 0-1,0 1 1,0 1-1,0 1 1,1 1 0,0 0-1,-19 11 1,10-3 13,0 1-1,0 1 1,2 2 0,-40 36 0,-54 57 15,-67 72-16,153-146-7,2 1 0,-39 66 0,15-23-5,36-55 12,1 1 0,-15 31 0,12-13-1,0-1 31,-41 68 0,-2-12 123,-52 114 0,99-181-99,-1 3-23,-26 73-1,28-58-15,-38 136 3,44-146-13,-12 67 16,18-69-19,2 1-1,1-1 1,2 1-1,8 47 1,-4-47-2,-3-21-2,0-1 0,2 0 0,0 0 0,12 33 0,11 17-3,-17-40 4,23 46 0,76 110-7,-54-97 26,62 136-1,-14-18 2,-24-70 28,-56-88-24,20 58-1,-25-58 2,32 60-1,-44-96-5,0 0-1,1-1 1,1-1-1,-1 1 1,2-1-1,0 0 1,0-1-1,0 0 1,1 0-1,1-1 1,-1-1-1,1 0 1,1 0-1,-1-1 1,1 0-1,18 5 0,-9-5 10,1-1-1,-1-1 0,1-1 1,0 0-1,32-2 0,107-16 601,-14 1-283,-120 13-324,19 0 156,-1-1 0,1-3 0,63-15 0,156-43 298,-240 59-432,-1-2 0,1-1 0,-1-1 0,-1-1-1,0-1 1,0-1 0,-1-1 0,30-22 0,-20 11 147,9-5-51,-1-2 0,-2-2 0,41-43 0,-75 71-133,111-130 84,-94 105-68,-1 0-1,32-62 1,76-176-3,-99 203 4,-3-1 0,-3-1 0,-3-1-1,21-128 1,15-51 21,-39 173-23,12-120 1,-16 88-19,-4 18 35,-4-156 0,-6 217-26,-2-1 0,0 1-1,-9-29 1,-28-76 52,-2-9-59,24 57-365,-11-126 0,23 163-1978,3 21 17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7T05:27:47.38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2400 455 232,'-8'-8'296,"0"-1"0,1 0-1,0 0 1,0-1 0,1 0 0,0 0-1,-6-16 1,8 17-129,0-1-1,-1 1 1,0 0-1,-1 0 1,0 0-1,0 1 1,-1-1 0,0 2-1,-16-14 1,-17-5 459,-1 2 1,-66-28 0,14 8-461,-78-30-164,129 62 3,0 2 0,0 2 1,-1 1-1,0 3 0,-1 2 0,1 1 0,-51 6 0,24 5 7,1 2 0,0 4-1,-85 31 1,127-37-11,-43 23 1,44-20 0,0 0 0,-33 10 0,41-18-2,0 1 0,0 0 0,1 2 0,-1 0 0,2 1 0,-1 0 0,1 2 0,-19 15 0,3 0 1,25-21-1,-1 1 1,1 0 0,0 0 0,0 1 0,1 0-1,0 0 1,-9 13 0,-1 7 3,2 0 0,2 1-1,0 1 1,-9 35 0,19-56-1,-2 0 0,1 0-1,-1 0 1,-1 0 0,-6 9 0,5-8 0,1 0 1,0 0-1,-5 12 0,2-3 1,-1-1 0,0-1 0,-1 1 0,-1-1 0,-20 23 0,-16 24 3,5 7 5,3 3-1,-33 86 1,-33 82 66,91-204-76,1 1-1,2 1 0,-11 76 1,15-53 4,4 112 0,5-98 3,12 147 31,-4-144 22,22 128 235,-21-145-134,-4-17 117,14 46 1,87 229 300,-103-307-546,3 9 73,1-1 0,2 0-1,0 0 1,14 19 0,-16-27-51,0-1 0,1 0 0,1-1 0,-1 0 0,2 0 0,0-2 0,14 11 0,-4-5 23,0 1 0,20 20 0,-33-29-68,0 0-1,0-1 1,1-1 0,0 1-1,0-1 1,1-1 0,-1 0-1,1 0 1,19 3-1,10 0 86,55 2-1,-74-7-52,-2-3 13,1 0 0,-1-1 0,1-1-1,-1-1 1,0-1 0,0-1 0,25-10-1,0 1 96,110-43 100,-88 31-197,113-30-1,-141 47 6,0-2 1,-2-1-1,62-32 0,99-69 168,-157 89-206,-17 11 66,-1-2 1,0-1-1,-1-1 0,24-26 1,35-35 90,18-20-90,-82 81-71,-1-1 0,-1-1 1,22-38-1,-17 20 1,101-214 33,-101 210-50,37-60 0,3-3 2,-42 63 5,21-73 1,-21 57-4,7-21 6,-4-1 0,-3-1 0,10-156 0,-26 207-3,-2 0 0,-1-1 0,-1 1 1,-11-47-1,0 30 4,-1 0 1,-22-47 0,3 16-38,-3 2 0,-82-127 0,102 182-1,13 16-141,0 0 1,0 0-1,0 0 1,1-1 0,-5-9-1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7T05:19:14.48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1362 121 216,'-48'1'1147,"-79"11"0,101-5-937,1 1 1,0 1-1,1 1 1,0 1-1,-34 22 1,17-11 32,-23 12 242,1 2 1,2 3 0,-91 76 0,58-14-54,35-34-300,41-46-95,1 0 1,1 1 0,1 1 0,1 0 0,1 1-1,-16 41 1,-43 160 16,72-225-54,-137 451 263,28-17 509,98-380-672,3-10 5,2-1-1,0 57 1,10 87 1,-2-125-118,4 12 5,19 92-1,-4-40 23,-11-50 2,3-1 0,33 104-1,-38-154-13,1-2 1,1 1-1,1-1 0,1-1 1,2 0-1,0 0 0,1-2 1,0 0-1,2 0 0,1-2 0,22 19 1,-15-18 8,1-1 0,1-2 0,1-1 1,0-1-1,1-1 0,0-2 0,1-1 1,0-1-1,0-2 0,61 8 0,8-9-22,0-3-1,110-12 0,-119 8-15,170 21 0,-174-11 33,-67-7 6,0-1 1,0 0-1,0-2 0,0 0 0,0-1 0,0-1 1,0-1-1,0 0 0,-1-1 0,0-2 0,0 1 1,0-2-1,-1-1 0,0 0 0,-1-1 0,0 0 1,0-2-1,-1 0 0,14-14 0,63-55 116,-64 60-98,-2-2 0,0-1 0,43-52 1,-58 60-24,24-31-11,49-90 0,125-211 114,-183 306-100,-1-1 1,-3-1-1,25-65 0,-25 41 3,26-123-1,-24 72 0,19-113 12,-37 189-13,-3 1 1,-2-1-1,-6-66 1,-4 13 1,-27-162 28,-3 29-37,16 84-2,17 117 2,-1 1-1,-2 1 1,0-1-1,-2 1 1,-1 1-1,-1 0 1,-19-29-1,-3 5 8,-2 2 0,-55-56 0,42 56-12,-2 3 0,-72-47 0,78 58 0,3 6-25,-1 2-1,-93-39 1,53 27-4,-4 4-132,44 18-432,26 7-148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7T05:19:17.80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2140 114 920,'-82'-41'2474,"63"30"-2295,-1 0 0,0 2 0,0 0 0,-1 1 1,-42-9-1,25 12-131,0 2-1,-68 3 1,-77 18 55,96-9 102,3-1 294,-223 33 626,255-33-1107,30-5-21,1 1 0,-36 11 0,-18 9-4,48-16 23,0 0 1,0 2 0,-46 24-1,4 12 157,-28 15 138,85-54-290,1 2-1,-1 0 1,2 0-1,0 1 1,0 0-1,0 1 1,2 0-1,-12 17 1,7-10-16,-1 0 0,-18 18 0,18-23-3,1 1 0,0 0-1,1 1 1,1 0 0,0 1 0,1 0-1,1 0 1,0 1 0,-8 25 0,-168 580 541,180-601-533,-6 29 101,2 1 0,2-1 0,0 91-1,24 153-68,-10-240-31,2-1 0,2 0 0,26 74 0,77 144 39,-81-197-16,94 178 317,-40-121-154,-69-108-160,1-1 1,1 0-1,30 25 1,33 27 91,-55-47-48,1 0 0,2-2 0,0-2 0,58 34-1,-79-53-65,0 0-1,0-1 0,0 0 0,0-1 0,0 0 0,15 1 0,67-1 85,-31-3-31,7 4-18,81-9-1,-122 3-40,0-1 0,0-1 0,-1-2 0,0 0-1,0-2 1,24-12 0,0-4 41,-2-2-1,-1-3 1,-2-2 0,64-56-1,-92 72-46,25-20-3,-1-2 0,-3-2-1,42-54 1,-14-6 42,-4-2 1,-4-3 0,-5-3 0,75-221 0,-58 91-11,-54 160-30,-3-1 0,4-127 1,7-48-24,-22 234 28,0-1 1,-1 1 0,-1 0 0,-4-22 0,-16-80 41,8 56-36,-1 8-12,-24-71 1,19 75 0,-15-84 0,26 83-23,4 27 17,-2 0-1,-8-32 1,11 52 9,-1 0 0,0 0-1,0 0 1,-1 1 0,0-1 0,-1 1 0,0 0-1,0 0 1,0 0 0,-1 1 0,-9-9 0,-6-1 6,-43-24 0,39 26-8,-30-23 0,38 24 22,0 1 0,-30-16 0,38 23-232,0 1 0,0 1 0,0-1 0,-1 2-1,1-1 1,-1 1 0,-19-1 0,7 3-1501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A9" zoomScale="91" workbookViewId="0">
      <selection activeCell="J1" sqref="J1"/>
    </sheetView>
  </sheetViews>
  <sheetFormatPr defaultRowHeight="14.5"/>
  <cols>
    <col min="9" max="9" width="5.36328125" customWidth="1"/>
  </cols>
  <sheetData>
    <row r="1" spans="1:12">
      <c r="A1" t="s">
        <v>25</v>
      </c>
      <c r="D1" s="8"/>
      <c r="E1" s="8"/>
      <c r="F1" s="8"/>
      <c r="G1" s="8"/>
      <c r="H1" s="8"/>
      <c r="I1" s="8"/>
      <c r="J1" s="8"/>
      <c r="K1" s="9"/>
      <c r="L1" s="8"/>
    </row>
    <row r="2" spans="1:12">
      <c r="A2" s="10" t="s">
        <v>19</v>
      </c>
      <c r="I2" s="10" t="s">
        <v>22</v>
      </c>
    </row>
    <row r="3" spans="1:12">
      <c r="A3" s="11" t="s">
        <v>20</v>
      </c>
      <c r="I3" s="12" t="s">
        <v>23</v>
      </c>
      <c r="J3" t="s">
        <v>26</v>
      </c>
    </row>
    <row r="4" spans="1:12">
      <c r="A4" s="10" t="s">
        <v>21</v>
      </c>
      <c r="I4" s="12" t="s">
        <v>24</v>
      </c>
      <c r="J4" t="s">
        <v>27</v>
      </c>
    </row>
    <row r="8" spans="1:12">
      <c r="H8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A412-3389-4666-A1F2-FFDFF1AA0F7A}">
  <dimension ref="A1:N102"/>
  <sheetViews>
    <sheetView zoomScale="91" workbookViewId="0">
      <selection activeCell="C4" sqref="C4"/>
    </sheetView>
  </sheetViews>
  <sheetFormatPr defaultRowHeight="14.5"/>
  <cols>
    <col min="1" max="1" width="7.453125" customWidth="1"/>
    <col min="11" max="11" width="6.45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14</v>
      </c>
      <c r="N1" t="s">
        <v>11</v>
      </c>
    </row>
    <row r="2" spans="1:14">
      <c r="A2">
        <v>0</v>
      </c>
      <c r="B2">
        <v>999</v>
      </c>
      <c r="C2">
        <v>1</v>
      </c>
      <c r="D2">
        <v>0</v>
      </c>
      <c r="H2" s="4">
        <v>0.3</v>
      </c>
      <c r="I2" s="4">
        <v>0.1</v>
      </c>
      <c r="J2" s="4">
        <v>1000</v>
      </c>
      <c r="K2" s="4">
        <f>A3-A2</f>
        <v>1</v>
      </c>
      <c r="L2" s="4" t="s">
        <v>15</v>
      </c>
    </row>
    <row r="3" spans="1:14">
      <c r="A3">
        <v>1</v>
      </c>
      <c r="B3" s="13">
        <f>B2+E3</f>
        <v>998.70029999999997</v>
      </c>
      <c r="C3" s="13">
        <f>C2+F3</f>
        <v>1.1997</v>
      </c>
      <c r="D3" s="13">
        <f>D2+G3</f>
        <v>0.1</v>
      </c>
      <c r="E3" s="13">
        <f>-$H$2*B2*C2/$J$2</f>
        <v>-0.29969999999999997</v>
      </c>
      <c r="F3" s="13">
        <f>$H$2*B2*C2/$J$2-$I$2*C2</f>
        <v>0.19969999999999996</v>
      </c>
      <c r="G3" s="13">
        <f>$I$2*C2</f>
        <v>0.1</v>
      </c>
    </row>
    <row r="4" spans="1:14">
      <c r="A4">
        <v>2</v>
      </c>
      <c r="B4" s="14"/>
      <c r="C4" s="14"/>
      <c r="D4" s="14"/>
      <c r="E4" s="14"/>
      <c r="F4" s="14"/>
      <c r="G4" s="14"/>
    </row>
    <row r="5" spans="1:14">
      <c r="A5">
        <v>3</v>
      </c>
      <c r="B5" s="14"/>
      <c r="C5" s="14"/>
      <c r="D5" s="14"/>
      <c r="E5" s="14"/>
      <c r="F5" s="14"/>
      <c r="G5" s="14"/>
    </row>
    <row r="6" spans="1:14">
      <c r="A6">
        <v>4</v>
      </c>
      <c r="B6" s="14"/>
      <c r="C6" s="14"/>
      <c r="D6" s="14"/>
      <c r="E6" s="14"/>
      <c r="F6" s="14"/>
      <c r="G6" s="14"/>
      <c r="J6" t="s">
        <v>31</v>
      </c>
      <c r="L6" t="s">
        <v>29</v>
      </c>
    </row>
    <row r="7" spans="1:14">
      <c r="A7">
        <v>5</v>
      </c>
      <c r="B7" s="14"/>
      <c r="C7" s="14"/>
      <c r="D7" s="14"/>
      <c r="E7" s="14"/>
      <c r="F7" s="14"/>
      <c r="G7" s="14"/>
      <c r="L7" s="10" t="s">
        <v>28</v>
      </c>
    </row>
    <row r="8" spans="1:14">
      <c r="A8">
        <v>6</v>
      </c>
      <c r="B8" s="14"/>
      <c r="C8" s="14"/>
      <c r="D8" s="14"/>
      <c r="E8" s="14"/>
      <c r="F8" s="14"/>
      <c r="G8" s="14"/>
      <c r="H8" s="2"/>
      <c r="L8" t="s">
        <v>30</v>
      </c>
    </row>
    <row r="9" spans="1:14">
      <c r="A9">
        <v>7</v>
      </c>
      <c r="B9" s="14"/>
      <c r="C9" s="14"/>
      <c r="D9" s="14"/>
      <c r="E9" s="14"/>
      <c r="F9" s="14"/>
      <c r="G9" s="14"/>
    </row>
    <row r="10" spans="1:14">
      <c r="A10">
        <v>8</v>
      </c>
      <c r="B10" s="14"/>
      <c r="C10" s="14"/>
      <c r="D10" s="14"/>
      <c r="E10" s="14"/>
      <c r="F10" s="14"/>
      <c r="G10" s="14"/>
    </row>
    <row r="11" spans="1:14">
      <c r="A11">
        <v>9</v>
      </c>
      <c r="B11" s="14"/>
      <c r="C11" s="14"/>
      <c r="D11" s="14"/>
      <c r="E11" s="14"/>
      <c r="F11" s="14"/>
      <c r="G11" s="14"/>
    </row>
    <row r="12" spans="1:14">
      <c r="A12">
        <v>10</v>
      </c>
      <c r="B12" s="14"/>
      <c r="C12" s="14"/>
      <c r="D12" s="14"/>
      <c r="E12" s="14"/>
      <c r="F12" s="14"/>
      <c r="G12" s="14"/>
    </row>
    <row r="13" spans="1:14">
      <c r="A13">
        <v>11</v>
      </c>
      <c r="B13" s="14"/>
      <c r="C13" s="14"/>
      <c r="D13" s="14"/>
      <c r="E13" s="14"/>
      <c r="F13" s="14"/>
      <c r="G13" s="14"/>
    </row>
    <row r="14" spans="1:14">
      <c r="A14">
        <v>12</v>
      </c>
      <c r="B14" s="14"/>
      <c r="C14" s="14"/>
      <c r="D14" s="14"/>
      <c r="E14" s="14"/>
      <c r="F14" s="14"/>
      <c r="G14" s="14"/>
    </row>
    <row r="15" spans="1:14">
      <c r="A15">
        <v>13</v>
      </c>
      <c r="B15" s="14"/>
      <c r="C15" s="14"/>
      <c r="D15" s="14"/>
      <c r="E15" s="14"/>
      <c r="F15" s="14"/>
      <c r="G15" s="14"/>
    </row>
    <row r="16" spans="1:14">
      <c r="A16">
        <v>14</v>
      </c>
      <c r="B16" s="14"/>
      <c r="C16" s="14"/>
      <c r="D16" s="14"/>
      <c r="E16" s="14"/>
      <c r="F16" s="14"/>
      <c r="G16" s="14"/>
    </row>
    <row r="17" spans="1:7">
      <c r="A17">
        <v>15</v>
      </c>
      <c r="B17" s="14"/>
      <c r="C17" s="14"/>
      <c r="D17" s="14"/>
      <c r="E17" s="14"/>
      <c r="F17" s="14"/>
      <c r="G17" s="14"/>
    </row>
    <row r="18" spans="1:7">
      <c r="A18">
        <v>16</v>
      </c>
      <c r="B18" s="14"/>
      <c r="C18" s="14"/>
      <c r="D18" s="14"/>
      <c r="E18" s="14"/>
      <c r="F18" s="14"/>
      <c r="G18" s="14"/>
    </row>
    <row r="19" spans="1:7">
      <c r="A19">
        <v>17</v>
      </c>
      <c r="B19" s="14"/>
      <c r="C19" s="14"/>
      <c r="D19" s="14"/>
      <c r="E19" s="14"/>
      <c r="F19" s="14"/>
      <c r="G19" s="14"/>
    </row>
    <row r="20" spans="1:7">
      <c r="A20">
        <v>18</v>
      </c>
      <c r="B20" s="14"/>
      <c r="C20" s="14"/>
      <c r="D20" s="14"/>
      <c r="E20" s="14"/>
      <c r="F20" s="14"/>
      <c r="G20" s="14"/>
    </row>
    <row r="21" spans="1:7">
      <c r="A21">
        <v>19</v>
      </c>
      <c r="B21" s="14"/>
      <c r="C21" s="14"/>
      <c r="D21" s="14"/>
      <c r="E21" s="14"/>
      <c r="F21" s="14"/>
      <c r="G21" s="14"/>
    </row>
    <row r="22" spans="1:7">
      <c r="A22">
        <v>20</v>
      </c>
      <c r="B22" s="14"/>
      <c r="C22" s="14"/>
      <c r="D22" s="14"/>
      <c r="E22" s="14"/>
      <c r="F22" s="14"/>
      <c r="G22" s="14"/>
    </row>
    <row r="23" spans="1:7">
      <c r="A23">
        <v>21</v>
      </c>
      <c r="B23" s="14"/>
      <c r="C23" s="14"/>
      <c r="D23" s="14"/>
      <c r="E23" s="14"/>
      <c r="F23" s="14"/>
      <c r="G23" s="14"/>
    </row>
    <row r="24" spans="1:7">
      <c r="A24">
        <v>22</v>
      </c>
      <c r="B24" s="14"/>
      <c r="C24" s="14"/>
      <c r="D24" s="14"/>
      <c r="E24" s="14"/>
      <c r="F24" s="14"/>
      <c r="G24" s="14"/>
    </row>
    <row r="25" spans="1:7">
      <c r="A25">
        <v>23</v>
      </c>
      <c r="B25" s="14"/>
      <c r="C25" s="14"/>
      <c r="D25" s="14"/>
      <c r="E25" s="14"/>
      <c r="F25" s="14"/>
      <c r="G25" s="14"/>
    </row>
    <row r="26" spans="1:7">
      <c r="A26">
        <v>24</v>
      </c>
      <c r="B26" s="14"/>
      <c r="C26" s="14"/>
      <c r="D26" s="14"/>
      <c r="E26" s="14"/>
      <c r="F26" s="14"/>
      <c r="G26" s="14"/>
    </row>
    <row r="27" spans="1:7">
      <c r="A27">
        <v>25</v>
      </c>
      <c r="B27" s="14"/>
      <c r="C27" s="14"/>
      <c r="D27" s="14"/>
      <c r="E27" s="14"/>
      <c r="F27" s="14"/>
      <c r="G27" s="14"/>
    </row>
    <row r="28" spans="1:7">
      <c r="A28">
        <v>26</v>
      </c>
      <c r="B28" s="14"/>
      <c r="C28" s="14"/>
      <c r="D28" s="14"/>
      <c r="E28" s="14"/>
      <c r="F28" s="14"/>
      <c r="G28" s="14"/>
    </row>
    <row r="29" spans="1:7">
      <c r="A29">
        <v>27</v>
      </c>
      <c r="B29" s="14"/>
      <c r="C29" s="14"/>
      <c r="D29" s="14"/>
      <c r="E29" s="14"/>
      <c r="F29" s="14"/>
      <c r="G29" s="14"/>
    </row>
    <row r="30" spans="1:7">
      <c r="A30">
        <v>28</v>
      </c>
      <c r="B30" s="14"/>
      <c r="C30" s="14"/>
      <c r="D30" s="14"/>
      <c r="E30" s="14"/>
      <c r="F30" s="14"/>
      <c r="G30" s="14"/>
    </row>
    <row r="31" spans="1:7">
      <c r="A31">
        <v>29</v>
      </c>
      <c r="B31" s="14"/>
      <c r="C31" s="14"/>
      <c r="D31" s="14"/>
      <c r="E31" s="14"/>
      <c r="F31" s="14"/>
      <c r="G31" s="14"/>
    </row>
    <row r="32" spans="1:7">
      <c r="A32">
        <v>30</v>
      </c>
      <c r="B32" s="14"/>
      <c r="C32" s="14"/>
      <c r="D32" s="14"/>
      <c r="E32" s="14"/>
      <c r="F32" s="14"/>
      <c r="G32" s="14"/>
    </row>
    <row r="33" spans="1:7">
      <c r="A33">
        <v>31</v>
      </c>
      <c r="B33" s="14"/>
      <c r="C33" s="14"/>
      <c r="D33" s="14"/>
      <c r="E33" s="14"/>
      <c r="F33" s="14"/>
      <c r="G33" s="14"/>
    </row>
    <row r="34" spans="1:7">
      <c r="A34">
        <v>32</v>
      </c>
      <c r="B34" s="14"/>
      <c r="C34" s="14"/>
      <c r="D34" s="14"/>
      <c r="E34" s="14"/>
      <c r="F34" s="14"/>
      <c r="G34" s="14"/>
    </row>
    <row r="35" spans="1:7">
      <c r="A35">
        <v>33</v>
      </c>
      <c r="B35" s="14"/>
      <c r="C35" s="14"/>
      <c r="D35" s="14"/>
      <c r="E35" s="14"/>
      <c r="F35" s="14"/>
      <c r="G35" s="14"/>
    </row>
    <row r="36" spans="1:7">
      <c r="A36">
        <v>34</v>
      </c>
      <c r="B36" s="14"/>
      <c r="C36" s="14"/>
      <c r="D36" s="14"/>
      <c r="E36" s="14"/>
      <c r="F36" s="14"/>
      <c r="G36" s="14"/>
    </row>
    <row r="37" spans="1:7">
      <c r="A37">
        <v>35</v>
      </c>
      <c r="B37" s="14"/>
      <c r="C37" s="14"/>
      <c r="D37" s="14"/>
      <c r="E37" s="14"/>
      <c r="F37" s="14"/>
      <c r="G37" s="14"/>
    </row>
    <row r="38" spans="1:7">
      <c r="A38">
        <v>36</v>
      </c>
      <c r="B38" s="14"/>
      <c r="C38" s="14"/>
      <c r="D38" s="14"/>
      <c r="E38" s="14"/>
      <c r="F38" s="14"/>
      <c r="G38" s="14"/>
    </row>
    <row r="39" spans="1:7">
      <c r="A39">
        <v>37</v>
      </c>
      <c r="B39" s="14"/>
      <c r="C39" s="14"/>
      <c r="D39" s="14"/>
      <c r="E39" s="14"/>
      <c r="F39" s="14"/>
      <c r="G39" s="14"/>
    </row>
    <row r="40" spans="1:7">
      <c r="A40">
        <v>38</v>
      </c>
      <c r="B40" s="14"/>
      <c r="C40" s="14"/>
      <c r="D40" s="14"/>
      <c r="E40" s="14"/>
      <c r="F40" s="14"/>
      <c r="G40" s="14"/>
    </row>
    <row r="41" spans="1:7">
      <c r="A41">
        <v>39</v>
      </c>
      <c r="B41" s="14"/>
      <c r="C41" s="14"/>
      <c r="D41" s="14"/>
      <c r="E41" s="14"/>
      <c r="F41" s="14"/>
      <c r="G41" s="14"/>
    </row>
    <row r="42" spans="1:7">
      <c r="A42">
        <v>40</v>
      </c>
      <c r="B42" s="14"/>
      <c r="C42" s="14"/>
      <c r="D42" s="14"/>
      <c r="E42" s="14"/>
      <c r="F42" s="14"/>
      <c r="G42" s="14"/>
    </row>
    <row r="43" spans="1:7">
      <c r="A43">
        <v>41</v>
      </c>
      <c r="B43" s="14"/>
      <c r="C43" s="14"/>
      <c r="D43" s="14"/>
      <c r="E43" s="14"/>
      <c r="F43" s="14"/>
      <c r="G43" s="14"/>
    </row>
    <row r="44" spans="1:7">
      <c r="A44">
        <v>42</v>
      </c>
      <c r="B44" s="14"/>
      <c r="C44" s="14"/>
      <c r="D44" s="14"/>
      <c r="E44" s="14"/>
      <c r="F44" s="14"/>
      <c r="G44" s="14"/>
    </row>
    <row r="45" spans="1:7">
      <c r="A45">
        <v>43</v>
      </c>
      <c r="B45" s="14"/>
      <c r="C45" s="14"/>
      <c r="D45" s="14"/>
      <c r="E45" s="14"/>
      <c r="F45" s="14"/>
      <c r="G45" s="14"/>
    </row>
    <row r="46" spans="1:7">
      <c r="A46">
        <v>44</v>
      </c>
      <c r="B46" s="14"/>
      <c r="C46" s="14"/>
      <c r="D46" s="14"/>
      <c r="E46" s="14"/>
      <c r="F46" s="14"/>
      <c r="G46" s="14"/>
    </row>
    <row r="47" spans="1:7">
      <c r="A47">
        <v>45</v>
      </c>
      <c r="B47" s="14"/>
      <c r="C47" s="14"/>
      <c r="D47" s="14"/>
      <c r="E47" s="14"/>
      <c r="F47" s="14"/>
      <c r="G47" s="14"/>
    </row>
    <row r="48" spans="1:7">
      <c r="A48">
        <v>46</v>
      </c>
      <c r="B48" s="14"/>
      <c r="C48" s="14"/>
      <c r="D48" s="14"/>
      <c r="E48" s="14"/>
      <c r="F48" s="14"/>
      <c r="G48" s="14"/>
    </row>
    <row r="49" spans="1:7">
      <c r="A49">
        <v>47</v>
      </c>
      <c r="B49" s="14"/>
      <c r="C49" s="14"/>
      <c r="D49" s="14"/>
      <c r="E49" s="14"/>
      <c r="F49" s="14"/>
      <c r="G49" s="14"/>
    </row>
    <row r="50" spans="1:7">
      <c r="A50">
        <v>48</v>
      </c>
      <c r="B50" s="14"/>
      <c r="C50" s="14"/>
      <c r="D50" s="14"/>
      <c r="E50" s="14"/>
      <c r="F50" s="14"/>
      <c r="G50" s="14"/>
    </row>
    <row r="51" spans="1:7">
      <c r="A51">
        <v>49</v>
      </c>
      <c r="B51" s="14"/>
      <c r="C51" s="14"/>
      <c r="D51" s="14"/>
      <c r="E51" s="14"/>
      <c r="F51" s="14"/>
      <c r="G51" s="14"/>
    </row>
    <row r="52" spans="1:7">
      <c r="A52">
        <v>50</v>
      </c>
      <c r="B52" s="14"/>
      <c r="C52" s="14"/>
      <c r="D52" s="14"/>
      <c r="E52" s="14"/>
      <c r="F52" s="14"/>
      <c r="G52" s="14"/>
    </row>
    <row r="53" spans="1:7">
      <c r="A53">
        <v>51</v>
      </c>
      <c r="B53" s="14"/>
      <c r="C53" s="14"/>
      <c r="D53" s="14"/>
      <c r="E53" s="14"/>
      <c r="F53" s="14"/>
      <c r="G53" s="14"/>
    </row>
    <row r="54" spans="1:7">
      <c r="A54">
        <v>52</v>
      </c>
      <c r="B54" s="14"/>
      <c r="C54" s="14"/>
      <c r="D54" s="14"/>
      <c r="E54" s="14"/>
      <c r="F54" s="14"/>
      <c r="G54" s="14"/>
    </row>
    <row r="55" spans="1:7">
      <c r="A55">
        <v>53</v>
      </c>
      <c r="B55" s="14"/>
      <c r="C55" s="14"/>
      <c r="D55" s="14"/>
      <c r="E55" s="14"/>
      <c r="F55" s="14"/>
      <c r="G55" s="14"/>
    </row>
    <row r="56" spans="1:7">
      <c r="A56">
        <v>54</v>
      </c>
      <c r="B56" s="14"/>
      <c r="C56" s="14"/>
      <c r="D56" s="14"/>
      <c r="E56" s="14"/>
      <c r="F56" s="14"/>
      <c r="G56" s="14"/>
    </row>
    <row r="57" spans="1:7">
      <c r="A57">
        <v>55</v>
      </c>
      <c r="B57" s="14"/>
      <c r="C57" s="14"/>
      <c r="D57" s="14"/>
      <c r="E57" s="14"/>
      <c r="F57" s="14"/>
      <c r="G57" s="14"/>
    </row>
    <row r="58" spans="1:7">
      <c r="A58">
        <v>56</v>
      </c>
      <c r="B58" s="14"/>
      <c r="C58" s="14"/>
      <c r="D58" s="14"/>
      <c r="E58" s="14"/>
      <c r="F58" s="14"/>
      <c r="G58" s="14"/>
    </row>
    <row r="59" spans="1:7">
      <c r="A59">
        <v>57</v>
      </c>
      <c r="B59" s="14"/>
      <c r="C59" s="14"/>
      <c r="D59" s="14"/>
      <c r="E59" s="14"/>
      <c r="F59" s="14"/>
      <c r="G59" s="14"/>
    </row>
    <row r="60" spans="1:7">
      <c r="A60">
        <v>58</v>
      </c>
      <c r="B60" s="14"/>
      <c r="C60" s="14"/>
      <c r="D60" s="14"/>
      <c r="E60" s="14"/>
      <c r="F60" s="14"/>
      <c r="G60" s="14"/>
    </row>
    <row r="61" spans="1:7">
      <c r="A61">
        <v>59</v>
      </c>
      <c r="B61" s="14"/>
      <c r="C61" s="14"/>
      <c r="D61" s="14"/>
      <c r="E61" s="14"/>
      <c r="F61" s="14"/>
      <c r="G61" s="14"/>
    </row>
    <row r="62" spans="1:7">
      <c r="A62">
        <v>60</v>
      </c>
      <c r="B62" s="14"/>
      <c r="C62" s="14"/>
      <c r="D62" s="14"/>
      <c r="E62" s="14"/>
      <c r="F62" s="14"/>
      <c r="G62" s="14"/>
    </row>
    <row r="63" spans="1:7">
      <c r="A63">
        <v>61</v>
      </c>
      <c r="B63" s="14"/>
      <c r="C63" s="14"/>
      <c r="D63" s="14"/>
      <c r="E63" s="14"/>
      <c r="F63" s="14"/>
      <c r="G63" s="14"/>
    </row>
    <row r="64" spans="1:7">
      <c r="A64">
        <v>62</v>
      </c>
      <c r="B64" s="14"/>
      <c r="C64" s="14"/>
      <c r="D64" s="14"/>
      <c r="E64" s="14"/>
      <c r="F64" s="14"/>
      <c r="G64" s="14"/>
    </row>
    <row r="65" spans="1:7">
      <c r="A65">
        <v>63</v>
      </c>
      <c r="B65" s="14"/>
      <c r="C65" s="14"/>
      <c r="D65" s="14"/>
      <c r="E65" s="14"/>
      <c r="F65" s="14"/>
      <c r="G65" s="14"/>
    </row>
    <row r="66" spans="1:7">
      <c r="A66">
        <v>64</v>
      </c>
      <c r="B66" s="14"/>
      <c r="C66" s="14"/>
      <c r="D66" s="14"/>
      <c r="E66" s="14"/>
      <c r="F66" s="14"/>
      <c r="G66" s="14"/>
    </row>
    <row r="67" spans="1:7">
      <c r="A67">
        <v>65</v>
      </c>
      <c r="B67" s="14"/>
      <c r="C67" s="14"/>
      <c r="D67" s="14"/>
      <c r="E67" s="14"/>
      <c r="F67" s="14"/>
      <c r="G67" s="14"/>
    </row>
    <row r="68" spans="1:7">
      <c r="A68">
        <v>66</v>
      </c>
      <c r="B68" s="14"/>
      <c r="C68" s="14"/>
      <c r="D68" s="14"/>
      <c r="E68" s="14"/>
      <c r="F68" s="14"/>
      <c r="G68" s="14"/>
    </row>
    <row r="69" spans="1:7">
      <c r="A69">
        <v>67</v>
      </c>
      <c r="B69" s="14"/>
      <c r="C69" s="14"/>
      <c r="D69" s="14"/>
      <c r="E69" s="14"/>
      <c r="F69" s="14"/>
      <c r="G69" s="14"/>
    </row>
    <row r="70" spans="1:7">
      <c r="A70">
        <v>68</v>
      </c>
      <c r="B70" s="14"/>
      <c r="C70" s="14"/>
      <c r="D70" s="14"/>
      <c r="E70" s="14"/>
      <c r="F70" s="14"/>
      <c r="G70" s="14"/>
    </row>
    <row r="71" spans="1:7">
      <c r="A71">
        <v>69</v>
      </c>
      <c r="B71" s="14"/>
      <c r="C71" s="14"/>
      <c r="D71" s="14"/>
      <c r="E71" s="14"/>
      <c r="F71" s="14"/>
      <c r="G71" s="14"/>
    </row>
    <row r="72" spans="1:7">
      <c r="A72">
        <v>70</v>
      </c>
      <c r="B72" s="14"/>
      <c r="C72" s="14"/>
      <c r="D72" s="14"/>
      <c r="E72" s="14"/>
      <c r="F72" s="14"/>
      <c r="G72" s="14"/>
    </row>
    <row r="73" spans="1:7">
      <c r="A73">
        <v>71</v>
      </c>
      <c r="B73" s="14"/>
      <c r="C73" s="14"/>
      <c r="D73" s="14"/>
      <c r="E73" s="14"/>
      <c r="F73" s="14"/>
      <c r="G73" s="14"/>
    </row>
    <row r="74" spans="1:7">
      <c r="A74">
        <v>72</v>
      </c>
      <c r="B74" s="14"/>
      <c r="C74" s="14"/>
      <c r="D74" s="14"/>
      <c r="E74" s="14"/>
      <c r="F74" s="14"/>
      <c r="G74" s="14"/>
    </row>
    <row r="75" spans="1:7">
      <c r="A75">
        <v>73</v>
      </c>
      <c r="B75" s="14"/>
      <c r="C75" s="14"/>
      <c r="D75" s="14"/>
      <c r="E75" s="14"/>
      <c r="F75" s="14"/>
      <c r="G75" s="14"/>
    </row>
    <row r="76" spans="1:7">
      <c r="A76">
        <v>74</v>
      </c>
      <c r="B76" s="14"/>
      <c r="C76" s="14"/>
      <c r="D76" s="14"/>
      <c r="E76" s="14"/>
      <c r="F76" s="14"/>
      <c r="G76" s="14"/>
    </row>
    <row r="77" spans="1:7">
      <c r="A77">
        <v>75</v>
      </c>
      <c r="B77" s="14"/>
      <c r="C77" s="14"/>
      <c r="D77" s="14"/>
      <c r="E77" s="14"/>
      <c r="F77" s="14"/>
      <c r="G77" s="14"/>
    </row>
    <row r="78" spans="1:7">
      <c r="A78">
        <v>76</v>
      </c>
      <c r="B78" s="14"/>
      <c r="C78" s="14"/>
      <c r="D78" s="14"/>
      <c r="E78" s="14"/>
      <c r="F78" s="14"/>
      <c r="G78" s="14"/>
    </row>
    <row r="79" spans="1:7">
      <c r="A79">
        <v>77</v>
      </c>
      <c r="B79" s="14"/>
      <c r="C79" s="14"/>
      <c r="D79" s="14"/>
      <c r="E79" s="14"/>
      <c r="F79" s="14"/>
      <c r="G79" s="14"/>
    </row>
    <row r="80" spans="1:7">
      <c r="A80">
        <v>78</v>
      </c>
      <c r="B80" s="14"/>
      <c r="C80" s="14"/>
      <c r="D80" s="14"/>
      <c r="E80" s="14"/>
      <c r="F80" s="14"/>
      <c r="G80" s="14"/>
    </row>
    <row r="81" spans="1:7">
      <c r="A81">
        <v>79</v>
      </c>
      <c r="B81" s="14"/>
      <c r="C81" s="14"/>
      <c r="D81" s="14"/>
      <c r="E81" s="14"/>
      <c r="F81" s="14"/>
      <c r="G81" s="14"/>
    </row>
    <row r="82" spans="1:7">
      <c r="A82">
        <v>80</v>
      </c>
      <c r="B82" s="14"/>
      <c r="C82" s="14"/>
      <c r="D82" s="14"/>
      <c r="E82" s="14"/>
      <c r="F82" s="14"/>
      <c r="G82" s="14"/>
    </row>
    <row r="83" spans="1:7">
      <c r="A83">
        <v>81</v>
      </c>
      <c r="B83" s="14"/>
      <c r="C83" s="14"/>
      <c r="D83" s="14"/>
      <c r="E83" s="14"/>
      <c r="F83" s="14"/>
      <c r="G83" s="14"/>
    </row>
    <row r="84" spans="1:7">
      <c r="A84">
        <v>82</v>
      </c>
      <c r="B84" s="14"/>
      <c r="C84" s="14"/>
      <c r="D84" s="14"/>
      <c r="E84" s="14"/>
      <c r="F84" s="14"/>
      <c r="G84" s="14"/>
    </row>
    <row r="85" spans="1:7">
      <c r="A85">
        <v>83</v>
      </c>
      <c r="B85" s="14"/>
      <c r="C85" s="14"/>
      <c r="D85" s="14"/>
      <c r="E85" s="14"/>
      <c r="F85" s="14"/>
      <c r="G85" s="14"/>
    </row>
    <row r="86" spans="1:7">
      <c r="A86">
        <v>84</v>
      </c>
      <c r="B86" s="14"/>
      <c r="C86" s="14"/>
      <c r="D86" s="14"/>
      <c r="E86" s="14"/>
      <c r="F86" s="14"/>
      <c r="G86" s="14"/>
    </row>
    <row r="87" spans="1:7">
      <c r="A87">
        <v>85</v>
      </c>
      <c r="B87" s="14"/>
      <c r="C87" s="14"/>
      <c r="D87" s="14"/>
      <c r="E87" s="14"/>
      <c r="F87" s="14"/>
      <c r="G87" s="14"/>
    </row>
    <row r="88" spans="1:7">
      <c r="A88">
        <v>86</v>
      </c>
      <c r="B88" s="14"/>
      <c r="C88" s="14"/>
      <c r="D88" s="14"/>
      <c r="E88" s="14"/>
      <c r="F88" s="14"/>
      <c r="G88" s="14"/>
    </row>
    <row r="89" spans="1:7">
      <c r="A89">
        <v>87</v>
      </c>
      <c r="B89" s="14"/>
      <c r="C89" s="14"/>
      <c r="D89" s="14"/>
      <c r="E89" s="14"/>
      <c r="F89" s="14"/>
      <c r="G89" s="14"/>
    </row>
    <row r="90" spans="1:7">
      <c r="A90">
        <v>88</v>
      </c>
      <c r="B90" s="14"/>
      <c r="C90" s="14"/>
      <c r="D90" s="14"/>
      <c r="E90" s="14"/>
      <c r="F90" s="14"/>
      <c r="G90" s="14"/>
    </row>
    <row r="91" spans="1:7">
      <c r="A91">
        <v>89</v>
      </c>
      <c r="B91" s="14"/>
      <c r="C91" s="14"/>
      <c r="D91" s="14"/>
      <c r="E91" s="14"/>
      <c r="F91" s="14"/>
      <c r="G91" s="14"/>
    </row>
    <row r="92" spans="1:7">
      <c r="A92">
        <v>90</v>
      </c>
      <c r="B92" s="14"/>
      <c r="C92" s="14"/>
      <c r="D92" s="14"/>
      <c r="E92" s="14"/>
      <c r="F92" s="14"/>
      <c r="G92" s="14"/>
    </row>
    <row r="93" spans="1:7">
      <c r="A93">
        <v>91</v>
      </c>
      <c r="B93" s="14"/>
      <c r="C93" s="14"/>
      <c r="D93" s="14"/>
      <c r="E93" s="14"/>
      <c r="F93" s="14"/>
      <c r="G93" s="14"/>
    </row>
    <row r="94" spans="1:7">
      <c r="A94">
        <v>92</v>
      </c>
      <c r="B94" s="14"/>
      <c r="C94" s="14"/>
      <c r="D94" s="14"/>
      <c r="E94" s="14"/>
      <c r="F94" s="14"/>
      <c r="G94" s="14"/>
    </row>
    <row r="95" spans="1:7">
      <c r="A95">
        <v>93</v>
      </c>
      <c r="B95" s="14"/>
      <c r="C95" s="14"/>
      <c r="D95" s="14"/>
      <c r="E95" s="14"/>
      <c r="F95" s="14"/>
      <c r="G95" s="14"/>
    </row>
    <row r="96" spans="1:7">
      <c r="A96">
        <v>94</v>
      </c>
      <c r="B96" s="14"/>
      <c r="C96" s="14"/>
      <c r="D96" s="14"/>
      <c r="E96" s="14"/>
      <c r="F96" s="14"/>
      <c r="G96" s="14"/>
    </row>
    <row r="97" spans="1:7">
      <c r="A97">
        <v>95</v>
      </c>
      <c r="B97" s="14"/>
      <c r="C97" s="14"/>
      <c r="D97" s="14"/>
      <c r="E97" s="14"/>
      <c r="F97" s="14"/>
      <c r="G97" s="14"/>
    </row>
    <row r="98" spans="1:7">
      <c r="A98">
        <v>96</v>
      </c>
      <c r="B98" s="14"/>
      <c r="C98" s="14"/>
      <c r="D98" s="14"/>
      <c r="E98" s="14"/>
      <c r="F98" s="14"/>
      <c r="G98" s="14"/>
    </row>
    <row r="99" spans="1:7">
      <c r="A99">
        <v>97</v>
      </c>
      <c r="B99" s="14"/>
      <c r="C99" s="14"/>
      <c r="D99" s="14"/>
      <c r="E99" s="14"/>
      <c r="F99" s="14"/>
      <c r="G99" s="14"/>
    </row>
    <row r="100" spans="1:7">
      <c r="A100">
        <v>98</v>
      </c>
      <c r="B100" s="14"/>
      <c r="C100" s="14"/>
      <c r="D100" s="14"/>
      <c r="E100" s="14"/>
      <c r="F100" s="14"/>
      <c r="G100" s="14"/>
    </row>
    <row r="101" spans="1:7">
      <c r="A101">
        <v>99</v>
      </c>
      <c r="B101" s="14"/>
      <c r="C101" s="14"/>
      <c r="D101" s="14"/>
      <c r="E101" s="14"/>
      <c r="F101" s="14"/>
      <c r="G101" s="14"/>
    </row>
    <row r="102" spans="1:7">
      <c r="A102">
        <v>100</v>
      </c>
      <c r="B102" s="14"/>
      <c r="C102" s="14"/>
      <c r="D102" s="14"/>
      <c r="E102" s="14"/>
      <c r="F102" s="14"/>
      <c r="G102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7F40-3D42-46F5-9F80-B0FB18CDE1B4}">
  <dimension ref="A1:N102"/>
  <sheetViews>
    <sheetView zoomScale="91" workbookViewId="0">
      <selection activeCell="I4" sqref="I4"/>
    </sheetView>
  </sheetViews>
  <sheetFormatPr defaultRowHeight="14.5"/>
  <cols>
    <col min="12" max="12" width="17.2695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 t="s">
        <v>13</v>
      </c>
      <c r="N1" t="s">
        <v>11</v>
      </c>
    </row>
    <row r="2" spans="1:14">
      <c r="A2">
        <v>0</v>
      </c>
      <c r="B2">
        <v>999</v>
      </c>
      <c r="C2">
        <v>1</v>
      </c>
      <c r="D2">
        <v>0</v>
      </c>
      <c r="H2" s="4">
        <v>0.3</v>
      </c>
      <c r="I2" s="4">
        <v>0.1</v>
      </c>
      <c r="J2" s="4">
        <v>1000</v>
      </c>
      <c r="K2" s="4">
        <v>1</v>
      </c>
      <c r="L2" s="4" t="s">
        <v>12</v>
      </c>
    </row>
    <row r="3" spans="1:14">
      <c r="A3">
        <v>1</v>
      </c>
      <c r="B3">
        <f>B2+E3</f>
        <v>998.70029999999997</v>
      </c>
      <c r="C3">
        <f>C2+F3</f>
        <v>1.1997</v>
      </c>
      <c r="D3">
        <f>D2+G3</f>
        <v>0.1</v>
      </c>
      <c r="E3">
        <f>-$H$2*B2*C2/$J$2</f>
        <v>-0.29969999999999997</v>
      </c>
      <c r="F3">
        <f>$H$2*B2*C2/$J$2-$I$2*C2</f>
        <v>0.19969999999999996</v>
      </c>
      <c r="G3">
        <f>$I$2*C2</f>
        <v>0.1</v>
      </c>
    </row>
    <row r="4" spans="1:14">
      <c r="A4">
        <v>2</v>
      </c>
      <c r="B4">
        <f t="shared" ref="B4:B67" si="0">B3+E4</f>
        <v>998.34085777502696</v>
      </c>
      <c r="C4">
        <f t="shared" ref="C4:C67" si="1">C3+F4</f>
        <v>1.4391722249729999</v>
      </c>
      <c r="D4">
        <f t="shared" ref="D4:D67" si="2">D3+G4</f>
        <v>0.21997</v>
      </c>
      <c r="E4">
        <f t="shared" ref="E4:E67" si="3">-$H$2*B3*C3/$J$2</f>
        <v>-0.35944222497299994</v>
      </c>
      <c r="F4">
        <f t="shared" ref="F4:F67" si="4">$H$2*B3*C3/$J$2-$I$2*C3</f>
        <v>0.23947222497299991</v>
      </c>
      <c r="G4">
        <f t="shared" ref="G4:G67" si="5">$I$2*C3</f>
        <v>0.11997000000000001</v>
      </c>
    </row>
    <row r="5" spans="1:14">
      <c r="A5">
        <v>3</v>
      </c>
      <c r="B5">
        <f t="shared" si="0"/>
        <v>997.90982244495729</v>
      </c>
      <c r="C5">
        <f t="shared" si="1"/>
        <v>1.7262903325453616</v>
      </c>
      <c r="D5">
        <f t="shared" si="2"/>
        <v>0.36388722249729999</v>
      </c>
      <c r="E5">
        <f t="shared" si="3"/>
        <v>-0.4310353300696616</v>
      </c>
      <c r="F5">
        <f t="shared" si="4"/>
        <v>0.28711810757236161</v>
      </c>
      <c r="G5">
        <f t="shared" si="5"/>
        <v>0.14391722249729999</v>
      </c>
    </row>
    <row r="6" spans="1:14">
      <c r="A6">
        <v>4</v>
      </c>
      <c r="B6">
        <f t="shared" si="0"/>
        <v>997.39301782118559</v>
      </c>
      <c r="C6">
        <f t="shared" si="1"/>
        <v>2.070465923062462</v>
      </c>
      <c r="D6">
        <f t="shared" si="2"/>
        <v>0.53651625575183615</v>
      </c>
      <c r="E6">
        <f t="shared" si="3"/>
        <v>-0.5168046237716365</v>
      </c>
      <c r="F6">
        <f t="shared" si="4"/>
        <v>0.34417559051710034</v>
      </c>
      <c r="G6">
        <f t="shared" si="5"/>
        <v>0.17262903325453616</v>
      </c>
    </row>
    <row r="7" spans="1:14">
      <c r="A7">
        <v>5</v>
      </c>
      <c r="B7">
        <f t="shared" si="0"/>
        <v>996.77349734459585</v>
      </c>
      <c r="C7">
        <f t="shared" si="1"/>
        <v>2.4829398073459745</v>
      </c>
      <c r="D7">
        <f t="shared" si="2"/>
        <v>0.74356284805808237</v>
      </c>
      <c r="E7">
        <f t="shared" si="3"/>
        <v>-0.61952047658975873</v>
      </c>
      <c r="F7">
        <f t="shared" si="4"/>
        <v>0.4124738842835125</v>
      </c>
      <c r="G7">
        <f t="shared" si="5"/>
        <v>0.20704659230624622</v>
      </c>
    </row>
    <row r="8" spans="1:14">
      <c r="A8">
        <v>6</v>
      </c>
      <c r="B8">
        <f t="shared" si="0"/>
        <v>996.03101876595656</v>
      </c>
      <c r="C8">
        <f t="shared" si="1"/>
        <v>2.9771244052506862</v>
      </c>
      <c r="D8">
        <f t="shared" si="2"/>
        <v>0.99185682879267989</v>
      </c>
      <c r="E8">
        <f t="shared" si="3"/>
        <v>-0.74247857863930911</v>
      </c>
      <c r="F8">
        <f t="shared" si="4"/>
        <v>0.49418459790471164</v>
      </c>
      <c r="G8">
        <f t="shared" si="5"/>
        <v>0.24829398073459746</v>
      </c>
      <c r="H8" s="2"/>
    </row>
    <row r="9" spans="1:14">
      <c r="A9">
        <v>7</v>
      </c>
      <c r="B9">
        <f t="shared" si="0"/>
        <v>995.1414262896501</v>
      </c>
      <c r="C9">
        <f t="shared" si="1"/>
        <v>3.5690044410320674</v>
      </c>
      <c r="D9">
        <f t="shared" si="2"/>
        <v>1.2895692693177485</v>
      </c>
      <c r="E9">
        <f t="shared" si="3"/>
        <v>-0.88959247630645</v>
      </c>
      <c r="F9">
        <f t="shared" si="4"/>
        <v>0.59188003578138138</v>
      </c>
      <c r="G9">
        <f t="shared" si="5"/>
        <v>0.29771244052506862</v>
      </c>
    </row>
    <row r="10" spans="1:14">
      <c r="A10">
        <v>8</v>
      </c>
      <c r="B10">
        <f t="shared" si="0"/>
        <v>994.07592703868522</v>
      </c>
      <c r="C10">
        <f t="shared" si="1"/>
        <v>4.2776032478936843</v>
      </c>
      <c r="D10">
        <f t="shared" si="2"/>
        <v>1.6464697134209554</v>
      </c>
      <c r="E10">
        <f t="shared" si="3"/>
        <v>-1.065499250964824</v>
      </c>
      <c r="F10">
        <f t="shared" si="4"/>
        <v>0.70859880686161725</v>
      </c>
      <c r="G10">
        <f t="shared" si="5"/>
        <v>0.35690044410320676</v>
      </c>
    </row>
    <row r="11" spans="1:14">
      <c r="A11">
        <v>9</v>
      </c>
      <c r="B11">
        <f t="shared" si="0"/>
        <v>992.80024831443916</v>
      </c>
      <c r="C11">
        <f t="shared" si="1"/>
        <v>5.1255216473503973</v>
      </c>
      <c r="D11">
        <f t="shared" si="2"/>
        <v>2.0742300382103238</v>
      </c>
      <c r="E11">
        <f t="shared" si="3"/>
        <v>-1.2756787242460816</v>
      </c>
      <c r="F11">
        <f t="shared" si="4"/>
        <v>0.84791839945671321</v>
      </c>
      <c r="G11">
        <f t="shared" si="5"/>
        <v>0.42776032478936843</v>
      </c>
    </row>
    <row r="12" spans="1:14">
      <c r="A12">
        <v>10</v>
      </c>
      <c r="B12">
        <f t="shared" si="0"/>
        <v>991.27366256516996</v>
      </c>
      <c r="C12">
        <f t="shared" si="1"/>
        <v>6.1395552318845095</v>
      </c>
      <c r="D12">
        <f t="shared" si="2"/>
        <v>2.5867822029453635</v>
      </c>
      <c r="E12">
        <f t="shared" si="3"/>
        <v>-1.5265857492691524</v>
      </c>
      <c r="F12">
        <f t="shared" si="4"/>
        <v>1.0140335845341126</v>
      </c>
      <c r="G12">
        <f t="shared" si="5"/>
        <v>0.51255216473503973</v>
      </c>
    </row>
    <row r="13" spans="1:14">
      <c r="A13">
        <v>11</v>
      </c>
      <c r="B13">
        <f t="shared" si="0"/>
        <v>989.44786874480053</v>
      </c>
      <c r="C13">
        <f t="shared" si="1"/>
        <v>7.3513935290654508</v>
      </c>
      <c r="D13">
        <f t="shared" si="2"/>
        <v>3.2007377261338146</v>
      </c>
      <c r="E13">
        <f t="shared" si="3"/>
        <v>-1.8257938203693924</v>
      </c>
      <c r="F13">
        <f t="shared" si="4"/>
        <v>1.2118382971809414</v>
      </c>
      <c r="G13">
        <f t="shared" si="5"/>
        <v>0.61395552318845104</v>
      </c>
    </row>
    <row r="14" spans="1:14">
      <c r="A14">
        <v>12</v>
      </c>
      <c r="B14">
        <f t="shared" si="0"/>
        <v>987.26572254690905</v>
      </c>
      <c r="C14">
        <f t="shared" si="1"/>
        <v>8.7984003740503454</v>
      </c>
      <c r="D14">
        <f t="shared" si="2"/>
        <v>3.9358770790403597</v>
      </c>
      <c r="E14">
        <f t="shared" si="3"/>
        <v>-2.1821461978914387</v>
      </c>
      <c r="F14">
        <f t="shared" si="4"/>
        <v>1.4470068449848936</v>
      </c>
      <c r="G14">
        <f t="shared" si="5"/>
        <v>0.73513935290654508</v>
      </c>
    </row>
    <row r="15" spans="1:14">
      <c r="A15">
        <v>13</v>
      </c>
      <c r="B15">
        <f t="shared" si="0"/>
        <v>984.65981481614585</v>
      </c>
      <c r="C15">
        <f t="shared" si="1"/>
        <v>10.524468067408453</v>
      </c>
      <c r="D15">
        <f t="shared" si="2"/>
        <v>4.815717116445394</v>
      </c>
      <c r="E15">
        <f t="shared" si="3"/>
        <v>-2.6059077307631422</v>
      </c>
      <c r="F15">
        <f t="shared" si="4"/>
        <v>1.7260676933581076</v>
      </c>
      <c r="G15">
        <f t="shared" si="5"/>
        <v>0.87984003740503458</v>
      </c>
    </row>
    <row r="16" spans="1:14">
      <c r="A16">
        <v>14</v>
      </c>
      <c r="B16">
        <f t="shared" si="0"/>
        <v>981.55090858265805</v>
      </c>
      <c r="C16">
        <f t="shared" si="1"/>
        <v>12.580927494155461</v>
      </c>
      <c r="D16">
        <f t="shared" si="2"/>
        <v>5.8681639231862395</v>
      </c>
      <c r="E16">
        <f t="shared" si="3"/>
        <v>-3.1089062334878541</v>
      </c>
      <c r="F16">
        <f t="shared" si="4"/>
        <v>2.0564594267470087</v>
      </c>
      <c r="G16">
        <f t="shared" si="5"/>
        <v>1.0524468067408452</v>
      </c>
    </row>
    <row r="17" spans="1:7">
      <c r="A17">
        <v>15</v>
      </c>
      <c r="B17">
        <f t="shared" si="0"/>
        <v>977.84626233884785</v>
      </c>
      <c r="C17">
        <f t="shared" si="1"/>
        <v>15.027480988550165</v>
      </c>
      <c r="D17">
        <f t="shared" si="2"/>
        <v>7.1262566726017855</v>
      </c>
      <c r="E17">
        <f t="shared" si="3"/>
        <v>-3.7046462438102505</v>
      </c>
      <c r="F17">
        <f t="shared" si="4"/>
        <v>2.4465534943947045</v>
      </c>
      <c r="G17">
        <f t="shared" si="5"/>
        <v>1.2580927494155461</v>
      </c>
    </row>
    <row r="18" spans="1:7">
      <c r="A18">
        <v>16</v>
      </c>
      <c r="B18">
        <f t="shared" si="0"/>
        <v>973.4378925037413</v>
      </c>
      <c r="C18">
        <f t="shared" si="1"/>
        <v>17.93310272480171</v>
      </c>
      <c r="D18">
        <f t="shared" si="2"/>
        <v>8.6290047714568026</v>
      </c>
      <c r="E18">
        <f t="shared" si="3"/>
        <v>-4.4083698351065621</v>
      </c>
      <c r="F18">
        <f t="shared" si="4"/>
        <v>2.9056217362515455</v>
      </c>
      <c r="G18">
        <f t="shared" si="5"/>
        <v>1.5027480988550166</v>
      </c>
    </row>
    <row r="19" spans="1:7">
      <c r="A19">
        <v>17</v>
      </c>
      <c r="B19">
        <f t="shared" si="0"/>
        <v>968.20086398699607</v>
      </c>
      <c r="C19">
        <f t="shared" si="1"/>
        <v>21.376820969066763</v>
      </c>
      <c r="D19">
        <f t="shared" si="2"/>
        <v>10.422315043936974</v>
      </c>
      <c r="E19">
        <f t="shared" si="3"/>
        <v>-5.2370285167452231</v>
      </c>
      <c r="F19">
        <f t="shared" si="4"/>
        <v>3.4437182442650522</v>
      </c>
      <c r="G19">
        <f t="shared" si="5"/>
        <v>1.7933102724801711</v>
      </c>
    </row>
    <row r="20" spans="1:7">
      <c r="A20">
        <v>18</v>
      </c>
      <c r="B20">
        <f t="shared" si="0"/>
        <v>961.99174702753237</v>
      </c>
      <c r="C20">
        <f t="shared" si="1"/>
        <v>25.448255831623818</v>
      </c>
      <c r="D20">
        <f t="shared" si="2"/>
        <v>12.559997140843651</v>
      </c>
      <c r="E20">
        <f t="shared" si="3"/>
        <v>-6.2091169594637323</v>
      </c>
      <c r="F20">
        <f t="shared" si="4"/>
        <v>4.071434862557056</v>
      </c>
      <c r="G20">
        <f t="shared" si="5"/>
        <v>2.1376820969066763</v>
      </c>
    </row>
    <row r="21" spans="1:7">
      <c r="A21">
        <v>19</v>
      </c>
      <c r="B21">
        <f t="shared" si="0"/>
        <v>954.64744340165214</v>
      </c>
      <c r="C21">
        <f t="shared" si="1"/>
        <v>30.247733874341652</v>
      </c>
      <c r="D21">
        <f t="shared" si="2"/>
        <v>15.104822724006032</v>
      </c>
      <c r="E21">
        <f t="shared" si="3"/>
        <v>-7.3443036258802152</v>
      </c>
      <c r="F21">
        <f t="shared" si="4"/>
        <v>4.7994780427178334</v>
      </c>
      <c r="G21">
        <f t="shared" si="5"/>
        <v>2.5448255831623818</v>
      </c>
    </row>
    <row r="22" spans="1:7">
      <c r="A22">
        <v>20</v>
      </c>
      <c r="B22">
        <f t="shared" si="0"/>
        <v>945.98466685810195</v>
      </c>
      <c r="C22">
        <f t="shared" si="1"/>
        <v>35.885737030457626</v>
      </c>
      <c r="D22">
        <f t="shared" si="2"/>
        <v>18.129596111440197</v>
      </c>
      <c r="E22">
        <f t="shared" si="3"/>
        <v>-8.6627765435501427</v>
      </c>
      <c r="F22">
        <f t="shared" si="4"/>
        <v>5.6380031561159774</v>
      </c>
      <c r="G22">
        <f t="shared" si="5"/>
        <v>3.0247733874341654</v>
      </c>
    </row>
    <row r="23" spans="1:7">
      <c r="A23">
        <v>21</v>
      </c>
      <c r="B23">
        <f t="shared" si="0"/>
        <v>935.80045976118743</v>
      </c>
      <c r="C23">
        <f t="shared" si="1"/>
        <v>42.481370424326336</v>
      </c>
      <c r="D23">
        <f t="shared" si="2"/>
        <v>21.718169814485961</v>
      </c>
      <c r="E23">
        <f t="shared" si="3"/>
        <v>-10.184207096914474</v>
      </c>
      <c r="F23">
        <f t="shared" si="4"/>
        <v>6.5956333938687113</v>
      </c>
      <c r="G23">
        <f t="shared" si="5"/>
        <v>3.5885737030457627</v>
      </c>
    </row>
    <row r="24" spans="1:7">
      <c r="A24">
        <v>22</v>
      </c>
      <c r="B24">
        <f t="shared" si="0"/>
        <v>923.87423396887641</v>
      </c>
      <c r="C24">
        <f t="shared" si="1"/>
        <v>50.15945917420467</v>
      </c>
      <c r="D24">
        <f t="shared" si="2"/>
        <v>25.966306856918596</v>
      </c>
      <c r="E24">
        <f t="shared" si="3"/>
        <v>-11.926225792310968</v>
      </c>
      <c r="F24">
        <f t="shared" si="4"/>
        <v>7.6780887498783335</v>
      </c>
      <c r="G24">
        <f t="shared" si="5"/>
        <v>4.2481370424326341</v>
      </c>
    </row>
    <row r="25" spans="1:7">
      <c r="A25">
        <v>23</v>
      </c>
      <c r="B25">
        <f t="shared" si="0"/>
        <v>909.97192439261801</v>
      </c>
      <c r="C25">
        <f t="shared" si="1"/>
        <v>59.045822833042649</v>
      </c>
      <c r="D25">
        <f t="shared" si="2"/>
        <v>30.982252774339063</v>
      </c>
      <c r="E25">
        <f t="shared" si="3"/>
        <v>-13.902309576258443</v>
      </c>
      <c r="F25">
        <f t="shared" si="4"/>
        <v>8.8863636588379755</v>
      </c>
      <c r="G25">
        <f t="shared" si="5"/>
        <v>5.015945917420467</v>
      </c>
    </row>
    <row r="26" spans="1:7">
      <c r="A26">
        <v>24</v>
      </c>
      <c r="B26">
        <f t="shared" si="0"/>
        <v>893.85291208339913</v>
      </c>
      <c r="C26">
        <f t="shared" si="1"/>
        <v>69.260252858957202</v>
      </c>
      <c r="D26">
        <f t="shared" si="2"/>
        <v>36.886835057643324</v>
      </c>
      <c r="E26">
        <f t="shared" si="3"/>
        <v>-16.119012309218821</v>
      </c>
      <c r="F26">
        <f t="shared" si="4"/>
        <v>10.214430025914556</v>
      </c>
      <c r="G26">
        <f t="shared" si="5"/>
        <v>5.9045822833042649</v>
      </c>
    </row>
    <row r="27" spans="1:7">
      <c r="A27">
        <v>25</v>
      </c>
      <c r="B27">
        <f t="shared" si="0"/>
        <v>875.28036847051567</v>
      </c>
      <c r="C27">
        <f t="shared" si="1"/>
        <v>80.906771185944919</v>
      </c>
      <c r="D27">
        <f t="shared" si="2"/>
        <v>43.812860343539043</v>
      </c>
      <c r="E27">
        <f t="shared" si="3"/>
        <v>-18.57254361288344</v>
      </c>
      <c r="F27">
        <f t="shared" si="4"/>
        <v>11.646518326987719</v>
      </c>
      <c r="G27">
        <f t="shared" si="5"/>
        <v>6.9260252858957205</v>
      </c>
    </row>
    <row r="28" spans="1:7">
      <c r="A28">
        <v>26</v>
      </c>
      <c r="B28">
        <f t="shared" si="0"/>
        <v>854.03553592189758</v>
      </c>
      <c r="C28">
        <f t="shared" si="1"/>
        <v>94.060926615968498</v>
      </c>
      <c r="D28">
        <f t="shared" si="2"/>
        <v>51.903537462133535</v>
      </c>
      <c r="E28">
        <f t="shared" si="3"/>
        <v>-21.244832548618071</v>
      </c>
      <c r="F28">
        <f t="shared" si="4"/>
        <v>13.154155430023579</v>
      </c>
      <c r="G28">
        <f t="shared" si="5"/>
        <v>8.0906771185944919</v>
      </c>
    </row>
    <row r="29" spans="1:7">
      <c r="A29">
        <v>27</v>
      </c>
      <c r="B29">
        <f t="shared" si="0"/>
        <v>829.9361237603639</v>
      </c>
      <c r="C29">
        <f t="shared" si="1"/>
        <v>108.75424611590533</v>
      </c>
      <c r="D29">
        <f t="shared" si="2"/>
        <v>61.309630123730386</v>
      </c>
      <c r="E29">
        <f t="shared" si="3"/>
        <v>-24.099412161533682</v>
      </c>
      <c r="F29">
        <f t="shared" si="4"/>
        <v>14.693319499936832</v>
      </c>
      <c r="G29">
        <f t="shared" si="5"/>
        <v>9.4060926615968494</v>
      </c>
    </row>
    <row r="30" spans="1:7">
      <c r="A30">
        <v>28</v>
      </c>
      <c r="B30">
        <f t="shared" si="0"/>
        <v>802.85840052118942</v>
      </c>
      <c r="C30">
        <f t="shared" si="1"/>
        <v>124.95654474348933</v>
      </c>
      <c r="D30">
        <f t="shared" si="2"/>
        <v>72.185054735320918</v>
      </c>
      <c r="E30">
        <f t="shared" si="3"/>
        <v>-27.077723239174524</v>
      </c>
      <c r="F30">
        <f t="shared" si="4"/>
        <v>16.202298627583993</v>
      </c>
      <c r="G30">
        <f t="shared" si="5"/>
        <v>10.875424611590534</v>
      </c>
    </row>
    <row r="31" spans="1:7">
      <c r="A31">
        <v>29</v>
      </c>
      <c r="B31">
        <f t="shared" si="0"/>
        <v>772.76167702696569</v>
      </c>
      <c r="C31">
        <f t="shared" si="1"/>
        <v>142.55761376336409</v>
      </c>
      <c r="D31">
        <f t="shared" si="2"/>
        <v>84.680709209669857</v>
      </c>
      <c r="E31">
        <f t="shared" si="3"/>
        <v>-30.096723494223685</v>
      </c>
      <c r="F31">
        <f t="shared" si="4"/>
        <v>17.60106901987475</v>
      </c>
      <c r="G31">
        <f t="shared" si="5"/>
        <v>12.495654474348934</v>
      </c>
    </row>
    <row r="32" spans="1:7">
      <c r="A32">
        <v>30</v>
      </c>
      <c r="B32">
        <f t="shared" si="0"/>
        <v>739.71275882154373</v>
      </c>
      <c r="C32">
        <f t="shared" si="1"/>
        <v>161.35077059244958</v>
      </c>
      <c r="D32">
        <f t="shared" si="2"/>
        <v>98.936470586006266</v>
      </c>
      <c r="E32">
        <f t="shared" si="3"/>
        <v>-33.048918205421906</v>
      </c>
      <c r="F32">
        <f t="shared" si="4"/>
        <v>18.793156829085497</v>
      </c>
      <c r="G32">
        <f t="shared" si="5"/>
        <v>14.255761376336409</v>
      </c>
    </row>
    <row r="33" spans="1:7">
      <c r="A33">
        <v>31</v>
      </c>
      <c r="B33">
        <f t="shared" si="0"/>
        <v>703.90679172566684</v>
      </c>
      <c r="C33">
        <f t="shared" si="1"/>
        <v>181.02166062908148</v>
      </c>
      <c r="D33">
        <f t="shared" si="2"/>
        <v>115.07154764525123</v>
      </c>
      <c r="E33">
        <f t="shared" si="3"/>
        <v>-35.805967095876859</v>
      </c>
      <c r="F33">
        <f t="shared" si="4"/>
        <v>19.670890036631899</v>
      </c>
      <c r="G33">
        <f t="shared" si="5"/>
        <v>16.13507705924496</v>
      </c>
    </row>
    <row r="34" spans="1:7">
      <c r="A34">
        <v>32</v>
      </c>
      <c r="B34">
        <f t="shared" si="0"/>
        <v>665.68007881578603</v>
      </c>
      <c r="C34">
        <f t="shared" si="1"/>
        <v>201.14620747605409</v>
      </c>
      <c r="D34">
        <f t="shared" si="2"/>
        <v>133.17371370815937</v>
      </c>
      <c r="E34">
        <f t="shared" si="3"/>
        <v>-38.226712909880753</v>
      </c>
      <c r="F34">
        <f t="shared" si="4"/>
        <v>20.124546846972603</v>
      </c>
      <c r="G34">
        <f t="shared" si="5"/>
        <v>18.10216606290815</v>
      </c>
    </row>
    <row r="35" spans="1:7">
      <c r="A35">
        <v>33</v>
      </c>
      <c r="B35">
        <f t="shared" si="0"/>
        <v>625.51037184193922</v>
      </c>
      <c r="C35">
        <f t="shared" si="1"/>
        <v>221.20129370229552</v>
      </c>
      <c r="D35">
        <f t="shared" si="2"/>
        <v>153.28833445576478</v>
      </c>
      <c r="E35">
        <f t="shared" si="3"/>
        <v>-40.169706973846836</v>
      </c>
      <c r="F35">
        <f t="shared" si="4"/>
        <v>20.055086226241425</v>
      </c>
      <c r="G35">
        <f t="shared" si="5"/>
        <v>20.114620747605411</v>
      </c>
    </row>
    <row r="36" spans="1:7">
      <c r="A36">
        <v>34</v>
      </c>
      <c r="B36">
        <f t="shared" si="0"/>
        <v>584.00126079924701</v>
      </c>
      <c r="C36">
        <f t="shared" si="1"/>
        <v>240.59027537475822</v>
      </c>
      <c r="D36">
        <f t="shared" si="2"/>
        <v>175.40846382599435</v>
      </c>
      <c r="E36">
        <f t="shared" si="3"/>
        <v>-41.509111042692261</v>
      </c>
      <c r="F36">
        <f t="shared" si="4"/>
        <v>19.388981672462709</v>
      </c>
      <c r="G36">
        <f t="shared" si="5"/>
        <v>22.120129370229552</v>
      </c>
    </row>
    <row r="37" spans="1:7">
      <c r="A37">
        <v>35</v>
      </c>
      <c r="B37">
        <f t="shared" si="0"/>
        <v>541.849753552778</v>
      </c>
      <c r="C37">
        <f t="shared" si="1"/>
        <v>258.68275508375143</v>
      </c>
      <c r="D37">
        <f t="shared" si="2"/>
        <v>199.46749136347017</v>
      </c>
      <c r="E37">
        <f t="shared" si="3"/>
        <v>-42.151507246469045</v>
      </c>
      <c r="F37">
        <f t="shared" si="4"/>
        <v>18.092479708993221</v>
      </c>
      <c r="G37">
        <f t="shared" si="5"/>
        <v>24.059027537475824</v>
      </c>
    </row>
    <row r="38" spans="1:7">
      <c r="A38">
        <v>36</v>
      </c>
      <c r="B38">
        <f t="shared" si="0"/>
        <v>499.79959742563267</v>
      </c>
      <c r="C38">
        <f t="shared" si="1"/>
        <v>274.86463570252158</v>
      </c>
      <c r="D38">
        <f t="shared" si="2"/>
        <v>225.33576687184532</v>
      </c>
      <c r="E38">
        <f t="shared" si="3"/>
        <v>-42.0501561271453</v>
      </c>
      <c r="F38">
        <f t="shared" si="4"/>
        <v>16.181880618770155</v>
      </c>
      <c r="G38">
        <f t="shared" si="5"/>
        <v>25.868275508375145</v>
      </c>
    </row>
    <row r="39" spans="1:7">
      <c r="A39">
        <v>37</v>
      </c>
      <c r="B39">
        <f t="shared" si="0"/>
        <v>458.58642714443363</v>
      </c>
      <c r="C39">
        <f t="shared" si="1"/>
        <v>288.59134241346845</v>
      </c>
      <c r="D39">
        <f t="shared" si="2"/>
        <v>252.82223044209749</v>
      </c>
      <c r="E39">
        <f t="shared" si="3"/>
        <v>-41.213170281199041</v>
      </c>
      <c r="F39">
        <f t="shared" si="4"/>
        <v>13.726706710946882</v>
      </c>
      <c r="G39">
        <f t="shared" si="5"/>
        <v>27.486463570252159</v>
      </c>
    </row>
    <row r="40" spans="1:7">
      <c r="A40">
        <v>38</v>
      </c>
      <c r="B40">
        <f t="shared" si="0"/>
        <v>418.88320535777109</v>
      </c>
      <c r="C40">
        <f t="shared" si="1"/>
        <v>299.43542995878414</v>
      </c>
      <c r="D40">
        <f t="shared" si="2"/>
        <v>281.68136468344431</v>
      </c>
      <c r="E40">
        <f t="shared" si="3"/>
        <v>-39.70322178666251</v>
      </c>
      <c r="F40">
        <f t="shared" si="4"/>
        <v>10.844087545315663</v>
      </c>
      <c r="G40">
        <f t="shared" si="5"/>
        <v>28.859134241346847</v>
      </c>
    </row>
    <row r="41" spans="1:7">
      <c r="A41">
        <v>39</v>
      </c>
      <c r="B41">
        <f t="shared" si="0"/>
        <v>381.25466354812573</v>
      </c>
      <c r="C41">
        <f t="shared" si="1"/>
        <v>307.12042877255107</v>
      </c>
      <c r="D41">
        <f t="shared" si="2"/>
        <v>311.62490767932275</v>
      </c>
      <c r="E41">
        <f t="shared" si="3"/>
        <v>-37.628541809645355</v>
      </c>
      <c r="F41">
        <f t="shared" si="4"/>
        <v>7.6849988137669385</v>
      </c>
      <c r="G41">
        <f t="shared" si="5"/>
        <v>29.943542995878417</v>
      </c>
    </row>
    <row r="42" spans="1:7">
      <c r="A42">
        <v>40</v>
      </c>
      <c r="B42">
        <f t="shared" si="0"/>
        <v>346.12733482599521</v>
      </c>
      <c r="C42">
        <f t="shared" si="1"/>
        <v>311.53571461742649</v>
      </c>
      <c r="D42">
        <f t="shared" si="2"/>
        <v>342.33695055657785</v>
      </c>
      <c r="E42">
        <f t="shared" si="3"/>
        <v>-35.127328722130521</v>
      </c>
      <c r="F42">
        <f t="shared" si="4"/>
        <v>4.4152858448754131</v>
      </c>
      <c r="G42">
        <f t="shared" si="5"/>
        <v>30.712042877255108</v>
      </c>
    </row>
    <row r="43" spans="1:7">
      <c r="A43">
        <v>41</v>
      </c>
      <c r="B43">
        <f t="shared" si="0"/>
        <v>313.77802684490268</v>
      </c>
      <c r="C43">
        <f t="shared" si="1"/>
        <v>312.73145113677634</v>
      </c>
      <c r="D43">
        <f t="shared" si="2"/>
        <v>373.49052201832052</v>
      </c>
      <c r="E43">
        <f t="shared" si="3"/>
        <v>-32.349307981092494</v>
      </c>
      <c r="F43">
        <f t="shared" si="4"/>
        <v>1.1957365193498433</v>
      </c>
      <c r="G43">
        <f t="shared" si="5"/>
        <v>31.153571461742651</v>
      </c>
    </row>
    <row r="44" spans="1:7">
      <c r="A44">
        <v>42</v>
      </c>
      <c r="B44">
        <f t="shared" si="0"/>
        <v>284.33954954389043</v>
      </c>
      <c r="C44">
        <f t="shared" si="1"/>
        <v>310.89678332411097</v>
      </c>
      <c r="D44">
        <f t="shared" si="2"/>
        <v>404.76366713199815</v>
      </c>
      <c r="E44">
        <f t="shared" si="3"/>
        <v>-29.438477301012234</v>
      </c>
      <c r="F44">
        <f t="shared" si="4"/>
        <v>-1.8346678126654012</v>
      </c>
      <c r="G44">
        <f t="shared" si="5"/>
        <v>31.273145113677636</v>
      </c>
    </row>
    <row r="45" spans="1:7">
      <c r="A45">
        <v>43</v>
      </c>
      <c r="B45">
        <f t="shared" si="0"/>
        <v>257.81947414638375</v>
      </c>
      <c r="C45">
        <f t="shared" si="1"/>
        <v>306.32718038920655</v>
      </c>
      <c r="D45">
        <f t="shared" si="2"/>
        <v>435.85334546440924</v>
      </c>
      <c r="E45">
        <f t="shared" si="3"/>
        <v>-26.520075397506666</v>
      </c>
      <c r="F45">
        <f t="shared" si="4"/>
        <v>-4.5696029349044309</v>
      </c>
      <c r="G45">
        <f t="shared" si="5"/>
        <v>31.089678332411097</v>
      </c>
    </row>
    <row r="46" spans="1:7">
      <c r="A46">
        <v>44</v>
      </c>
      <c r="B46">
        <f t="shared" si="0"/>
        <v>234.12634037697686</v>
      </c>
      <c r="C46">
        <f t="shared" si="1"/>
        <v>299.38759611969277</v>
      </c>
      <c r="D46">
        <f t="shared" si="2"/>
        <v>466.48606350332989</v>
      </c>
      <c r="E46">
        <f t="shared" si="3"/>
        <v>-23.693133769406902</v>
      </c>
      <c r="F46">
        <f t="shared" si="4"/>
        <v>-6.9395842695137553</v>
      </c>
      <c r="G46">
        <f t="shared" si="5"/>
        <v>30.632718038920657</v>
      </c>
    </row>
    <row r="47" spans="1:7">
      <c r="A47">
        <v>45</v>
      </c>
      <c r="B47">
        <f t="shared" si="0"/>
        <v>213.09798370684763</v>
      </c>
      <c r="C47">
        <f t="shared" si="1"/>
        <v>290.47719317785271</v>
      </c>
      <c r="D47">
        <f t="shared" si="2"/>
        <v>496.42482311529915</v>
      </c>
      <c r="E47">
        <f t="shared" si="3"/>
        <v>-21.02835667012922</v>
      </c>
      <c r="F47">
        <f t="shared" si="4"/>
        <v>-8.9104029418400579</v>
      </c>
      <c r="G47">
        <f t="shared" si="5"/>
        <v>29.938759611969278</v>
      </c>
    </row>
    <row r="48" spans="1:7">
      <c r="A48">
        <v>46</v>
      </c>
      <c r="B48">
        <f t="shared" si="0"/>
        <v>194.52795245314016</v>
      </c>
      <c r="C48">
        <f t="shared" si="1"/>
        <v>279.99950511377489</v>
      </c>
      <c r="D48">
        <f t="shared" si="2"/>
        <v>525.47254243308441</v>
      </c>
      <c r="E48">
        <f t="shared" si="3"/>
        <v>-18.570031253707469</v>
      </c>
      <c r="F48">
        <f t="shared" si="4"/>
        <v>-10.477688064077803</v>
      </c>
      <c r="G48">
        <f t="shared" si="5"/>
        <v>29.047719317785273</v>
      </c>
    </row>
    <row r="49" spans="1:7">
      <c r="A49">
        <v>47</v>
      </c>
      <c r="B49">
        <f t="shared" si="0"/>
        <v>178.1876333278376</v>
      </c>
      <c r="C49">
        <f t="shared" si="1"/>
        <v>268.33987372769997</v>
      </c>
      <c r="D49">
        <f t="shared" si="2"/>
        <v>553.47249294446192</v>
      </c>
      <c r="E49">
        <f t="shared" si="3"/>
        <v>-16.340319125302553</v>
      </c>
      <c r="F49">
        <f t="shared" si="4"/>
        <v>-11.659631386074938</v>
      </c>
      <c r="G49">
        <f t="shared" si="5"/>
        <v>27.999950511377492</v>
      </c>
    </row>
    <row r="50" spans="1:7">
      <c r="A50">
        <v>48</v>
      </c>
      <c r="B50">
        <f t="shared" si="0"/>
        <v>163.84317921972871</v>
      </c>
      <c r="C50">
        <f t="shared" si="1"/>
        <v>255.85034046303886</v>
      </c>
      <c r="D50">
        <f t="shared" si="2"/>
        <v>580.30648031723194</v>
      </c>
      <c r="E50">
        <f t="shared" si="3"/>
        <v>-14.344454108108893</v>
      </c>
      <c r="F50">
        <f t="shared" si="4"/>
        <v>-12.489533264661103</v>
      </c>
      <c r="G50">
        <f t="shared" si="5"/>
        <v>26.833987372769997</v>
      </c>
    </row>
    <row r="51" spans="1:7">
      <c r="A51">
        <v>49</v>
      </c>
      <c r="B51">
        <f t="shared" si="0"/>
        <v>151.26737926395444</v>
      </c>
      <c r="C51">
        <f t="shared" si="1"/>
        <v>242.84110637250924</v>
      </c>
      <c r="D51">
        <f t="shared" si="2"/>
        <v>605.89151436353586</v>
      </c>
      <c r="E51">
        <f t="shared" si="3"/>
        <v>-12.575799955774285</v>
      </c>
      <c r="F51">
        <f t="shared" si="4"/>
        <v>-13.009234090529604</v>
      </c>
      <c r="G51">
        <f t="shared" si="5"/>
        <v>25.585034046303889</v>
      </c>
    </row>
    <row r="52" spans="1:7">
      <c r="A52">
        <v>50</v>
      </c>
      <c r="B52">
        <f t="shared" si="0"/>
        <v>140.24719794239584</v>
      </c>
      <c r="C52">
        <f t="shared" si="1"/>
        <v>229.57717705681691</v>
      </c>
      <c r="D52">
        <f t="shared" si="2"/>
        <v>630.17562500078679</v>
      </c>
      <c r="E52">
        <f t="shared" si="3"/>
        <v>-11.020181321558598</v>
      </c>
      <c r="F52">
        <f t="shared" si="4"/>
        <v>-13.263929315692328</v>
      </c>
      <c r="G52">
        <f t="shared" si="5"/>
        <v>24.284110637250926</v>
      </c>
    </row>
    <row r="53" spans="1:7">
      <c r="A53">
        <v>51</v>
      </c>
      <c r="B53">
        <f t="shared" si="0"/>
        <v>130.58793120427268</v>
      </c>
      <c r="C53">
        <f t="shared" si="1"/>
        <v>216.27872608925838</v>
      </c>
      <c r="D53">
        <f t="shared" si="2"/>
        <v>653.13334270646851</v>
      </c>
      <c r="E53">
        <f t="shared" si="3"/>
        <v>-9.6592667381231578</v>
      </c>
      <c r="F53">
        <f t="shared" si="4"/>
        <v>-13.298450967558534</v>
      </c>
      <c r="G53">
        <f t="shared" si="5"/>
        <v>22.957717705681691</v>
      </c>
    </row>
    <row r="54" spans="1:7">
      <c r="A54">
        <v>52</v>
      </c>
      <c r="B54">
        <f t="shared" si="0"/>
        <v>122.11491378322513</v>
      </c>
      <c r="C54">
        <f t="shared" si="1"/>
        <v>203.12387090138009</v>
      </c>
      <c r="D54">
        <f t="shared" si="2"/>
        <v>674.76121531539434</v>
      </c>
      <c r="E54">
        <f t="shared" si="3"/>
        <v>-8.473017421047544</v>
      </c>
      <c r="F54">
        <f t="shared" si="4"/>
        <v>-13.154855187878297</v>
      </c>
      <c r="G54">
        <f t="shared" si="5"/>
        <v>21.627872608925841</v>
      </c>
    </row>
    <row r="55" spans="1:7">
      <c r="A55">
        <v>53</v>
      </c>
      <c r="B55">
        <f t="shared" si="0"/>
        <v>114.67357758849404</v>
      </c>
      <c r="C55">
        <f t="shared" si="1"/>
        <v>190.25282000597318</v>
      </c>
      <c r="D55">
        <f t="shared" si="2"/>
        <v>695.07360240553237</v>
      </c>
      <c r="E55">
        <f t="shared" si="3"/>
        <v>-7.441336194731095</v>
      </c>
      <c r="F55">
        <f t="shared" si="4"/>
        <v>-12.871050895406915</v>
      </c>
      <c r="G55">
        <f t="shared" si="5"/>
        <v>20.31238709013801</v>
      </c>
    </row>
    <row r="56" spans="1:7">
      <c r="A56">
        <v>54</v>
      </c>
      <c r="B56">
        <f t="shared" si="0"/>
        <v>108.12848613357862</v>
      </c>
      <c r="C56">
        <f t="shared" si="1"/>
        <v>177.77262946029128</v>
      </c>
      <c r="D56">
        <f t="shared" si="2"/>
        <v>714.09888440612974</v>
      </c>
      <c r="E56">
        <f t="shared" si="3"/>
        <v>-6.5450914549154255</v>
      </c>
      <c r="F56">
        <f t="shared" si="4"/>
        <v>-12.480190545681893</v>
      </c>
      <c r="G56">
        <f t="shared" si="5"/>
        <v>19.025282000597318</v>
      </c>
    </row>
    <row r="57" spans="1:7">
      <c r="A57">
        <v>55</v>
      </c>
      <c r="B57">
        <f t="shared" si="0"/>
        <v>102.36180054372055</v>
      </c>
      <c r="C57">
        <f t="shared" si="1"/>
        <v>165.76205210412024</v>
      </c>
      <c r="D57">
        <f t="shared" si="2"/>
        <v>731.87614735215891</v>
      </c>
      <c r="E57">
        <f t="shared" si="3"/>
        <v>-5.7666855898580751</v>
      </c>
      <c r="F57">
        <f t="shared" si="4"/>
        <v>-12.010577356171055</v>
      </c>
      <c r="G57">
        <f t="shared" si="5"/>
        <v>17.777262946029129</v>
      </c>
    </row>
    <row r="58" spans="1:7">
      <c r="A58">
        <v>56</v>
      </c>
      <c r="B58">
        <f t="shared" si="0"/>
        <v>97.271489909160621</v>
      </c>
      <c r="C58">
        <f t="shared" si="1"/>
        <v>154.27615752826816</v>
      </c>
      <c r="D58">
        <f t="shared" si="2"/>
        <v>748.45235256257092</v>
      </c>
      <c r="E58">
        <f t="shared" si="3"/>
        <v>-5.0903106345599305</v>
      </c>
      <c r="F58">
        <f t="shared" si="4"/>
        <v>-11.485894575852093</v>
      </c>
      <c r="G58">
        <f t="shared" si="5"/>
        <v>16.576205210412024</v>
      </c>
    </row>
    <row r="59" spans="1:7">
      <c r="A59">
        <v>57</v>
      </c>
      <c r="B59">
        <f t="shared" si="0"/>
        <v>92.769488399090122</v>
      </c>
      <c r="C59">
        <f t="shared" si="1"/>
        <v>143.35054328551183</v>
      </c>
      <c r="D59">
        <f t="shared" si="2"/>
        <v>763.87996831539772</v>
      </c>
      <c r="E59">
        <f t="shared" si="3"/>
        <v>-4.5020015100705022</v>
      </c>
      <c r="F59">
        <f t="shared" si="4"/>
        <v>-10.925614242756314</v>
      </c>
      <c r="G59">
        <f t="shared" si="5"/>
        <v>15.427615752826817</v>
      </c>
    </row>
    <row r="60" spans="1:7">
      <c r="A60">
        <v>58</v>
      </c>
      <c r="B60">
        <f t="shared" si="0"/>
        <v>88.779921430391553</v>
      </c>
      <c r="C60">
        <f t="shared" si="1"/>
        <v>133.00505592565921</v>
      </c>
      <c r="D60">
        <f t="shared" si="2"/>
        <v>778.21502264394894</v>
      </c>
      <c r="E60">
        <f t="shared" si="3"/>
        <v>-3.9895669686985666</v>
      </c>
      <c r="F60">
        <f t="shared" si="4"/>
        <v>-10.345487359852617</v>
      </c>
      <c r="G60">
        <f t="shared" si="5"/>
        <v>14.335054328551184</v>
      </c>
    </row>
    <row r="61" spans="1:7">
      <c r="A61">
        <v>59</v>
      </c>
      <c r="B61">
        <f t="shared" si="0"/>
        <v>85.237467905914102</v>
      </c>
      <c r="C61">
        <f t="shared" si="1"/>
        <v>123.24700385757075</v>
      </c>
      <c r="D61">
        <f t="shared" si="2"/>
        <v>791.51552823651491</v>
      </c>
      <c r="E61">
        <f t="shared" si="3"/>
        <v>-3.5424535244774575</v>
      </c>
      <c r="F61">
        <f t="shared" si="4"/>
        <v>-9.7580520680884639</v>
      </c>
      <c r="G61">
        <f t="shared" si="5"/>
        <v>13.300505592565921</v>
      </c>
    </row>
    <row r="62" spans="1:7">
      <c r="A62">
        <v>60</v>
      </c>
      <c r="B62">
        <f t="shared" si="0"/>
        <v>82.08588914517118</v>
      </c>
      <c r="C62">
        <f t="shared" si="1"/>
        <v>114.0738822325566</v>
      </c>
      <c r="D62">
        <f t="shared" si="2"/>
        <v>803.84022862227198</v>
      </c>
      <c r="E62">
        <f t="shared" si="3"/>
        <v>-3.1515787607429275</v>
      </c>
      <c r="F62">
        <f t="shared" si="4"/>
        <v>-9.173121625014149</v>
      </c>
      <c r="G62">
        <f t="shared" si="5"/>
        <v>12.324700385757076</v>
      </c>
    </row>
    <row r="63" spans="1:7">
      <c r="A63">
        <v>61</v>
      </c>
      <c r="B63">
        <f t="shared" si="0"/>
        <v>79.276732329780899</v>
      </c>
      <c r="C63">
        <f t="shared" si="1"/>
        <v>105.47565082469123</v>
      </c>
      <c r="D63">
        <f t="shared" si="2"/>
        <v>815.24761684552766</v>
      </c>
      <c r="E63">
        <f t="shared" si="3"/>
        <v>-2.8091568153902857</v>
      </c>
      <c r="F63">
        <f t="shared" si="4"/>
        <v>-8.5982314078653737</v>
      </c>
      <c r="G63">
        <f t="shared" si="5"/>
        <v>11.40738822325566</v>
      </c>
    </row>
    <row r="64" spans="1:7">
      <c r="A64">
        <v>62</v>
      </c>
      <c r="B64">
        <f t="shared" si="0"/>
        <v>76.768202848459353</v>
      </c>
      <c r="C64">
        <f t="shared" si="1"/>
        <v>97.436615223543654</v>
      </c>
      <c r="D64">
        <f t="shared" si="2"/>
        <v>825.79518192799674</v>
      </c>
      <c r="E64">
        <f t="shared" si="3"/>
        <v>-2.5085294813215442</v>
      </c>
      <c r="F64">
        <f t="shared" si="4"/>
        <v>-8.0390356011475799</v>
      </c>
      <c r="G64">
        <f t="shared" si="5"/>
        <v>10.547565082469124</v>
      </c>
    </row>
    <row r="65" spans="1:7">
      <c r="A65">
        <v>63</v>
      </c>
      <c r="B65">
        <f t="shared" si="0"/>
        <v>74.524192695754863</v>
      </c>
      <c r="C65">
        <f t="shared" si="1"/>
        <v>89.936963853893772</v>
      </c>
      <c r="D65">
        <f t="shared" si="2"/>
        <v>835.53884345035112</v>
      </c>
      <c r="E65">
        <f t="shared" si="3"/>
        <v>-2.2440101527044845</v>
      </c>
      <c r="F65">
        <f t="shared" si="4"/>
        <v>-7.4996513696498806</v>
      </c>
      <c r="G65">
        <f t="shared" si="5"/>
        <v>9.7436615223543654</v>
      </c>
    </row>
    <row r="66" spans="1:7">
      <c r="A66">
        <v>64</v>
      </c>
      <c r="B66">
        <f t="shared" si="0"/>
        <v>72.513448808339248</v>
      </c>
      <c r="C66">
        <f t="shared" si="1"/>
        <v>82.954011355920017</v>
      </c>
      <c r="D66">
        <f t="shared" si="2"/>
        <v>844.53253983574052</v>
      </c>
      <c r="E66">
        <f t="shared" si="3"/>
        <v>-2.0107438874156158</v>
      </c>
      <c r="F66">
        <f t="shared" si="4"/>
        <v>-6.9829524979737609</v>
      </c>
      <c r="G66">
        <f t="shared" si="5"/>
        <v>8.9936963853893772</v>
      </c>
    </row>
    <row r="67" spans="1:7">
      <c r="A67">
        <v>65</v>
      </c>
      <c r="B67">
        <f t="shared" si="0"/>
        <v>70.708864371568083</v>
      </c>
      <c r="C67">
        <f t="shared" si="1"/>
        <v>76.46319465709918</v>
      </c>
      <c r="D67">
        <f t="shared" si="2"/>
        <v>852.82794097133251</v>
      </c>
      <c r="E67">
        <f t="shared" si="3"/>
        <v>-1.8045844367711696</v>
      </c>
      <c r="F67">
        <f t="shared" si="4"/>
        <v>-6.490816698820832</v>
      </c>
      <c r="G67">
        <f t="shared" si="5"/>
        <v>8.2954011355920017</v>
      </c>
    </row>
    <row r="68" spans="1:7">
      <c r="A68">
        <v>66</v>
      </c>
      <c r="B68">
        <f t="shared" ref="B68:B102" si="6">B67+E68</f>
        <v>69.086876673440386</v>
      </c>
      <c r="C68">
        <f t="shared" ref="C68:C102" si="7">C67+F68</f>
        <v>70.438862889516955</v>
      </c>
      <c r="D68">
        <f t="shared" ref="D68:D102" si="8">D67+G68</f>
        <v>860.4742604370424</v>
      </c>
      <c r="E68">
        <f t="shared" ref="E68:E102" si="9">-$H$2*B67*C67/$J$2</f>
        <v>-1.6219876981276904</v>
      </c>
      <c r="F68">
        <f t="shared" ref="F68:F102" si="10">$H$2*B67*C67/$J$2-$I$2*C67</f>
        <v>-6.0243317675822281</v>
      </c>
      <c r="G68">
        <f t="shared" ref="G68:G102" si="11">$I$2*C67</f>
        <v>7.6463194657099187</v>
      </c>
    </row>
    <row r="69" spans="1:7">
      <c r="A69">
        <v>67</v>
      </c>
      <c r="B69">
        <f t="shared" si="6"/>
        <v>67.626956363400751</v>
      </c>
      <c r="C69">
        <f t="shared" si="7"/>
        <v>64.854896910604893</v>
      </c>
      <c r="D69">
        <f t="shared" si="8"/>
        <v>867.51814672599414</v>
      </c>
      <c r="E69">
        <f t="shared" si="9"/>
        <v>-1.4599203100396305</v>
      </c>
      <c r="F69">
        <f t="shared" si="10"/>
        <v>-5.5839659789120653</v>
      </c>
      <c r="G69">
        <f t="shared" si="11"/>
        <v>7.043886288951696</v>
      </c>
    </row>
    <row r="70" spans="1:7">
      <c r="A70">
        <v>68</v>
      </c>
      <c r="B70">
        <f t="shared" si="6"/>
        <v>66.311174578402856</v>
      </c>
      <c r="C70">
        <f t="shared" si="7"/>
        <v>59.685189004542302</v>
      </c>
      <c r="D70">
        <f t="shared" si="8"/>
        <v>874.00363641705462</v>
      </c>
      <c r="E70">
        <f t="shared" si="9"/>
        <v>-1.3157817849978994</v>
      </c>
      <c r="F70">
        <f t="shared" si="10"/>
        <v>-5.169707906062591</v>
      </c>
      <c r="G70">
        <f t="shared" si="11"/>
        <v>6.48548969106049</v>
      </c>
    </row>
    <row r="71" spans="1:7">
      <c r="A71">
        <v>69</v>
      </c>
      <c r="B71">
        <f t="shared" si="6"/>
        <v>65.123836082055305</v>
      </c>
      <c r="C71">
        <f t="shared" si="7"/>
        <v>54.904008600435624</v>
      </c>
      <c r="D71">
        <f t="shared" si="8"/>
        <v>879.97215531750885</v>
      </c>
      <c r="E71">
        <f t="shared" si="9"/>
        <v>-1.1873384963475526</v>
      </c>
      <c r="F71">
        <f t="shared" si="10"/>
        <v>-4.7811804041066779</v>
      </c>
      <c r="G71">
        <f t="shared" si="11"/>
        <v>5.9685189004542307</v>
      </c>
    </row>
    <row r="72" spans="1:7">
      <c r="A72">
        <v>70</v>
      </c>
      <c r="B72">
        <f t="shared" si="6"/>
        <v>64.051168185152548</v>
      </c>
      <c r="C72">
        <f t="shared" si="7"/>
        <v>50.486275637294817</v>
      </c>
      <c r="D72">
        <f t="shared" si="8"/>
        <v>885.46255617755241</v>
      </c>
      <c r="E72">
        <f t="shared" si="9"/>
        <v>-1.0726678969027572</v>
      </c>
      <c r="F72">
        <f t="shared" si="10"/>
        <v>-4.4177329631408053</v>
      </c>
      <c r="G72">
        <f t="shared" si="11"/>
        <v>5.4904008600435628</v>
      </c>
    </row>
    <row r="73" spans="1:7">
      <c r="A73">
        <v>71</v>
      </c>
      <c r="B73">
        <f t="shared" si="6"/>
        <v>63.081056705586647</v>
      </c>
      <c r="C73">
        <f t="shared" si="7"/>
        <v>46.407759553131235</v>
      </c>
      <c r="D73">
        <f t="shared" si="8"/>
        <v>890.51118374128191</v>
      </c>
      <c r="E73">
        <f t="shared" si="9"/>
        <v>-0.97011147956590194</v>
      </c>
      <c r="F73">
        <f t="shared" si="10"/>
        <v>-4.0785160841635806</v>
      </c>
      <c r="G73">
        <f t="shared" si="11"/>
        <v>5.0486275637294824</v>
      </c>
    </row>
    <row r="74" spans="1:7">
      <c r="A74">
        <v>72</v>
      </c>
      <c r="B74">
        <f t="shared" si="6"/>
        <v>62.202821552001559</v>
      </c>
      <c r="C74">
        <f t="shared" si="7"/>
        <v>42.645218751403206</v>
      </c>
      <c r="D74">
        <f t="shared" si="8"/>
        <v>895.15195969659499</v>
      </c>
      <c r="E74">
        <f t="shared" si="9"/>
        <v>-0.87823515358509041</v>
      </c>
      <c r="F74">
        <f t="shared" si="10"/>
        <v>-3.7625408017280328</v>
      </c>
      <c r="G74">
        <f t="shared" si="11"/>
        <v>4.6407759553131234</v>
      </c>
    </row>
    <row r="75" spans="1:7">
      <c r="A75">
        <v>73</v>
      </c>
      <c r="B75">
        <f t="shared" si="6"/>
        <v>61.407025672389679</v>
      </c>
      <c r="C75">
        <f t="shared" si="7"/>
        <v>39.176492755874769</v>
      </c>
      <c r="D75">
        <f t="shared" si="8"/>
        <v>899.41648157173529</v>
      </c>
      <c r="E75">
        <f t="shared" si="9"/>
        <v>-0.79579587961188136</v>
      </c>
      <c r="F75">
        <f t="shared" si="10"/>
        <v>-3.4687259955284393</v>
      </c>
      <c r="G75">
        <f t="shared" si="11"/>
        <v>4.2645218751403204</v>
      </c>
    </row>
    <row r="76" spans="1:7">
      <c r="A76">
        <v>74</v>
      </c>
      <c r="B76">
        <f t="shared" si="6"/>
        <v>60.685312103465421</v>
      </c>
      <c r="C76">
        <f t="shared" si="7"/>
        <v>35.980557049211548</v>
      </c>
      <c r="D76">
        <f t="shared" si="8"/>
        <v>903.33413084732274</v>
      </c>
      <c r="E76">
        <f t="shared" si="9"/>
        <v>-0.72171356892425709</v>
      </c>
      <c r="F76">
        <f t="shared" si="10"/>
        <v>-3.1959357066632199</v>
      </c>
      <c r="G76">
        <f t="shared" si="11"/>
        <v>3.9176492755874772</v>
      </c>
    </row>
    <row r="77" spans="1:7">
      <c r="A77">
        <v>75</v>
      </c>
      <c r="B77">
        <f t="shared" si="6"/>
        <v>60.030264703209035</v>
      </c>
      <c r="C77">
        <f t="shared" si="7"/>
        <v>33.037548744546775</v>
      </c>
      <c r="D77">
        <f t="shared" si="8"/>
        <v>906.93218655224393</v>
      </c>
      <c r="E77">
        <f t="shared" si="9"/>
        <v>-0.65504740025638364</v>
      </c>
      <c r="F77">
        <f t="shared" si="10"/>
        <v>-2.943008304664771</v>
      </c>
      <c r="G77">
        <f t="shared" si="11"/>
        <v>3.5980557049211548</v>
      </c>
    </row>
    <row r="78" spans="1:7">
      <c r="A78">
        <v>76</v>
      </c>
      <c r="B78">
        <f t="shared" si="6"/>
        <v>59.435288864324939</v>
      </c>
      <c r="C78">
        <f t="shared" si="7"/>
        <v>30.328769708976193</v>
      </c>
      <c r="D78">
        <f t="shared" si="8"/>
        <v>910.23594142669856</v>
      </c>
      <c r="E78">
        <f t="shared" si="9"/>
        <v>-0.59497583888409433</v>
      </c>
      <c r="F78">
        <f t="shared" si="10"/>
        <v>-2.7087790355705832</v>
      </c>
      <c r="G78">
        <f t="shared" si="11"/>
        <v>3.3037548744546776</v>
      </c>
    </row>
    <row r="79" spans="1:7">
      <c r="A79">
        <v>77</v>
      </c>
      <c r="B79">
        <f t="shared" si="6"/>
        <v>58.894509107759163</v>
      </c>
      <c r="C79">
        <f t="shared" si="7"/>
        <v>27.83667249464435</v>
      </c>
      <c r="D79">
        <f t="shared" si="8"/>
        <v>913.26881839759619</v>
      </c>
      <c r="E79">
        <f t="shared" si="9"/>
        <v>-0.54077975656577648</v>
      </c>
      <c r="F79">
        <f t="shared" si="10"/>
        <v>-2.4920972143318432</v>
      </c>
      <c r="G79">
        <f t="shared" si="11"/>
        <v>3.0328769708976195</v>
      </c>
    </row>
    <row r="80" spans="1:7">
      <c r="A80">
        <v>78</v>
      </c>
      <c r="B80">
        <f t="shared" si="6"/>
        <v>58.4026809592295</v>
      </c>
      <c r="C80">
        <f t="shared" si="7"/>
        <v>25.544833393709578</v>
      </c>
      <c r="D80">
        <f t="shared" si="8"/>
        <v>916.05248564706062</v>
      </c>
      <c r="E80">
        <f t="shared" si="9"/>
        <v>-0.49182814852966217</v>
      </c>
      <c r="F80">
        <f t="shared" si="10"/>
        <v>-2.2918391009347729</v>
      </c>
      <c r="G80">
        <f t="shared" si="11"/>
        <v>2.7836672494644352</v>
      </c>
    </row>
    <row r="81" spans="1:7">
      <c r="A81">
        <v>79</v>
      </c>
      <c r="B81">
        <f t="shared" si="6"/>
        <v>57.955114932774649</v>
      </c>
      <c r="C81">
        <f t="shared" si="7"/>
        <v>23.437916080793467</v>
      </c>
      <c r="D81">
        <f t="shared" si="8"/>
        <v>918.60696898643153</v>
      </c>
      <c r="E81">
        <f t="shared" si="9"/>
        <v>-0.44756602645484772</v>
      </c>
      <c r="F81">
        <f t="shared" si="10"/>
        <v>-2.1069173129161101</v>
      </c>
      <c r="G81">
        <f t="shared" si="11"/>
        <v>2.5544833393709578</v>
      </c>
    </row>
    <row r="82" spans="1:7">
      <c r="A82">
        <v>80</v>
      </c>
      <c r="B82">
        <f t="shared" si="6"/>
        <v>57.547610796700518</v>
      </c>
      <c r="C82">
        <f t="shared" si="7"/>
        <v>21.501628608788256</v>
      </c>
      <c r="D82">
        <f t="shared" si="8"/>
        <v>920.95076059451083</v>
      </c>
      <c r="E82">
        <f t="shared" si="9"/>
        <v>-0.40750413607413377</v>
      </c>
      <c r="F82">
        <f t="shared" si="10"/>
        <v>-1.936287472005213</v>
      </c>
      <c r="G82">
        <f t="shared" si="11"/>
        <v>2.3437916080793468</v>
      </c>
    </row>
    <row r="83" spans="1:7">
      <c r="A83">
        <v>81</v>
      </c>
      <c r="B83">
        <f t="shared" si="6"/>
        <v>57.176400590298393</v>
      </c>
      <c r="C83">
        <f t="shared" si="7"/>
        <v>19.722675954311555</v>
      </c>
      <c r="D83">
        <f t="shared" si="8"/>
        <v>923.10092345538965</v>
      </c>
      <c r="E83">
        <f t="shared" si="9"/>
        <v>-0.37121020640212432</v>
      </c>
      <c r="F83">
        <f t="shared" si="10"/>
        <v>-1.7789526544767011</v>
      </c>
      <c r="G83">
        <f t="shared" si="11"/>
        <v>2.1501628608788255</v>
      </c>
    </row>
    <row r="84" spans="1:7">
      <c r="A84">
        <v>82</v>
      </c>
      <c r="B84">
        <f t="shared" si="6"/>
        <v>56.83809910397548</v>
      </c>
      <c r="C84">
        <f t="shared" si="7"/>
        <v>18.088709845203308</v>
      </c>
      <c r="D84">
        <f t="shared" si="8"/>
        <v>925.07319105082081</v>
      </c>
      <c r="E84">
        <f t="shared" si="9"/>
        <v>-0.33830148632290891</v>
      </c>
      <c r="F84">
        <f t="shared" si="10"/>
        <v>-1.6339661091082465</v>
      </c>
      <c r="G84">
        <f t="shared" si="11"/>
        <v>1.9722675954311555</v>
      </c>
    </row>
    <row r="85" spans="1:7">
      <c r="A85">
        <v>83</v>
      </c>
      <c r="B85">
        <f t="shared" si="6"/>
        <v>56.529660739122065</v>
      </c>
      <c r="C85">
        <f t="shared" si="7"/>
        <v>16.588277225536395</v>
      </c>
      <c r="D85">
        <f t="shared" si="8"/>
        <v>926.88206203534116</v>
      </c>
      <c r="E85">
        <f t="shared" si="9"/>
        <v>-0.30843836485341675</v>
      </c>
      <c r="F85">
        <f t="shared" si="10"/>
        <v>-1.500432619666914</v>
      </c>
      <c r="G85">
        <f t="shared" si="11"/>
        <v>1.8088709845203308</v>
      </c>
    </row>
    <row r="86" spans="1:7">
      <c r="A86">
        <v>84</v>
      </c>
      <c r="B86">
        <f t="shared" si="6"/>
        <v>56.248341833980241</v>
      </c>
      <c r="C86">
        <f t="shared" si="7"/>
        <v>15.210768408124578</v>
      </c>
      <c r="D86">
        <f t="shared" si="8"/>
        <v>928.54088975789477</v>
      </c>
      <c r="E86">
        <f t="shared" si="9"/>
        <v>-0.28131890514182323</v>
      </c>
      <c r="F86">
        <f t="shared" si="10"/>
        <v>-1.3775088174118164</v>
      </c>
      <c r="G86">
        <f t="shared" si="11"/>
        <v>1.6588277225536396</v>
      </c>
    </row>
    <row r="87" spans="1:7">
      <c r="A87">
        <v>85</v>
      </c>
      <c r="B87">
        <f t="shared" si="6"/>
        <v>55.991667683686934</v>
      </c>
      <c r="C87">
        <f t="shared" si="7"/>
        <v>13.946365717605429</v>
      </c>
      <c r="D87">
        <f t="shared" si="8"/>
        <v>930.06196659870727</v>
      </c>
      <c r="E87">
        <f t="shared" si="9"/>
        <v>-0.25667415029330964</v>
      </c>
      <c r="F87">
        <f t="shared" si="10"/>
        <v>-1.2644026905191481</v>
      </c>
      <c r="G87">
        <f t="shared" si="11"/>
        <v>1.5210768408124578</v>
      </c>
    </row>
    <row r="88" spans="1:7">
      <c r="A88">
        <v>86</v>
      </c>
      <c r="B88">
        <f t="shared" si="6"/>
        <v>55.757403601290335</v>
      </c>
      <c r="C88">
        <f t="shared" si="7"/>
        <v>12.785993228241484</v>
      </c>
      <c r="D88">
        <f t="shared" si="8"/>
        <v>931.45660317046782</v>
      </c>
      <c r="E88">
        <f t="shared" si="9"/>
        <v>-0.23426408239659818</v>
      </c>
      <c r="F88">
        <f t="shared" si="10"/>
        <v>-1.1603724893639449</v>
      </c>
      <c r="G88">
        <f t="shared" si="11"/>
        <v>1.3946365717605431</v>
      </c>
    </row>
    <row r="89" spans="1:7">
      <c r="A89">
        <v>87</v>
      </c>
      <c r="B89">
        <f t="shared" si="6"/>
        <v>55.543529465829209</v>
      </c>
      <c r="C89">
        <f t="shared" si="7"/>
        <v>11.721268040878464</v>
      </c>
      <c r="D89">
        <f t="shared" si="8"/>
        <v>932.73520249329192</v>
      </c>
      <c r="E89">
        <f t="shared" si="9"/>
        <v>-0.21387413546112766</v>
      </c>
      <c r="F89">
        <f t="shared" si="10"/>
        <v>-1.0647251873630208</v>
      </c>
      <c r="G89">
        <f t="shared" si="11"/>
        <v>1.2785993228241486</v>
      </c>
    </row>
    <row r="90" spans="1:7">
      <c r="A90">
        <v>88</v>
      </c>
      <c r="B90">
        <f t="shared" si="6"/>
        <v>55.348217286787587</v>
      </c>
      <c r="C90">
        <f t="shared" si="7"/>
        <v>10.744453415832242</v>
      </c>
      <c r="D90">
        <f t="shared" si="8"/>
        <v>933.90732929737976</v>
      </c>
      <c r="E90">
        <f t="shared" si="9"/>
        <v>-0.19531217904162451</v>
      </c>
      <c r="F90">
        <f t="shared" si="10"/>
        <v>-0.97681462504622174</v>
      </c>
      <c r="G90">
        <f t="shared" si="11"/>
        <v>1.1721268040878463</v>
      </c>
    </row>
    <row r="91" spans="1:7">
      <c r="A91">
        <v>89</v>
      </c>
      <c r="B91">
        <f t="shared" si="6"/>
        <v>55.169811384101415</v>
      </c>
      <c r="C91">
        <f t="shared" si="7"/>
        <v>9.848413976935193</v>
      </c>
      <c r="D91">
        <f t="shared" si="8"/>
        <v>934.98177463896297</v>
      </c>
      <c r="E91">
        <f t="shared" si="9"/>
        <v>-0.17840590268617498</v>
      </c>
      <c r="F91">
        <f t="shared" si="10"/>
        <v>-0.89603943889704929</v>
      </c>
      <c r="G91">
        <f t="shared" si="11"/>
        <v>1.0744453415832242</v>
      </c>
    </row>
    <row r="92" spans="1:7">
      <c r="A92">
        <v>90</v>
      </c>
      <c r="B92">
        <f t="shared" si="6"/>
        <v>55.006810841639393</v>
      </c>
      <c r="C92">
        <f t="shared" si="7"/>
        <v>9.0265731217036933</v>
      </c>
      <c r="D92">
        <f t="shared" si="8"/>
        <v>935.96661603665655</v>
      </c>
      <c r="E92">
        <f t="shared" si="9"/>
        <v>-0.16300054246201881</v>
      </c>
      <c r="F92">
        <f t="shared" si="10"/>
        <v>-0.82184085523150052</v>
      </c>
      <c r="G92">
        <f t="shared" si="11"/>
        <v>0.9848413976935193</v>
      </c>
    </row>
    <row r="93" spans="1:7">
      <c r="A93">
        <v>91</v>
      </c>
      <c r="B93">
        <f t="shared" si="6"/>
        <v>54.857853941563256</v>
      </c>
      <c r="C93">
        <f t="shared" si="7"/>
        <v>8.2728727096094588</v>
      </c>
      <c r="D93">
        <f t="shared" si="8"/>
        <v>936.86927334882694</v>
      </c>
      <c r="E93">
        <f t="shared" si="9"/>
        <v>-0.14895690007613441</v>
      </c>
      <c r="F93">
        <f t="shared" si="10"/>
        <v>-0.75370041209423499</v>
      </c>
      <c r="G93">
        <f t="shared" si="11"/>
        <v>0.90265731217036937</v>
      </c>
    </row>
    <row r="94" spans="1:7">
      <c r="A94">
        <v>92</v>
      </c>
      <c r="B94">
        <f t="shared" si="6"/>
        <v>54.721704328728983</v>
      </c>
      <c r="C94">
        <f t="shared" si="7"/>
        <v>7.5817350514827826</v>
      </c>
      <c r="D94">
        <f t="shared" si="8"/>
        <v>937.69656061978787</v>
      </c>
      <c r="E94">
        <f t="shared" si="9"/>
        <v>-0.1361496128342701</v>
      </c>
      <c r="F94">
        <f t="shared" si="10"/>
        <v>-0.69113765812667582</v>
      </c>
      <c r="G94">
        <f t="shared" si="11"/>
        <v>0.8272872709609459</v>
      </c>
    </row>
    <row r="95" spans="1:7">
      <c r="A95">
        <v>93</v>
      </c>
      <c r="B95">
        <f t="shared" si="6"/>
        <v>54.597238689593183</v>
      </c>
      <c r="C95">
        <f t="shared" si="7"/>
        <v>6.9480271854703046</v>
      </c>
      <c r="D95">
        <f t="shared" si="8"/>
        <v>938.45473412493618</v>
      </c>
      <c r="E95">
        <f t="shared" si="9"/>
        <v>-0.12446563913580048</v>
      </c>
      <c r="F95">
        <f t="shared" si="10"/>
        <v>-0.63370786601247786</v>
      </c>
      <c r="G95">
        <f t="shared" si="11"/>
        <v>0.7581735051482783</v>
      </c>
    </row>
    <row r="96" spans="1:7">
      <c r="A96">
        <v>94</v>
      </c>
      <c r="B96">
        <f t="shared" si="6"/>
        <v>54.483435759993114</v>
      </c>
      <c r="C96">
        <f t="shared" si="7"/>
        <v>6.3670273965233459</v>
      </c>
      <c r="D96">
        <f t="shared" si="8"/>
        <v>939.14953684348325</v>
      </c>
      <c r="E96">
        <f t="shared" si="9"/>
        <v>-0.11380292960007135</v>
      </c>
      <c r="F96">
        <f t="shared" si="10"/>
        <v>-0.58099978894695914</v>
      </c>
      <c r="G96">
        <f t="shared" si="11"/>
        <v>0.69480271854703046</v>
      </c>
    </row>
    <row r="97" spans="1:7">
      <c r="A97">
        <v>95</v>
      </c>
      <c r="B97">
        <f t="shared" si="6"/>
        <v>54.379366501550933</v>
      </c>
      <c r="C97">
        <f t="shared" si="7"/>
        <v>5.8343939153131901</v>
      </c>
      <c r="D97">
        <f t="shared" si="8"/>
        <v>939.78623958313563</v>
      </c>
      <c r="E97">
        <f t="shared" si="9"/>
        <v>-0.10406925844217878</v>
      </c>
      <c r="F97">
        <f t="shared" si="10"/>
        <v>-0.53263348121015586</v>
      </c>
      <c r="G97">
        <f t="shared" si="11"/>
        <v>0.63670273965233459</v>
      </c>
    </row>
    <row r="98" spans="1:7">
      <c r="A98">
        <v>96</v>
      </c>
      <c r="B98">
        <f t="shared" si="6"/>
        <v>54.284185308040364</v>
      </c>
      <c r="C98">
        <f t="shared" si="7"/>
        <v>5.3461357172924417</v>
      </c>
      <c r="D98">
        <f t="shared" si="8"/>
        <v>940.36967897466695</v>
      </c>
      <c r="E98">
        <f t="shared" si="9"/>
        <v>-9.5181193510570403E-2</v>
      </c>
      <c r="F98">
        <f t="shared" si="10"/>
        <v>-0.48825819802074866</v>
      </c>
      <c r="G98">
        <f t="shared" si="11"/>
        <v>0.58343939153131907</v>
      </c>
    </row>
    <row r="99" spans="1:7">
      <c r="A99">
        <v>97</v>
      </c>
      <c r="B99">
        <f t="shared" si="6"/>
        <v>54.19712212145253</v>
      </c>
      <c r="C99">
        <f t="shared" si="7"/>
        <v>4.8985853321510282</v>
      </c>
      <c r="D99">
        <f t="shared" si="8"/>
        <v>940.90429254639616</v>
      </c>
      <c r="E99">
        <f t="shared" si="9"/>
        <v>-8.7063186587830868E-2</v>
      </c>
      <c r="F99">
        <f t="shared" si="10"/>
        <v>-0.44755038514141332</v>
      </c>
      <c r="G99">
        <f t="shared" si="11"/>
        <v>0.53461357172924417</v>
      </c>
    </row>
    <row r="100" spans="1:7">
      <c r="A100">
        <v>98</v>
      </c>
      <c r="B100">
        <f t="shared" si="6"/>
        <v>54.117475353211844</v>
      </c>
      <c r="C100">
        <f t="shared" si="7"/>
        <v>4.488373567176609</v>
      </c>
      <c r="D100">
        <f t="shared" si="8"/>
        <v>941.39415107961122</v>
      </c>
      <c r="E100">
        <f t="shared" si="9"/>
        <v>-7.9646768240683619E-2</v>
      </c>
      <c r="F100">
        <f t="shared" si="10"/>
        <v>-0.41021176497441925</v>
      </c>
      <c r="G100">
        <f t="shared" si="11"/>
        <v>0.48985853321510286</v>
      </c>
    </row>
    <row r="101" spans="1:7">
      <c r="A101">
        <v>99</v>
      </c>
      <c r="B101">
        <f t="shared" si="6"/>
        <v>54.044605519442541</v>
      </c>
      <c r="C101">
        <f t="shared" si="7"/>
        <v>4.112406044228254</v>
      </c>
      <c r="D101">
        <f t="shared" si="8"/>
        <v>941.84298843632882</v>
      </c>
      <c r="E101">
        <f t="shared" si="9"/>
        <v>-7.2869833769306294E-2</v>
      </c>
      <c r="F101">
        <f t="shared" si="10"/>
        <v>-0.37596752294835462</v>
      </c>
      <c r="G101">
        <f t="shared" si="11"/>
        <v>0.4488373567176609</v>
      </c>
    </row>
    <row r="102" spans="1:7">
      <c r="A102">
        <v>100</v>
      </c>
      <c r="B102">
        <f t="shared" si="6"/>
        <v>53.977929510723712</v>
      </c>
      <c r="C102">
        <f t="shared" si="7"/>
        <v>3.7678414485242548</v>
      </c>
      <c r="D102">
        <f t="shared" si="8"/>
        <v>942.25422904075162</v>
      </c>
      <c r="E102">
        <f t="shared" si="9"/>
        <v>-6.667600871882616E-2</v>
      </c>
      <c r="F102">
        <f t="shared" si="10"/>
        <v>-0.34456459570399922</v>
      </c>
      <c r="G102">
        <f t="shared" si="11"/>
        <v>0.4112406044228254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5F5C-65D3-449C-99C0-4DE23EB2E9AF}">
  <dimension ref="A1"/>
  <sheetViews>
    <sheetView workbookViewId="0">
      <selection activeCell="E6" sqref="E6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SIR</vt:lpstr>
      <vt:lpstr>Euler's Method </vt:lpstr>
      <vt:lpstr>Results</vt:lpstr>
      <vt:lpstr>ANN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CAISEDA</dc:creator>
  <cp:lastModifiedBy>CARMEN CAISEDA</cp:lastModifiedBy>
  <dcterms:created xsi:type="dcterms:W3CDTF">2025-11-05T03:53:22Z</dcterms:created>
  <dcterms:modified xsi:type="dcterms:W3CDTF">2025-11-07T05:29:04Z</dcterms:modified>
</cp:coreProperties>
</file>